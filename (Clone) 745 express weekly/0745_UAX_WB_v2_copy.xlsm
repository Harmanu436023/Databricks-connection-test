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DH_Migration\745_Express\Weekly_report\"/>
    </mc:Choice>
  </mc:AlternateContent>
  <bookViews>
    <workbookView xWindow="-105" yWindow="-105" windowWidth="19425" windowHeight="10425" tabRatio="985" firstSheet="8" activeTab="8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functionGroups builtInGroupCount="18"/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P2" i="10" l="1"/>
  <c r="E11" i="34" l="1"/>
  <c r="E10" i="34"/>
  <c r="E9" i="34"/>
  <c r="E8" i="34"/>
  <c r="E7" i="34"/>
  <c r="E6" i="34"/>
  <c r="E5" i="34"/>
  <c r="L5" i="34" l="1"/>
  <c r="O5" i="34" s="1"/>
  <c r="H7" i="34" s="1"/>
  <c r="F7" i="34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F6" i="36" l="1"/>
  <c r="L6" i="36"/>
  <c r="G7" i="34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G5" i="34" s="1"/>
  <c r="Q2" i="10"/>
  <c r="F5" i="34" l="1"/>
  <c r="T2" i="10"/>
  <c r="H5" i="34" s="1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5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/>
  <c r="R9" i="10"/>
  <c r="T9" i="10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M12" i="34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G8" i="34"/>
  <c r="F8" i="34"/>
  <c r="G9" i="34"/>
  <c r="F9" i="34"/>
  <c r="L8" i="36"/>
  <c r="M8" i="36"/>
  <c r="M12" i="36"/>
  <c r="H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H8" i="34" s="1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>
  <authors>
    <author>Hulen, Matt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>
  <authors>
    <author>Hulen, Matt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>
  <authors>
    <author>Hulen, Matt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<sst xmlns="http://schemas.openxmlformats.org/spreadsheetml/2006/main" count="2446" uniqueCount="552">
  <si>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</si>
  <si>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</si>
  <si>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</si>
  <si>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</si>
  <si>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</si>
  <si>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</si>
  <si>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</si>
  <si>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</si>
  <si>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</si>
  <si>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</si>
  <si>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</si>
  <si>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</si>
  <si>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</si>
  <si>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</si>
  <si>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</si>
  <si>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</si>
  <si>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</si>
  <si>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</si>
  <si>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</si>
  <si>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</si>
  <si>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</si>
  <si>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</si>
  <si>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</si>
  <si>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</si>
  <si>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</si>
  <si>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</si>
  <si>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</si>
  <si>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</si>
  <si>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</si>
  <si>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</si>
  <si>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</si>
  <si>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</si>
  <si>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</si>
  <si>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</si>
  <si>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</si>
  <si>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</si>
  <si>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</si>
  <si>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</si>
  <si>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</si>
  <si>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</si>
  <si>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</si>
  <si>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</si>
  <si>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</si>
  <si>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</si>
  <si>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</si>
  <si>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</si>
  <si>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</si>
  <si>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</si>
  <si>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</si>
  <si>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</si>
  <si>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</si>
  <si>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</si>
  <si>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</si>
  <si>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</si>
  <si>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</si>
  <si>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</si>
  <si>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</si>
  <si>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</si>
  <si>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</si>
  <si>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</si>
  <si>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</si>
  <si>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</si>
  <si>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</si>
  <si>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</si>
  <si>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</si>
  <si>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</si>
  <si>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</si>
  <si>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</si>
  <si>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</si>
  <si>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</si>
  <si>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</si>
  <si>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</si>
  <si>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</si>
  <si>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</si>
  <si>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</si>
  <si>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</si>
  <si>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</si>
  <si>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</si>
  <si>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</si>
  <si>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</si>
  <si>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</si>
  <si>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</si>
  <si>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</si>
  <si>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</si>
  <si>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</si>
  <si>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</si>
  <si>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</si>
  <si>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</si>
  <si>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</si>
  <si>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</si>
  <si>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</si>
  <si>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</si>
  <si>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</si>
  <si>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</si>
  <si>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</si>
  <si>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</si>
  <si>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</si>
  <si>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</si>
  <si>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</si>
  <si>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</si>
  <si>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</si>
  <si>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</si>
  <si>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</si>
  <si>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</si>
  <si>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</si>
  <si>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</si>
  <si>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</si>
  <si>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</si>
  <si>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</si>
  <si>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</si>
  <si>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</si>
  <si>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</si>
  <si>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</si>
  <si>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</si>
  <si>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</si>
  <si>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</si>
  <si>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</si>
  <si>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</si>
  <si>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</si>
  <si>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</si>
  <si>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</si>
  <si>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</si>
  <si>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</si>
  <si>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</si>
  <si>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</si>
  <si>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</si>
  <si>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</si>
  <si>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</si>
  <si>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</si>
  <si>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</si>
  <si>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</si>
  <si>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</si>
  <si>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</si>
  <si>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</si>
  <si>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</si>
  <si>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</si>
  <si>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</si>
  <si>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</si>
  <si>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</si>
  <si>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</si>
  <si>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</si>
  <si>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</si>
  <si>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</si>
  <si>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</si>
  <si>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</si>
  <si>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</si>
  <si>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</si>
  <si>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</si>
  <si>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</si>
  <si>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</si>
  <si>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</si>
  <si>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</si>
  <si>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</si>
  <si>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</si>
  <si>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</si>
  <si>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</si>
  <si>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</si>
  <si>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</si>
  <si>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</si>
  <si>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</si>
  <si>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</si>
  <si>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</si>
  <si>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</si>
  <si>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</si>
  <si>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</si>
  <si>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</si>
  <si>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</si>
  <si>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</si>
  <si>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</si>
  <si>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</si>
  <si>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</si>
  <si>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</si>
  <si>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</si>
  <si>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</si>
  <si>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</si>
  <si>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</si>
  <si>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</si>
  <si>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</si>
  <si>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</si>
  <si>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</si>
  <si>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</si>
  <si>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</si>
  <si>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</si>
  <si>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</si>
  <si>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</si>
  <si>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</si>
  <si>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</si>
  <si>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</si>
  <si>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</si>
  <si>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</si>
  <si>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</si>
  <si>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</si>
  <si>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</si>
  <si>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</si>
  <si>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</si>
  <si>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</si>
  <si>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</si>
  <si>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</si>
  <si>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</si>
  <si>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</si>
  <si>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</si>
  <si>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</si>
  <si>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</si>
  <si>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</si>
  <si>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</si>
  <si>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</si>
  <si>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</si>
  <si>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</si>
  <si>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</si>
  <si>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</si>
  <si>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</si>
  <si>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</si>
  <si>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</si>
  <si>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</si>
  <si>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</si>
  <si>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</si>
  <si>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</si>
  <si>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</si>
  <si>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</si>
  <si>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</si>
  <si>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</si>
  <si>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</si>
  <si>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</si>
  <si>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</si>
  <si>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</si>
  <si>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</si>
  <si>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</si>
  <si>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</si>
  <si>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</si>
  <si>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</si>
  <si>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</si>
  <si>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</si>
  <si>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</si>
  <si>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</si>
  <si>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</si>
  <si>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</si>
  <si>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</si>
  <si>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ERI</t>
  </si>
  <si>
    <t>AMA</t>
  </si>
  <si>
    <t>BHM</t>
  </si>
  <si>
    <t>SBN</t>
  </si>
  <si>
    <t>VCT</t>
  </si>
  <si>
    <t>PUB</t>
  </si>
  <si>
    <t>BOS</t>
  </si>
  <si>
    <t>VEL</t>
  </si>
  <si>
    <t>BTV</t>
  </si>
  <si>
    <t>TVC</t>
  </si>
  <si>
    <t>HPN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</si>
  <si>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</si>
  <si>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</si>
  <si>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</si>
  <si>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</si>
  <si>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</si>
  <si>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</si>
  <si>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</si>
  <si>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</si>
  <si>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</si>
  <si>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</si>
  <si>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</si>
  <si>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</si>
  <si>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</si>
  <si>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</si>
  <si>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</si>
  <si>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</si>
  <si>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</si>
  <si>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</si>
  <si>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</si>
  <si>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</si>
  <si>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</si>
  <si>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</si>
  <si>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</si>
  <si>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</si>
  <si>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</si>
  <si>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</si>
  <si>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</si>
  <si>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</si>
  <si>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</si>
  <si>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</si>
  <si>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VER</t>
  </si>
  <si>
    <t>BIS</t>
  </si>
  <si>
    <t>FSD</t>
  </si>
  <si>
    <t>HSV</t>
  </si>
  <si>
    <t>PVD</t>
  </si>
  <si>
    <t>PQI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</si>
  <si>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</si>
  <si>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</si>
  <si>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</si>
  <si>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</si>
  <si>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</si>
  <si>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</si>
  <si>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</si>
  <si>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</si>
  <si>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</si>
  <si>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</si>
  <si>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</si>
  <si>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</si>
  <si>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</si>
  <si>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</si>
  <si>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</si>
  <si>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</si>
  <si>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</si>
  <si>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</si>
  <si>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</si>
  <si>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</si>
  <si>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</si>
  <si>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</si>
  <si>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</si>
  <si>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</si>
  <si>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</si>
  <si>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</si>
  <si>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</si>
  <si>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</si>
  <si>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</si>
  <si>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</si>
  <si>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</si>
  <si>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</si>
  <si>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</si>
  <si>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</si>
  <si>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</si>
  <si>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</si>
  <si>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</si>
  <si>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</si>
  <si>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</si>
  <si>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</si>
  <si>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</si>
  <si>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</si>
  <si>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</si>
  <si>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</si>
  <si>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YEG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</si>
  <si>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</si>
  <si>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</si>
  <si>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</si>
  <si>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</si>
  <si>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</si>
  <si>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</si>
  <si>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</si>
  <si>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</si>
  <si>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</si>
  <si>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</si>
  <si>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</si>
  <si>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</si>
  <si>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</si>
  <si>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</si>
  <si>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</si>
  <si>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SPI</t>
  </si>
  <si>
    <t>CLT</t>
  </si>
  <si>
    <t>FNT</t>
  </si>
  <si>
    <t>SMF</t>
  </si>
  <si>
    <t>MYR</t>
  </si>
  <si>
    <t>MCI</t>
  </si>
  <si>
    <t>ACA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</si>
  <si>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</si>
  <si>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</si>
  <si>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</si>
  <si>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</si>
  <si>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</si>
  <si>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</si>
  <si>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</si>
  <si>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</si>
  <si>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</si>
  <si>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</si>
  <si>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</si>
  <si>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</si>
  <si>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</si>
  <si>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</si>
  <si>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</si>
  <si>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</si>
  <si>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</si>
  <si>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</si>
  <si>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</si>
  <si>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</si>
  <si>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</si>
  <si>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</si>
  <si>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</si>
  <si>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</si>
  <si>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</si>
  <si>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</si>
  <si>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</si>
  <si>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</si>
  <si>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</si>
  <si>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</si>
  <si>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</si>
  <si>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</si>
  <si>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</si>
  <si>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</si>
  <si>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</si>
  <si>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</si>
  <si>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</si>
  <si>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</si>
  <si>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</si>
  <si>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</si>
  <si>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</si>
  <si>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</si>
  <si>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</si>
  <si>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</si>
  <si>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</si>
  <si>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</si>
  <si>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</si>
  <si>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</si>
  <si>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</si>
  <si>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</si>
  <si>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</si>
  <si>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</si>
  <si>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</si>
  <si>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EUG</t>
  </si>
  <si>
    <t>ROC</t>
  </si>
  <si>
    <t>SHR</t>
  </si>
  <si>
    <t>CNY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</si>
  <si>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</si>
  <si>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</si>
  <si>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</si>
  <si>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</si>
  <si>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</si>
  <si>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</si>
  <si>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</si>
  <si>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</si>
  <si>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</si>
  <si>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</si>
  <si>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</si>
  <si>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</si>
  <si>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</si>
  <si>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</si>
  <si>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</si>
  <si>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</si>
  <si>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</si>
  <si>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</si>
  <si>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</si>
  <si>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</si>
  <si>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</si>
  <si>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</si>
  <si>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</si>
  <si>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PBI</t>
  </si>
  <si>
    <t>BJX</t>
  </si>
  <si>
    <t>MZT</t>
  </si>
  <si>
    <t>SJC</t>
  </si>
  <si>
    <t>BIL</t>
  </si>
  <si>
    <t>NAS</t>
  </si>
  <si>
    <t>PHX</t>
  </si>
  <si>
    <t>ZLO</t>
  </si>
  <si>
    <t>LAS</t>
  </si>
  <si>
    <t>Cancellation Rate</t>
  </si>
  <si>
    <t>Seat Cancellations</t>
  </si>
  <si>
    <t>Controllable Cancellation Rate</t>
  </si>
  <si>
    <t>PDX</t>
  </si>
  <si>
    <t>MSO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</si>
  <si>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</si>
  <si>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</si>
  <si>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</si>
  <si>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</si>
  <si>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</si>
  <si>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</si>
  <si>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</si>
  <si>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</si>
  <si>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BWI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</si>
  <si>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</si>
  <si>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</si>
  <si>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</si>
  <si>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</si>
  <si>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</si>
  <si>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</si>
  <si>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</si>
  <si>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</si>
  <si>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</si>
  <si>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</si>
  <si>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</si>
  <si>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</si>
  <si>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</si>
  <si>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</si>
  <si>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</si>
  <si>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</si>
  <si>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</si>
  <si>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</si>
  <si>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</si>
  <si>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</si>
  <si>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</si>
  <si>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</si>
  <si>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</si>
  <si>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</si>
  <si>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</si>
  <si>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</si>
  <si>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</si>
  <si>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</si>
  <si>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</si>
  <si>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</si>
  <si>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</si>
  <si>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</si>
  <si>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</si>
  <si>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</si>
  <si>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</si>
  <si>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</si>
  <si>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</si>
  <si>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</si>
  <si>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</si>
  <si>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</si>
  <si>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</si>
  <si>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</si>
  <si>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</si>
  <si>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</si>
  <si>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</si>
  <si>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</si>
  <si>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</si>
  <si>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</si>
  <si>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</si>
  <si>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</si>
  <si>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</si>
  <si>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</si>
  <si>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</si>
  <si>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</si>
  <si>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</si>
  <si>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</si>
  <si>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</si>
  <si>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</si>
  <si>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</si>
  <si>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</si>
  <si>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</si>
  <si>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</si>
  <si>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</si>
  <si>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</si>
  <si>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YYC</t>
  </si>
  <si>
    <t>HHH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</si>
  <si>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</si>
  <si>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</si>
  <si>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</si>
  <si>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</si>
  <si>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</si>
  <si>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</si>
  <si>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</si>
  <si>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</si>
  <si>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</si>
  <si>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</si>
  <si>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</si>
  <si>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</si>
  <si>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</si>
  <si>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</si>
  <si>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</si>
  <si>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</si>
  <si>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</si>
  <si>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</si>
  <si>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</si>
  <si>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</si>
  <si>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</si>
  <si>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</si>
  <si>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</si>
  <si>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</si>
  <si>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</si>
  <si>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</si>
  <si>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ACK</t>
  </si>
  <si>
    <t>WYS</t>
  </si>
  <si>
    <t>RSW</t>
  </si>
  <si>
    <t>SLP</t>
  </si>
  <si>
    <t>YVR</t>
  </si>
  <si>
    <t>2023-12-18 05:21:59.037037+00:00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</si>
</sst>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8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7" borderId="52" xfId="0" applyFont="1" applyFill="1" applyBorder="1" applyAlignment="1">
      <alignment horizontal="right" vertical="center"/>
    </xf>
    <xf numFmtId="0" fontId="40" fillId="16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righ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109375" defaultRowHeight="12" x14ac:dyDescent="0.2"/>
  <cols>
    <col min="1" max="1" width="20.28515625" style="1" bestFit="1" customWidth="1"/>
    <col min="2" max="2" width="9.85546875" style="1" bestFit="1" customWidth="1"/>
    <col min="3" max="4" width="9.7109375" style="1" bestFit="1" customWidth="1"/>
    <col min="5" max="5" width="11.7109375" style="1" bestFit="1" customWidth="1"/>
    <col min="6" max="6" width="11.85546875" style="1" bestFit="1" customWidth="1"/>
    <col min="7" max="7" width="9.7109375" style="1" bestFit="1" customWidth="1"/>
    <col min="8" max="8" width="9.7109375" style="1" customWidth="1"/>
    <col min="9" max="9" width="7.7109375" style="1" customWidth="1"/>
    <col min="10" max="10" width="9.140625" style="1" customWidth="1"/>
    <col min="11" max="11" width="7.7109375" style="1" customWidth="1"/>
    <col min="12" max="12" width="13.28515625" style="1" customWidth="1"/>
    <col min="13" max="13" width="7.7109375" style="1" customWidth="1"/>
    <col min="14" max="14" width="12.5703125" style="1" customWidth="1"/>
    <col min="15" max="15" width="7.7109375" style="1" customWidth="1"/>
    <col min="16" max="16384" width="8.7109375" style="1"/>
  </cols>
  <sheetData>
    <row r="1" spans="1:15" ht="28.9" customHeight="1" x14ac:dyDescent="0.2">
      <c r="A1" s="318" t="s">
        <v>39</v>
      </c>
      <c r="B1" s="319"/>
      <c r="C1" s="320">
        <f ca="1">TODAY()-1</f>
        <v>45276</v>
      </c>
      <c r="D1" s="321"/>
    </row>
    <row r="2" spans="1:15" customFormat="1" ht="15.75" thickBot="1" x14ac:dyDescent="0.3">
      <c r="E2" s="1"/>
    </row>
    <row r="3" spans="1:15" ht="18" customHeight="1" thickBot="1" x14ac:dyDescent="0.3">
      <c r="A3" s="322" t="s">
        <v>34</v>
      </c>
      <c r="B3" s="323"/>
      <c r="C3" s="323"/>
      <c r="D3" s="323"/>
      <c r="E3" s="323"/>
      <c r="F3" s="323"/>
      <c r="G3" s="323"/>
      <c r="H3"/>
      <c r="L3" s="39"/>
    </row>
    <row r="4" spans="1:15" ht="19.899999999999999" customHeight="1" thickBot="1" x14ac:dyDescent="0.3">
      <c r="A4" s="47" t="s">
        <v>33</v>
      </c>
      <c r="B4" s="49">
        <f ca="1">TODAY()-1</f>
        <v>45276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2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2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2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2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45" customHeight="1" x14ac:dyDescent="0.2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2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75" thickBot="1" x14ac:dyDescent="0.25">
      <c r="B14" s="2"/>
    </row>
    <row r="15" spans="1:15" ht="15.75" thickBot="1" x14ac:dyDescent="0.3">
      <c r="A15" s="322" t="s">
        <v>27</v>
      </c>
      <c r="B15" s="323"/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/>
    </row>
    <row r="16" spans="1:15" ht="11.45" customHeight="1" x14ac:dyDescent="0.2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2" t="s">
        <v>16</v>
      </c>
      <c r="K16" s="314" t="s">
        <v>29</v>
      </c>
      <c r="L16" s="316" t="s">
        <v>47</v>
      </c>
      <c r="M16" s="316" t="s">
        <v>17</v>
      </c>
      <c r="N16" s="316" t="s">
        <v>46</v>
      </c>
    </row>
    <row r="17" spans="1:15" ht="13.5" thickBot="1" x14ac:dyDescent="0.2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3"/>
      <c r="K17" s="315"/>
      <c r="L17" s="317"/>
      <c r="M17" s="317"/>
      <c r="N17" s="317"/>
    </row>
    <row r="18" spans="1:15" ht="12.75" x14ac:dyDescent="0.2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2.75" x14ac:dyDescent="0.2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2.75" x14ac:dyDescent="0.2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2.75" x14ac:dyDescent="0.2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2.75" x14ac:dyDescent="0.2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2.75" x14ac:dyDescent="0.2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2.75" x14ac:dyDescent="0.2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2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2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2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2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25"/>
    <row r="30" spans="1:15" ht="15.75" thickBot="1" x14ac:dyDescent="0.3">
      <c r="A30" s="310" t="s">
        <v>28</v>
      </c>
      <c r="B30" s="311"/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311"/>
      <c r="O30"/>
    </row>
    <row r="31" spans="1:15" ht="9.4" customHeight="1" x14ac:dyDescent="0.2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2" t="s">
        <v>16</v>
      </c>
      <c r="K31" s="314" t="s">
        <v>29</v>
      </c>
      <c r="L31" s="316" t="s">
        <v>47</v>
      </c>
      <c r="M31" s="316" t="s">
        <v>17</v>
      </c>
      <c r="N31" s="316" t="s">
        <v>46</v>
      </c>
    </row>
    <row r="32" spans="1:15" ht="13.5" thickBot="1" x14ac:dyDescent="0.2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3"/>
      <c r="K32" s="315"/>
      <c r="L32" s="317"/>
      <c r="M32" s="317"/>
      <c r="N32" s="317"/>
    </row>
    <row r="33" spans="1:14" ht="12.75" x14ac:dyDescent="0.2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2.75" x14ac:dyDescent="0.2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2.75" x14ac:dyDescent="0.2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2.75" x14ac:dyDescent="0.2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2.75" x14ac:dyDescent="0.2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2.75" x14ac:dyDescent="0.2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2.75" x14ac:dyDescent="0.2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2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2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1:B1"/>
    <mergeCell ref="C1:D1"/>
    <mergeCell ref="A3:G3"/>
    <mergeCell ref="A15:N15"/>
    <mergeCell ref="J16:J17"/>
    <mergeCell ref="K16:K17"/>
    <mergeCell ref="L16:L17"/>
    <mergeCell ref="M16:M17"/>
    <mergeCell ref="N16:N17"/>
    <mergeCell ref="A30:N30"/>
    <mergeCell ref="J31:J32"/>
    <mergeCell ref="K31:K32"/>
    <mergeCell ref="L31:L32"/>
    <mergeCell ref="M31:M32"/>
    <mergeCell ref="N31:N32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0.42578125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bestFit="1" customWidth="1"/>
    <col min="10" max="10" width="5.42578125" style="1" bestFit="1" customWidth="1"/>
    <col min="11" max="11" width="9.7109375" style="1" customWidth="1"/>
    <col min="12" max="12" width="7.7109375" style="1" customWidth="1"/>
    <col min="13" max="13" width="11.28515625" style="1" bestFit="1" customWidth="1"/>
    <col min="14" max="14" width="12.28515625" style="1" bestFit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45276</v>
      </c>
      <c r="E2" s="321"/>
    </row>
    <row r="3" spans="2:24" customFormat="1" ht="15.75" thickBot="1" x14ac:dyDescent="0.3">
      <c r="F3" s="1"/>
      <c r="I3" s="85"/>
      <c r="J3" s="85"/>
      <c r="K3" s="85"/>
      <c r="L3" s="85"/>
      <c r="M3" s="84"/>
    </row>
    <row r="4" spans="2:24" ht="18" customHeight="1" thickBot="1" x14ac:dyDescent="0.25">
      <c r="B4" s="324" t="s">
        <v>34</v>
      </c>
      <c r="C4" s="325"/>
      <c r="D4" s="325"/>
      <c r="E4" s="325"/>
      <c r="F4" s="325"/>
      <c r="G4" s="325"/>
      <c r="H4" s="325"/>
      <c r="I4" s="60"/>
      <c r="J4" s="328" t="s">
        <v>101</v>
      </c>
      <c r="K4" s="329"/>
      <c r="L4" s="329"/>
      <c r="M4" s="329"/>
      <c r="N4" s="329"/>
      <c r="O4" s="329"/>
      <c r="P4" s="329"/>
      <c r="Q4" s="329"/>
      <c r="R4" s="329"/>
      <c r="S4" s="329"/>
    </row>
    <row r="5" spans="2:24" ht="19.899999999999999" customHeight="1" thickBot="1" x14ac:dyDescent="0.25">
      <c r="B5" s="64" t="s">
        <v>33</v>
      </c>
      <c r="C5" s="49">
        <f ca="1">TODAY()-1</f>
        <v>45276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12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2">
      <c r="B6" s="62" t="s">
        <v>1</v>
      </c>
      <c r="C6" s="77">
        <f>UA_SQL_1!N2/UA_SQL_1!M2</f>
        <v>2.939323955490237E-3</v>
      </c>
      <c r="D6" s="77">
        <f>UA_SQL_1!F2/UA_SQL_1!E2</f>
        <v>2.0700943577893318E-3</v>
      </c>
      <c r="E6" s="29">
        <f ca="1">SUMIF(EX_Goals!$B:$B,'PAGE_1 (2)'!$I$5,EX_Goals!$E:$E)</f>
        <v>0.97009999999999996</v>
      </c>
      <c r="F6" s="83">
        <f>((UA_SQL_1!$N$2/UA_SQL_1!$M$2)-(SUMIF(OA_SQL_1!$A$1:$A$3,"DL",OA_SQL_1!$K$1:$K$3)/SUMIF(OA_SQL_1!$A$1:$A$3,"DL",OA_SQL_1!$I$1:$I$3)))*100</f>
        <v>-99.706067604450979</v>
      </c>
      <c r="G6" s="83">
        <f>((UA_SQL_1!$N$2/UA_SQL_1!$M$2)-(SUMIF(OA_SQL_1!$A$1:$A$3,"AA",OA_SQL_1!$K$1:$K$3)/SUMIF(OA_SQL_1!$A$1:$A$3,"AA",OA_SQL_1!$I$1:$I$3)))*100</f>
        <v>-99.578316602766975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2">
      <c r="B7" s="62" t="s">
        <v>32</v>
      </c>
      <c r="C7" s="77">
        <f>UA_SQL_1!Q2/UA_SQL_1!M2</f>
        <v>0.74564350199454121</v>
      </c>
      <c r="D7" s="77">
        <f>UA_SQL_1!I2/UA_SQL_1!E2</f>
        <v>0.75322549585981124</v>
      </c>
      <c r="E7" s="29">
        <f ca="1">SUMIF(EX_Goals!$B:$B,'PAGE_1 (2)'!$I$5,EX_Goals!$D:$D)</f>
        <v>0.5766</v>
      </c>
      <c r="F7" s="83">
        <f>((UA_SQL_1!$Q$2/UA_SQL_1!$M$2)-(SUMIF(OA_SQL_1!$A$1:$A$3,"DL",OA_SQL_1!$L$1:$L$3)/SUMIF(OA_SQL_1!$A$1:$A$3,"DL",OA_SQL_1!$I$1:$I$3)))*100</f>
        <v>-9.4564198603087846</v>
      </c>
      <c r="G7" s="83">
        <f>((UA_SQL_1!$Q$2/UA_SQL_1!$M$2)-(SUMIF(OA_SQL_1!$A$1:$A$3,"AA",OA_SQL_1!$L$1:$L$3)/SUMIF(OA_SQL_1!$A$1:$A$3,"AA",OA_SQL_1!$I$1:$I$3)))*100</f>
        <v>1.5833853132773967E-2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2">
      <c r="B8" s="63" t="s">
        <v>48</v>
      </c>
      <c r="C8" s="77">
        <f>UA_SQL_1!P2/UA_SQL_1!M2</f>
        <v>0.7962418643711946</v>
      </c>
      <c r="D8" s="78">
        <f>UA_SQL_1!H2/UA_SQL_1!E2</f>
        <v>0.80801078374735225</v>
      </c>
      <c r="E8" s="29">
        <f ca="1">SUMIF(EX_Goals!$B:$B,'PAGE_1 (2)'!$I$5,EX_Goals!$C:$C)</f>
        <v>0.64219999999999999</v>
      </c>
      <c r="F8" s="83">
        <f>((UA_SQL_1!$P$2/UA_SQL_1!$M$2)-(SUMIF(OA_SQL_1!$A$1:$A$3,"DL",OA_SQL_1!$J$1:$J$3)/SUMIF(OA_SQL_1!$A$1:$A$3,"DL",OA_SQL_1!$I$1:$I$3)))*100</f>
        <v>-5.278331442766893</v>
      </c>
      <c r="G8" s="83">
        <f>((UA_SQL_1!$P$2/UA_SQL_1!$M$2)-(SUMIF(OA_SQL_1!$A$1:$A$3,"AA",OA_SQL_1!$J$1:$J$3)/SUMIF(OA_SQL_1!$A$1:$A$3,"AA",OA_SQL_1!$I$1:$I$3)))*100</f>
        <v>-1.1609015368657882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2">
      <c r="B9" s="63" t="s">
        <v>0</v>
      </c>
      <c r="C9" s="77">
        <f>UA_SQL_1!O2/UA_SQL_1!M2</f>
        <v>0.77881587234935967</v>
      </c>
      <c r="D9" s="78">
        <f>UA_SQL_1!G2/UA_SQL_1!E2</f>
        <v>0.78976506836125548</v>
      </c>
      <c r="E9" s="29">
        <f ca="1">SUMIF(EX_Goals!$B:$B,'PAGE_1 (2)'!$I$5,EX_Goals!$C:$C)</f>
        <v>0.64219999999999999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45" customHeight="1" x14ac:dyDescent="0.25">
      <c r="B10" s="62" t="s">
        <v>31</v>
      </c>
      <c r="C10" s="77">
        <f>UA_SQL_1!S2/UA_SQL_1!R2</f>
        <v>0.86706746826987313</v>
      </c>
      <c r="D10" s="77">
        <f>UA_SQL_1!K2/UA_SQL_1!J2</f>
        <v>0.8748091603053435</v>
      </c>
      <c r="E10" s="29">
        <f ca="1">SUMIF(EX_Goals!$B:$B,'PAGE_1 (2)'!$I$5,EX_Goals!$F:$F)</f>
        <v>0.7736160581599999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0.99995185827074906</v>
      </c>
      <c r="E11" s="65">
        <f ca="1">SUMIF(EX_Goals!$B:$B,'PAGE_1 (2)'!$I$5,EX_Goals!$G:$G)</f>
        <v>0.99734315588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25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2">
      <c r="I14" s="59"/>
      <c r="J14" s="59"/>
      <c r="K14" s="59"/>
      <c r="L14" s="59"/>
      <c r="M14" s="59"/>
      <c r="N14" s="59"/>
      <c r="O14" s="57"/>
      <c r="P14" s="57"/>
    </row>
    <row r="15" spans="2:24" x14ac:dyDescent="0.2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2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2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75" thickBot="1" x14ac:dyDescent="0.2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.5" thickBot="1" x14ac:dyDescent="0.25">
      <c r="B19" s="324" t="s">
        <v>27</v>
      </c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59"/>
      <c r="R19" s="60"/>
      <c r="S19" s="60"/>
      <c r="T19" s="60"/>
      <c r="U19" s="60"/>
      <c r="V19" s="59"/>
      <c r="W19" s="57"/>
      <c r="X19" s="57"/>
    </row>
    <row r="20" spans="2:24" ht="30.6" customHeight="1" thickBot="1" x14ac:dyDescent="0.2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5" x14ac:dyDescent="0.2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5" x14ac:dyDescent="0.25">
      <c r="B22" s="67" t="s">
        <v>19</v>
      </c>
      <c r="C22" s="81">
        <f>SUMIF(SCH_DEP_SQL_4!$A:$A,'PAGE_1 (2)'!R22,SCH_DEP_SQL_4!$E:$E)</f>
        <v>4531</v>
      </c>
      <c r="D22" s="17">
        <f>IF(SUMIFS(CNXL_SQL_2!$F:$F,CNXL_SQL_2!$A:$A,'PAGE_1 (2)'!$R22,CNXL_SQL_2!$D:$D,'PAGE_1 (2)'!$S$21)=0,"",SUMIFS(CNXL_SQL_2!$F:$F,CNXL_SQL_2!$A:$A,'PAGE_1 (2)'!$R22,CNXL_SQL_2!$D:$D,'PAGE_1 (2)'!$S$21))</f>
        <v>20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20</v>
      </c>
      <c r="N22" s="18" t="str">
        <f>ES_MATRIX!K4</f>
        <v/>
      </c>
      <c r="O22" s="18">
        <f>IFERROR(M22-ES_MATRIX!L4,"")</f>
        <v>20</v>
      </c>
      <c r="P22" s="16">
        <f>IF(SUMIF(CNXL_SQL_2!$E:$E,'PAGE_1 (2)'!R22,CNXL_SQL_2!$F:$F)=0,"",SUMIF(CNXL_SQL_2!$E:$E,'PAGE_1 (2)'!R22,CNXL_SQL_2!$F:$F))</f>
        <v>4</v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5" x14ac:dyDescent="0.2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5" x14ac:dyDescent="0.25">
      <c r="B24" s="67" t="s">
        <v>21</v>
      </c>
      <c r="C24" s="81">
        <f>SUMIF(SCH_DEP_SQL_4!$A:$A,'PAGE_1 (2)'!R24,SCH_DEP_SQL_4!$E:$E)</f>
        <v>1376</v>
      </c>
      <c r="D24" s="17" t="str">
        <f>IF(SUMIFS(CNXL_SQL_2!$F:$F,CNXL_SQL_2!$A:$A,'PAGE_1 (2)'!$R24,CNXL_SQL_2!$D:$D,'PAGE_1 (2)'!$S$21)=0,"",SUMIFS(CNXL_SQL_2!$F:$F,CNXL_SQL_2!$A:$A,'PAGE_1 (2)'!$R24,CNXL_SQL_2!$D:$D,'PAGE_1 (2)'!$S$21))</f>
        <v/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 t="str">
        <f t="shared" si="0"/>
        <v/>
      </c>
      <c r="N24" s="18" t="str">
        <f>ES_MATRIX!K6</f>
        <v/>
      </c>
      <c r="O24" s="18" t="str">
        <f>IFERROR(M24-ES_MATRIX!L6,"")</f>
        <v/>
      </c>
      <c r="P24" s="16">
        <f>IF(SUMIF(CNXL_SQL_2!$E:$E,'PAGE_1 (2)'!R24,CNXL_SQL_2!$F:$F)=0,"",SUMIF(CNXL_SQL_2!$E:$E,'PAGE_1 (2)'!R24,CNXL_SQL_2!$F:$F))</f>
        <v>5</v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5" x14ac:dyDescent="0.25">
      <c r="B25" s="66" t="s">
        <v>22</v>
      </c>
      <c r="C25" s="80">
        <f>SUMIF(SCH_DEP_SQL_4!$A:$A,'PAGE_1 (2)'!R25,SCH_DEP_SQL_4!$E:$E)</f>
        <v>817</v>
      </c>
      <c r="D25" s="12" t="str">
        <f>IF(SUMIFS(CNXL_SQL_2!$F:$F,CNXL_SQL_2!$A:$A,'PAGE_1 (2)'!$R25,CNXL_SQL_2!$D:$D,'PAGE_1 (2)'!$S$21)=0,"",SUMIFS(CNXL_SQL_2!$F:$F,CNXL_SQL_2!$A:$A,'PAGE_1 (2)'!$R25,CNXL_SQL_2!$D:$D,'PAGE_1 (2)'!$S$21))</f>
        <v/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 t="str">
        <f t="shared" si="0"/>
        <v/>
      </c>
      <c r="N25" s="38" t="str">
        <f>ES_MATRIX!K7</f>
        <v/>
      </c>
      <c r="O25" s="14" t="str">
        <f>IFERROR(M25-ES_MATRIX!L7,"")</f>
        <v/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5" x14ac:dyDescent="0.25">
      <c r="B26" s="67" t="s">
        <v>23</v>
      </c>
      <c r="C26" s="81">
        <f>SUMIF(SCH_DEP_SQL_4!$A:$A,'PAGE_1 (2)'!R26,SCH_DEP_SQL_4!$E:$E)</f>
        <v>1119</v>
      </c>
      <c r="D26" s="17">
        <f>IF(SUMIFS(CNXL_SQL_2!$F:$F,CNXL_SQL_2!$A:$A,'PAGE_1 (2)'!$R26,CNXL_SQL_2!$D:$D,'PAGE_1 (2)'!$S$21)=0,"",SUMIFS(CNXL_SQL_2!$F:$F,CNXL_SQL_2!$A:$A,'PAGE_1 (2)'!$R26,CNXL_SQL_2!$D:$D,'PAGE_1 (2)'!$S$21))</f>
        <v>8</v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>
        <f t="shared" si="0"/>
        <v>8</v>
      </c>
      <c r="N26" s="18" t="str">
        <f>ES_MATRIX!K8</f>
        <v/>
      </c>
      <c r="O26" s="18">
        <f>IFERROR(M26-ES_MATRIX!L8,"")</f>
        <v>8</v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5" x14ac:dyDescent="0.25">
      <c r="B27" s="66" t="s">
        <v>24</v>
      </c>
      <c r="C27" s="80">
        <f>SUMIF(SCH_DEP_SQL_4!$A:$A,'PAGE_1 (2)'!R27,SCH_DEP_SQL_4!$E:$E)</f>
        <v>1683</v>
      </c>
      <c r="D27" s="12" t="str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>9</v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9</v>
      </c>
      <c r="N27" s="38" t="str">
        <f>ES_MATRIX!K9</f>
        <v xml:space="preserve">OO-4 YX-5 </v>
      </c>
      <c r="O27" s="14">
        <f>IFERROR(M27-ES_MATRIX!L9,"")</f>
        <v>0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.75" thickBot="1" x14ac:dyDescent="0.3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.75" thickBot="1" x14ac:dyDescent="0.3">
      <c r="B29" s="68" t="s">
        <v>26</v>
      </c>
      <c r="C29" s="82">
        <f>SUM(C21:C28)</f>
        <v>9526</v>
      </c>
      <c r="D29" s="22">
        <f>IF(SUM(D21:D28)=0,"",SUM(D21:D28))</f>
        <v>28</v>
      </c>
      <c r="E29" s="22">
        <f t="shared" ref="E29:L29" si="1">IF(SUM(E21:E28)=0,"",SUM(E21:E28))</f>
        <v>9</v>
      </c>
      <c r="F29" s="22" t="str">
        <f>IF(SUM(F21:F28)=0,"",SUM(F21:F28))</f>
        <v/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37</v>
      </c>
      <c r="N29" s="23"/>
      <c r="O29" s="23">
        <f>SUM(O21:O28)</f>
        <v>28</v>
      </c>
      <c r="P29" s="23">
        <f>SUM(P21:P28)</f>
        <v>9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2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2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25">
      <c r="Q32" s="59"/>
      <c r="R32" s="60"/>
      <c r="S32" s="60"/>
      <c r="T32" s="60"/>
      <c r="U32" s="60"/>
      <c r="V32" s="59"/>
      <c r="W32" s="57"/>
      <c r="X32" s="57"/>
    </row>
    <row r="33" spans="2:24" ht="16.5" thickBot="1" x14ac:dyDescent="0.25">
      <c r="B33" s="326" t="s">
        <v>28</v>
      </c>
      <c r="C33" s="327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59"/>
      <c r="R33" s="60"/>
      <c r="S33" s="60"/>
      <c r="T33" s="60"/>
      <c r="U33" s="60"/>
      <c r="V33" s="59"/>
      <c r="W33" s="57"/>
      <c r="X33" s="57"/>
    </row>
    <row r="34" spans="2:24" ht="30.6" customHeight="1" thickBot="1" x14ac:dyDescent="0.2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2.75" x14ac:dyDescent="0.2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2.75" x14ac:dyDescent="0.2">
      <c r="B36" s="67" t="s">
        <v>19</v>
      </c>
      <c r="C36" s="81">
        <f>SUMIF(SCH_DEP_SQL_4!$A:$A,'PAGE_1 (2)'!R22,SCH_DEP_SQL_4!$E:$E)</f>
        <v>4531</v>
      </c>
      <c r="D36" s="17" t="str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 t="str">
        <f t="shared" ref="M36:M42" si="2">IF(SUM(D36:L36)=0,"",SUM(D36:L36))</f>
        <v/>
      </c>
      <c r="N36" s="18" t="str">
        <f>ES_MATRIX!K15</f>
        <v/>
      </c>
      <c r="O36" s="18" t="str">
        <f>IFERROR(M36-ES_MATRIX!L15,"")</f>
        <v/>
      </c>
      <c r="P36" s="16" t="str">
        <f>IF(SUMIF(RES_CNXL_SQL_3!$E:$E,'PAGE_1 (2)'!R22,RES_CNXL_SQL_3!$F:$F)=0,"",SUMIF(RES_CNXL_SQL_3!$E:$E,'PAGE_1 (2)'!R22,RES_CNXL_SQL_3!$F:$F))</f>
        <v/>
      </c>
    </row>
    <row r="37" spans="2:24" ht="12.75" x14ac:dyDescent="0.2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2.75" x14ac:dyDescent="0.2">
      <c r="B38" s="67" t="s">
        <v>21</v>
      </c>
      <c r="C38" s="81">
        <f>SUMIF(SCH_DEP_SQL_4!$A:$A,'PAGE_1 (2)'!R24,SCH_DEP_SQL_4!$E:$E)</f>
        <v>1376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2.75" x14ac:dyDescent="0.2">
      <c r="B39" s="66" t="s">
        <v>22</v>
      </c>
      <c r="C39" s="80">
        <f>SUMIF(SCH_DEP_SQL_4!$A:$A,'PAGE_1 (2)'!R25,SCH_DEP_SQL_4!$E:$E)</f>
        <v>817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2.75" x14ac:dyDescent="0.2">
      <c r="B40" s="67" t="s">
        <v>23</v>
      </c>
      <c r="C40" s="81">
        <f>SUMIF(SCH_DEP_SQL_4!$A:$A,'PAGE_1 (2)'!R26,SCH_DEP_SQL_4!$E:$E)</f>
        <v>1119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 t="str">
        <f t="shared" si="2"/>
        <v/>
      </c>
      <c r="N40" s="18" t="str">
        <f>ES_MATRIX!K19</f>
        <v/>
      </c>
      <c r="O40" s="18" t="str">
        <f>IFERROR(M40-ES_MATRIX!L19,"")</f>
        <v/>
      </c>
      <c r="P40" s="16" t="str">
        <f>IF(SUMIF(RES_CNXL_SQL_3!$E:$E,'PAGE_1 (2)'!R26,RES_CNXL_SQL_3!$F:$F)=0,"",SUMIF(RES_CNXL_SQL_3!$E:$E,'PAGE_1 (2)'!R26,RES_CNXL_SQL_3!$F:$F))</f>
        <v/>
      </c>
    </row>
    <row r="41" spans="2:24" ht="12.75" x14ac:dyDescent="0.2">
      <c r="B41" s="66" t="s">
        <v>24</v>
      </c>
      <c r="C41" s="80">
        <f>SUMIF(SCH_DEP_SQL_4!$A:$A,'PAGE_1 (2)'!R27,SCH_DEP_SQL_4!$E:$E)</f>
        <v>1683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>1</v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 t="shared" si="2"/>
        <v>1</v>
      </c>
      <c r="N41" s="38" t="str">
        <f>ES_MATRIX!K20</f>
        <v/>
      </c>
      <c r="O41" s="14">
        <f>IFERROR(M41-ES_MATRIX!L20,"")</f>
        <v>1</v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2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25">
      <c r="B43" s="68" t="s">
        <v>26</v>
      </c>
      <c r="C43" s="82">
        <f>SUM(C35:C42)</f>
        <v>9526</v>
      </c>
      <c r="D43" s="22" t="str">
        <f>IF(SUM(D35:D42)=0,"",SUM(D35:D42))</f>
        <v/>
      </c>
      <c r="E43" s="22" t="str">
        <f t="shared" ref="E43:L43" si="3">IF(SUM(E35:E42)=0,"",SUM(E35:E42))</f>
        <v/>
      </c>
      <c r="F43" s="22">
        <f t="shared" si="3"/>
        <v>1</v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1</v>
      </c>
      <c r="N43" s="23"/>
      <c r="O43" s="23">
        <f>SUM(O35:O42)</f>
        <v>1</v>
      </c>
      <c r="P43" s="23">
        <f>SUM(P35:P42)</f>
        <v>0</v>
      </c>
    </row>
    <row r="44" spans="2:24" ht="21" customHeight="1" x14ac:dyDescent="0.2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10.28515625" style="1" customWidth="1"/>
    <col min="6" max="6" width="11" style="1" customWidth="1"/>
    <col min="7" max="7" width="11.85546875" style="1" bestFit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45276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45276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2.939323955490237E-3</v>
      </c>
      <c r="D6" s="77">
        <f>UA_SQL_1!F2/UA_SQL_1!E2</f>
        <v>2.0700943577893318E-3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-99.706067604450979</v>
      </c>
      <c r="G6" s="83">
        <f>((UA_SQL_1!$N$2/UA_SQL_1!$M$2)-(SUMIF(OA_SQL_1!$A$1:$A$3,"AA",OA_SQL_1!$K$1:$K$3)/SUMIF(OA_SQL_1!$A$1:$A$3,"AA",OA_SQL_1!$I$1:$I$3)))*100</f>
        <v>-99.578316602766975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0.74564350199454121</v>
      </c>
      <c r="D7" s="77">
        <f>UA_SQL_1!I2/UA_SQL_1!E2</f>
        <v>0.75322549585981124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-9.4564198603087846</v>
      </c>
      <c r="G7" s="83">
        <f>((UA_SQL_1!$Q$2/UA_SQL_1!$M$2)-(SUMIF(OA_SQL_1!$A$1:$A$3,"AA",OA_SQL_1!$L$1:$L$3)/SUMIF(OA_SQL_1!$A$1:$A$3,"AA",OA_SQL_1!$I$1:$I$3)))*100</f>
        <v>1.5833853132773967E-2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0.7962418643711946</v>
      </c>
      <c r="D8" s="78">
        <f>UA_SQL_1!H2/UA_SQL_1!E2</f>
        <v>0.80801078374735225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-5.278331442766893</v>
      </c>
      <c r="G8" s="83">
        <f>((UA_SQL_1!$P$2/UA_SQL_1!$M$2)-(SUMIF(OA_SQL_1!$A$1:$A$3,"AA",OA_SQL_1!$J$1:$J$3)/SUMIF(OA_SQL_1!$A$1:$A$3,"AA",OA_SQL_1!$I$1:$I$3)))*100</f>
        <v>-1.1609015368657882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0.77881587234935967</v>
      </c>
      <c r="D9" s="78">
        <f>UA_SQL_1!G2/UA_SQL_1!E2</f>
        <v>0.78976506836125548</v>
      </c>
      <c r="E9" s="29">
        <f>SUMIF(EX_Goals!$B:$B,'PAGE_1 (4)'!#REF!,EX_Goals!$C:$C)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0.86706746826987313</v>
      </c>
      <c r="D10" s="77">
        <f>UA_SQL_1!K2/UA_SQL_1!J2</f>
        <v>0.8748091603053435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0.99995185827074906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117">
        <f>SUMIFS(UA_HUB_SQL_7!J:J,UA_HUB_SQL_7!$B:$B,'PAGE_1 (4)'!B18)/SUMIFS(UA_HUB_SQL_7!$F:$F,UA_HUB_SQL_7!$B:$B,'PAGE_1 (4)'!B18)</f>
        <v>0.7104166666666667</v>
      </c>
      <c r="D18" s="117">
        <f>SUMIFS(UA_HUB_SQL_7!K:K,UA_HUB_SQL_7!B:B,'PAGE_1 (4)'!B18)/SUMIFS(UA_HUB_SQL_7!F:F,UA_HUB_SQL_7!B:B,'PAGE_1 (4)'!B18)</f>
        <v>0.87083333333333335</v>
      </c>
      <c r="E18" s="330" t="s">
        <v>40</v>
      </c>
      <c r="F18" s="331"/>
      <c r="G18" s="116" t="s">
        <v>40</v>
      </c>
      <c r="H18" s="117">
        <f>SUMIFS(UA_HUB_SQL_7!G:G,UA_HUB_SQL_7!$B:$B,'PAGE_1 (4)'!B18)/SUMIFS(UA_HUB_SQL_7!$F:$F,UA_HUB_SQL_7!$B:$B,'PAGE_1 (4)'!B18)</f>
        <v>1.1458333333333333E-2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117">
        <f>SUMIFS(UA_HUB_SQL_7!J:J,UA_HUB_SQL_7!$B:$B,'PAGE_1 (4)'!B19)/SUMIFS(UA_HUB_SQL_7!$F:$F,UA_HUB_SQL_7!$B:$B,'PAGE_1 (4)'!B19)</f>
        <v>0.80979020979020977</v>
      </c>
      <c r="D19" s="117">
        <f>SUMIFS(UA_HUB_SQL_7!K:K,UA_HUB_SQL_7!B:B,'PAGE_1 (4)'!B19)/SUMIFS(UA_HUB_SQL_7!F:F,UA_HUB_SQL_7!B:B,'PAGE_1 (4)'!B19)</f>
        <v>0.96083916083916088</v>
      </c>
      <c r="E19" s="332" t="s">
        <v>113</v>
      </c>
      <c r="F19" s="333"/>
      <c r="G19" s="52" t="e">
        <f>RANK!F9</f>
        <v>#DIV/0!</v>
      </c>
      <c r="H19" s="117">
        <f>SUMIFS(UA_HUB_SQL_7!G:G,UA_HUB_SQL_7!$B:$B,'PAGE_1 (4)'!B19)/SUMIFS(UA_HUB_SQL_7!$F:$F,UA_HUB_SQL_7!$B:$B,'PAGE_1 (4)'!B19)</f>
        <v>0</v>
      </c>
      <c r="I19" s="83" t="str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</v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-98.517179023508135</v>
      </c>
      <c r="K19" s="52" t="e">
        <f>RANK!F20</f>
        <v>#DIV/0!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117">
        <f>SUMIFS(UA_HUB_SQL_7!J:J,UA_HUB_SQL_7!$B:$B,'PAGE_1 (4)'!B20)/SUMIFS(UA_HUB_SQL_7!$F:$F,UA_HUB_SQL_7!$B:$B,'PAGE_1 (4)'!B20)</f>
        <v>0.73419773095623986</v>
      </c>
      <c r="D20" s="117">
        <f>SUMIFS(UA_HUB_SQL_7!K:K,UA_HUB_SQL_7!B:B,'PAGE_1 (4)'!B20)/SUMIFS(UA_HUB_SQL_7!F:F,UA_HUB_SQL_7!B:B,'PAGE_1 (4)'!B20)</f>
        <v>0.8897893030794165</v>
      </c>
      <c r="E20" s="332" t="s">
        <v>113</v>
      </c>
      <c r="F20" s="333"/>
      <c r="G20" s="52">
        <f>RANK!F10</f>
        <v>1</v>
      </c>
      <c r="H20" s="117">
        <f>SUMIFS(UA_HUB_SQL_7!G:G,UA_HUB_SQL_7!$B:$B,'PAGE_1 (4)'!B20)/SUMIFS(UA_HUB_SQL_7!$F:$F,UA_HUB_SQL_7!$B:$B,'PAGE_1 (4)'!B20)</f>
        <v>0</v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-100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-98.387096774193552</v>
      </c>
      <c r="K20" s="52">
        <f>RANK!F21</f>
        <v>1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117">
        <f>SUMIFS(UA_HUB_SQL_7!J:J,UA_HUB_SQL_7!$B:$B,'PAGE_1 (4)'!B21)/SUMIFS(UA_HUB_SQL_7!$F:$F,UA_HUB_SQL_7!$B:$B,'PAGE_1 (4)'!B21)</f>
        <v>0.65306122448979587</v>
      </c>
      <c r="D21" s="117">
        <f>SUMIFS(UA_HUB_SQL_7!K:K,UA_HUB_SQL_7!B:B,'PAGE_1 (4)'!B21)/SUMIFS(UA_HUB_SQL_7!F:F,UA_HUB_SQL_7!B:B,'PAGE_1 (4)'!B21)</f>
        <v>0.79786200194363455</v>
      </c>
      <c r="E21" s="332" t="s">
        <v>114</v>
      </c>
      <c r="F21" s="333"/>
      <c r="G21" s="52">
        <f>RANK!F11</f>
        <v>1</v>
      </c>
      <c r="H21" s="117">
        <f>SUMIFS(UA_HUB_SQL_7!G:G,UA_HUB_SQL_7!$B:$B,'PAGE_1 (4)'!B21)/SUMIFS(UA_HUB_SQL_7!$F:$F,UA_HUB_SQL_7!$B:$B,'PAGE_1 (4)'!B21)</f>
        <v>9.7181729834791054E-4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-97.542195467553455</v>
      </c>
      <c r="K21" s="52">
        <f>RANK!F22</f>
        <v>1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117">
        <f>SUMIFS(UA_HUB_SQL_7!J:J,UA_HUB_SQL_7!$B:$B,'PAGE_1 (4)'!B22)/SUMIFS(UA_HUB_SQL_7!$F:$F,UA_HUB_SQL_7!$B:$B,'PAGE_1 (4)'!B22)</f>
        <v>0.81333333333333335</v>
      </c>
      <c r="D22" s="117">
        <f>SUMIFS(UA_HUB_SQL_7!K:K,UA_HUB_SQL_7!B:B,'PAGE_1 (4)'!B22)/SUMIFS(UA_HUB_SQL_7!F:F,UA_HUB_SQL_7!B:B,'PAGE_1 (4)'!B22)</f>
        <v>0.98</v>
      </c>
      <c r="E22" s="332" t="s">
        <v>113</v>
      </c>
      <c r="F22" s="333"/>
      <c r="G22" s="52">
        <f>RANK!F12</f>
        <v>1</v>
      </c>
      <c r="H22" s="117">
        <f>SUMIFS(UA_HUB_SQL_7!G:G,UA_HUB_SQL_7!$B:$B,'PAGE_1 (4)'!B22)/SUMIFS(UA_HUB_SQL_7!$F:$F,UA_HUB_SQL_7!$B:$B,'PAGE_1 (4)'!B22)</f>
        <v>0</v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-100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-99.823943661971825</v>
      </c>
      <c r="K22" s="52">
        <f>RANK!F23</f>
        <v>1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117">
        <f>SUMIFS(UA_HUB_SQL_7!J:J,UA_HUB_SQL_7!$B:$B,'PAGE_1 (4)'!B23)/SUMIFS(UA_HUB_SQL_7!$F:$F,UA_HUB_SQL_7!$B:$B,'PAGE_1 (4)'!B23)</f>
        <v>0.78199052132701419</v>
      </c>
      <c r="D23" s="117">
        <f>SUMIFS(UA_HUB_SQL_7!K:K,UA_HUB_SQL_7!B:B,'PAGE_1 (4)'!B23)/SUMIFS(UA_HUB_SQL_7!F:F,UA_HUB_SQL_7!B:B,'PAGE_1 (4)'!B23)</f>
        <v>0.93080568720379142</v>
      </c>
      <c r="E23" s="332" t="s">
        <v>114</v>
      </c>
      <c r="F23" s="333"/>
      <c r="G23" s="52">
        <f>RANK!F13</f>
        <v>1</v>
      </c>
      <c r="H23" s="117">
        <f>SUMIFS(UA_HUB_SQL_7!G:G,UA_HUB_SQL_7!$B:$B,'PAGE_1 (4)'!B23)/SUMIFS(UA_HUB_SQL_7!$F:$F,UA_HUB_SQL_7!$B:$B,'PAGE_1 (4)'!B23)</f>
        <v>0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-98.907563025210095</v>
      </c>
      <c r="K23" s="52">
        <f>RANK!F24</f>
        <v>1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117">
        <f>SUMIFS(UA_HUB_SQL_7!J:J,UA_HUB_SQL_7!$B:$B,'PAGE_1 (4)'!B24)/SUMIFS(UA_HUB_SQL_7!$F:$F,UA_HUB_SQL_7!$B:$B,'PAGE_1 (4)'!B24)</f>
        <v>0.74351585014409227</v>
      </c>
      <c r="D24" s="117">
        <f>SUMIFS(UA_HUB_SQL_7!K:K,UA_HUB_SQL_7!B:B,'PAGE_1 (4)'!B24)/SUMIFS(UA_HUB_SQL_7!F:F,UA_HUB_SQL_7!B:B,'PAGE_1 (4)'!B24)</f>
        <v>0.90489913544668588</v>
      </c>
      <c r="E24" s="332" t="s">
        <v>115</v>
      </c>
      <c r="F24" s="333"/>
      <c r="G24" s="116" t="s">
        <v>40</v>
      </c>
      <c r="H24" s="117">
        <f>SUMIFS(UA_HUB_SQL_7!G:G,UA_HUB_SQL_7!$B:$B,'PAGE_1 (4)'!B24)/SUMIFS(UA_HUB_SQL_7!$F:$F,UA_HUB_SQL_7!$B:$B,'PAGE_1 (4)'!B24)</f>
        <v>0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SUMIF(SCH_DEP_SQL_4!$A:$A,'PAGE_1 (4)'!R30,SCH_DEP_SQL_4!$E:$E)</f>
        <v>4531</v>
      </c>
      <c r="D30" s="17">
        <f>IF(SUMIFS(CNXL_SQL_2!$F:$F,CNXL_SQL_2!$A:$A,'PAGE_1 (4)'!$R30,CNXL_SQL_2!$D:$D,'PAGE_1 (4)'!$S$29)=0,"",SUMIFS(CNXL_SQL_2!$F:$F,CNXL_SQL_2!$A:$A,'PAGE_1 (4)'!$R30,CNXL_SQL_2!$D:$D,'PAGE_1 (4)'!$S$29))</f>
        <v>20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20</v>
      </c>
      <c r="N30" s="18" t="str">
        <f>ES_MATRIX!K4</f>
        <v/>
      </c>
      <c r="O30" s="18">
        <f>IFERROR(M30-ES_MATRIX!L4,"")</f>
        <v>20</v>
      </c>
      <c r="P30" s="16">
        <f>IF(SUMIF(CNXL_SQL_2!$E:$E,'PAGE_1 (4)'!R30,CNXL_SQL_2!$F:$F)=0,"",SUMIF(CNXL_SQL_2!$E:$E,'PAGE_1 (4)'!R30,CNXL_SQL_2!$F:$F))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SUMIF(SCH_DEP_SQL_4!$A:$A,'PAGE_1 (4)'!R32,SCH_DEP_SQL_4!$E:$E)</f>
        <v>1376</v>
      </c>
      <c r="D32" s="17" t="str">
        <f>IF(SUMIFS(CNXL_SQL_2!$F:$F,CNXL_SQL_2!$A:$A,'PAGE_1 (4)'!$R32,CNXL_SQL_2!$D:$D,'PAGE_1 (4)'!$S$29)=0,"",SUMIFS(CNXL_SQL_2!$F:$F,CNXL_SQL_2!$A:$A,'PAGE_1 (4)'!$R32,CNXL_SQL_2!$D:$D,'PAGE_1 (4)'!$S$29))</f>
        <v/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IF(SUMIF(CNXL_SQL_2!$E:$E,'PAGE_1 (4)'!R32,CNXL_SQL_2!$F:$F)=0,"",SUMIF(CNXL_SQL_2!$E:$E,'PAGE_1 (4)'!R32,CNXL_SQL_2!$F:$F))</f>
        <v>5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SUMIF(SCH_DEP_SQL_4!$A:$A,'PAGE_1 (4)'!R33,SCH_DEP_SQL_4!$E:$E)</f>
        <v>817</v>
      </c>
      <c r="D33" s="12" t="str">
        <f>IF(SUMIFS(CNXL_SQL_2!$F:$F,CNXL_SQL_2!$A:$A,'PAGE_1 (4)'!$R33,CNXL_SQL_2!$D:$D,'PAGE_1 (4)'!$S$29)=0,"",SUMIFS(CNXL_SQL_2!$F:$F,CNXL_SQL_2!$A:$A,'PAGE_1 (4)'!$R33,CNXL_SQL_2!$D:$D,'PAGE_1 (4)'!$S$29))</f>
        <v/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SUMIF(SCH_DEP_SQL_4!$A:$A,'PAGE_1 (4)'!R34,SCH_DEP_SQL_4!$E:$E)</f>
        <v>1119</v>
      </c>
      <c r="D34" s="17">
        <f>IF(SUMIFS(CNXL_SQL_2!$F:$F,CNXL_SQL_2!$A:$A,'PAGE_1 (4)'!$R34,CNXL_SQL_2!$D:$D,'PAGE_1 (4)'!$S$29)=0,"",SUMIFS(CNXL_SQL_2!$F:$F,CNXL_SQL_2!$A:$A,'PAGE_1 (4)'!$R34,CNXL_SQL_2!$D:$D,'PAGE_1 (4)'!$S$29))</f>
        <v>8</v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>
        <f t="shared" si="0"/>
        <v>8</v>
      </c>
      <c r="N34" s="18" t="str">
        <f>ES_MATRIX!K8</f>
        <v/>
      </c>
      <c r="O34" s="18">
        <f>IFERROR(M34-ES_MATRIX!L8,"")</f>
        <v>8</v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SUMIF(SCH_DEP_SQL_4!$A:$A,'PAGE_1 (4)'!R35,SCH_DEP_SQL_4!$E:$E)</f>
        <v>1683</v>
      </c>
      <c r="D35" s="12" t="str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>9</v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9</v>
      </c>
      <c r="N35" s="38" t="str">
        <f>ES_MATRIX!K9</f>
        <v xml:space="preserve">OO-4 YX-5 </v>
      </c>
      <c r="O35" s="14">
        <f>IFERROR(M35-ES_MATRIX!L9,"")</f>
        <v>0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9526</v>
      </c>
      <c r="D37" s="22">
        <f>IF(SUM(D29:D36)=0,"",SUM(D29:D36))</f>
        <v>28</v>
      </c>
      <c r="E37" s="22">
        <f t="shared" ref="E37:L37" si="1">IF(SUM(E29:E36)=0,"",SUM(E29:E36))</f>
        <v>9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37</v>
      </c>
      <c r="N37" s="23"/>
      <c r="O37" s="23">
        <f>SUM(O29:O36)</f>
        <v>28</v>
      </c>
      <c r="P37" s="23">
        <f>SUM(P29:P36)</f>
        <v>9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SUMIF(SCH_DEP_SQL_4!$A:$A,'PAGE_1 (4)'!R30,SCH_DEP_SQL_4!$E:$E)</f>
        <v>4531</v>
      </c>
      <c r="D44" s="17" t="str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IF(SUMIF(RES_CNXL_SQL_3!$E:$E,'PAGE_1 (4)'!R30,RES_CNXL_SQL_3!$F:$F)=0,"",SUMIF(RES_CNXL_SQL_3!$E:$E,'PAGE_1 (4)'!R30,RES_CNXL_SQL_3!$F:$F))</f>
        <v/>
      </c>
    </row>
    <row r="45" spans="2:24" ht="12.75" x14ac:dyDescent="0.2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2.75" x14ac:dyDescent="0.2">
      <c r="B46" s="67" t="s">
        <v>21</v>
      </c>
      <c r="C46" s="81">
        <f>SUMIF(SCH_DEP_SQL_4!$A:$A,'PAGE_1 (4)'!R32,SCH_DEP_SQL_4!$E:$E)</f>
        <v>1376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2.75" x14ac:dyDescent="0.2">
      <c r="B47" s="66" t="s">
        <v>22</v>
      </c>
      <c r="C47" s="80">
        <f>SUMIF(SCH_DEP_SQL_4!$A:$A,'PAGE_1 (4)'!R33,SCH_DEP_SQL_4!$E:$E)</f>
        <v>817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2.75" x14ac:dyDescent="0.2">
      <c r="B48" s="67" t="s">
        <v>23</v>
      </c>
      <c r="C48" s="81">
        <f>SUMIF(SCH_DEP_SQL_4!$A:$A,'PAGE_1 (4)'!R34,SCH_DEP_SQL_4!$E:$E)</f>
        <v>1119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IF(SUMIF(RES_CNXL_SQL_3!$E:$E,'PAGE_1 (4)'!R34,RES_CNXL_SQL_3!$F:$F)=0,"",SUMIF(RES_CNXL_SQL_3!$E:$E,'PAGE_1 (4)'!R34,RES_CNXL_SQL_3!$F:$F))</f>
        <v/>
      </c>
    </row>
    <row r="49" spans="2:16" ht="12.75" x14ac:dyDescent="0.2">
      <c r="B49" s="66" t="s">
        <v>24</v>
      </c>
      <c r="C49" s="80">
        <f>SUMIF(SCH_DEP_SQL_4!$A:$A,'PAGE_1 (4)'!R35,SCH_DEP_SQL_4!$E:$E)</f>
        <v>1683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>1</v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 t="shared" si="2"/>
        <v>1</v>
      </c>
      <c r="N49" s="38" t="str">
        <f>ES_MATRIX!K20</f>
        <v/>
      </c>
      <c r="O49" s="14">
        <f>IFERROR(M49-ES_MATRIX!L20,"")</f>
        <v>1</v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2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25">
      <c r="B51" s="68" t="s">
        <v>26</v>
      </c>
      <c r="C51" s="82">
        <f>SUM(C43:C50)</f>
        <v>9526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>
        <f t="shared" si="3"/>
        <v>1</v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1</v>
      </c>
      <c r="N51" s="23"/>
      <c r="O51" s="23">
        <f>SUM(O43:O50)</f>
        <v>1</v>
      </c>
      <c r="P51" s="23">
        <f>SUM(P43:P50)</f>
        <v>0</v>
      </c>
    </row>
    <row r="52" spans="2:16" ht="21" customHeight="1" x14ac:dyDescent="0.2">
      <c r="C52" s="69"/>
    </row>
  </sheetData>
  <mergeCells count="13">
    <mergeCell ref="B27:P27"/>
    <mergeCell ref="B41:P41"/>
    <mergeCell ref="E19:F19"/>
    <mergeCell ref="E20:F20"/>
    <mergeCell ref="E21:F21"/>
    <mergeCell ref="E22:F22"/>
    <mergeCell ref="E23:F23"/>
    <mergeCell ref="E18:F18"/>
    <mergeCell ref="E24:F24"/>
    <mergeCell ref="B2:C2"/>
    <mergeCell ref="D2:E2"/>
    <mergeCell ref="B4:H4"/>
    <mergeCell ref="B16:K16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6" width="9.7109375" style="1" bestFit="1" customWidth="1"/>
    <col min="7" max="7" width="9.7109375" style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710937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45276</v>
      </c>
      <c r="E2" s="321"/>
    </row>
    <row r="3" spans="2:24" customFormat="1" ht="15.75" thickBot="1" x14ac:dyDescent="0.3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3">
      <c r="B5" s="64" t="s">
        <v>33</v>
      </c>
      <c r="C5" s="49">
        <f ca="1">TODAY()-1</f>
        <v>45276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12</v>
      </c>
      <c r="R5" s="57"/>
      <c r="S5" s="122"/>
      <c r="T5" s="122"/>
    </row>
    <row r="6" spans="2:24" ht="19.149999999999999" customHeight="1" x14ac:dyDescent="0.25">
      <c r="B6" s="62" t="s">
        <v>1</v>
      </c>
      <c r="C6" s="134">
        <f>UA_SQL_1!N2/UA_SQL_1!M2</f>
        <v>2.939323955490237E-3</v>
      </c>
      <c r="D6" s="134">
        <f>UA_SQL_1!F2/UA_SQL_1!E2</f>
        <v>2.0700943577893318E-3</v>
      </c>
      <c r="E6" s="131" t="s">
        <v>40</v>
      </c>
      <c r="F6" s="83">
        <f>((UA_SQL_1!$N$2/UA_SQL_1!$M$2)-(SUMIF(OA_SQL_1!$A$1:$A$3,"DL",OA_SQL_1!$K$1:$K$3)/SUMIF(OA_SQL_1!$A$1:$A$3,"DL",OA_SQL_1!$I$1:$I$3)))*100</f>
        <v>-99.706067604450979</v>
      </c>
      <c r="G6" s="83">
        <f>((UA_SQL_1!$N$2/UA_SQL_1!$M$2)-(SUMIF(OA_SQL_1!$A$1:$A$3,"AA",OA_SQL_1!$K$1:$K$3)/SUMIF(OA_SQL_1!$A$1:$A$3,"AA",OA_SQL_1!$I$1:$I$3)))*100</f>
        <v>-99.578316602766975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25">
      <c r="B7" s="62" t="s">
        <v>32</v>
      </c>
      <c r="C7" s="117">
        <f>UA_SQL_1!$Q$2/UA_SQL_1!$M$2</f>
        <v>0.74564350199454121</v>
      </c>
      <c r="D7" s="117">
        <f>UA_SQL_1!I2/UA_SQL_1!E2</f>
        <v>0.75322549585981124</v>
      </c>
      <c r="E7" s="131" t="s">
        <v>40</v>
      </c>
      <c r="F7" s="83">
        <f>((UA_SQL_1!$Q$2/UA_SQL_1!$M$2)-(SUMIF(OA_SQL_1!$A$1:$A$3,"DL",OA_SQL_1!$L$1:$L$3)/SUMIF(OA_SQL_1!$A$1:$A$3,"DL",OA_SQL_1!$I$1:$I$3)))*100</f>
        <v>-9.4564198603087846</v>
      </c>
      <c r="G7" s="83">
        <f>((UA_SQL_1!$Q$2/UA_SQL_1!$M$2)-(SUMIF(OA_SQL_1!$A$1:$A$3,"AA",OA_SQL_1!$L$1:$L$3)/SUMIF(OA_SQL_1!$A$1:$A$3,"AA",OA_SQL_1!$I$1:$I$3)))*100</f>
        <v>1.5833853132773967E-2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25">
      <c r="B8" s="63" t="s">
        <v>147</v>
      </c>
      <c r="C8" s="117">
        <f>UA_SQL_1!$P$2/UA_SQL_1!$M$2</f>
        <v>0.7962418643711946</v>
      </c>
      <c r="D8" s="135">
        <f>UA_SQL_1!H2/UA_SQL_1!E2</f>
        <v>0.80801078374735225</v>
      </c>
      <c r="E8" s="131" t="s">
        <v>40</v>
      </c>
      <c r="F8" s="83">
        <f>((UA_SQL_1!$P$2/UA_SQL_1!$M$2)-(SUMIF(OA_SQL_1!$A$1:$A$3,"DL",OA_SQL_1!$J$1:$J$3)/SUMIF(OA_SQL_1!$A$1:$A$3,"DL",OA_SQL_1!$I$1:$I$3)))*100</f>
        <v>-5.278331442766893</v>
      </c>
      <c r="G8" s="83">
        <f>((UA_SQL_1!$P$2/UA_SQL_1!$M$2)-(SUMIF(OA_SQL_1!$A$1:$A$3,"AA",OA_SQL_1!$J$1:$J$3)/SUMIF(OA_SQL_1!$A$1:$A$3,"AA",OA_SQL_1!$I$1:$I$3)))*100</f>
        <v>-1.1609015368657882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2">
      <c r="B9" s="63" t="s">
        <v>0</v>
      </c>
      <c r="C9" s="117">
        <f>UA_SQL_1!$O$2/UA_SQL_1!$M$2</f>
        <v>0.77881587234935967</v>
      </c>
      <c r="D9" s="135">
        <f>UA_SQL_1!G2/UA_SQL_1!E2</f>
        <v>0.78976506836125548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45" customHeight="1" x14ac:dyDescent="0.25">
      <c r="B10" s="62" t="s">
        <v>31</v>
      </c>
      <c r="C10" s="117">
        <f>UA_SQL_1!$S$2/UA_SQL_1!$R$2</f>
        <v>0.86706746826987313</v>
      </c>
      <c r="D10" s="117">
        <f>UA_SQL_1!K2/UA_SQL_1!J2</f>
        <v>0.8748091603053435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2">
      <c r="B11" s="62" t="s">
        <v>2</v>
      </c>
      <c r="C11" s="134">
        <f>(UA_SQL_1!$M$2-UA_SQL_1!$T$2)/UA_SQL_1!$M$2</f>
        <v>1</v>
      </c>
      <c r="D11" s="134">
        <f>(UA_SQL_1!E2-UA_SQL_1!L2)/UA_SQL_1!E2</f>
        <v>0.99995185827074906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2">
      <c r="B12" s="62" t="s">
        <v>87</v>
      </c>
      <c r="C12" s="52">
        <f>SUMIFS(TOTAL_DIVERTS_SQL_5!$B:$B,TOTAL_DIVERTS_SQL_5!$A:$A,"YEST")</f>
        <v>14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2">
      <c r="B13" s="62" t="s">
        <v>88</v>
      </c>
      <c r="C13" s="52">
        <f>SUMIF(DIVERTS_RECOVERED_SQL_6!$A:$A,"YEST",DIVERTS_RECOVERED_SQL_6!$C:$C)</f>
        <v>12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25">
      <c r="B14" s="62" t="s">
        <v>121</v>
      </c>
      <c r="C14" s="52">
        <f>FLIGHTS_NOT_DEPARTED_SQL_8!$A$2</f>
        <v>15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25">
      <c r="B15" s="62" t="s">
        <v>125</v>
      </c>
      <c r="C15" s="52">
        <f>REPOSITIONED_FLIGHTS_SQL_13!$A$2</f>
        <v>77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5" x14ac:dyDescent="0.2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5" x14ac:dyDescent="0.2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3">
      <c r="B18" s="334" t="s">
        <v>101</v>
      </c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3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25">
      <c r="B20" s="62" t="s">
        <v>104</v>
      </c>
      <c r="C20" s="117">
        <f>SUMIFS(UA_HUB_SQL_7!J:J,UA_HUB_SQL_7!$B:$B,PAGE_1!B20)/SUMIFS(UA_HUB_SQL_7!$F:$F,UA_HUB_SQL_7!$B:$B,PAGE_1!B20)</f>
        <v>0.7104166666666667</v>
      </c>
      <c r="D20" s="117">
        <f>SUMIFS(UA_HUB_SQL_7!K:K,UA_HUB_SQL_7!B:B,PAGE_1!B20)/SUMIFS(UA_HUB_SQL_7!F:F,UA_HUB_SQL_7!B:B,PAGE_1!B20)</f>
        <v>0.87083333333333335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1.1458333333333333E-2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25">
      <c r="B21" s="62" t="s">
        <v>106</v>
      </c>
      <c r="C21" s="117">
        <f>IFERROR(SUMIFS(UA_HUB_SQL_7!J:J,UA_HUB_SQL_7!$B:$B,PAGE_1!B21)/SUMIFS(UA_HUB_SQL_7!$F:$F,UA_HUB_SQL_7!$B:$B,PAGE_1!B21),"-")</f>
        <v>0.80979020979020977</v>
      </c>
      <c r="D21" s="117">
        <f>IFERROR(SUMIFS(UA_HUB_SQL_7!K:K,UA_HUB_SQL_7!B:B,PAGE_1!B21)/SUMIFS(UA_HUB_SQL_7!F:F,UA_HUB_SQL_7!B:B,PAGE_1!B21),"-")</f>
        <v>0.96083916083916088</v>
      </c>
      <c r="E21" s="83" t="str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-</v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24.908509212306683</v>
      </c>
      <c r="G21" s="116" t="s">
        <v>40</v>
      </c>
      <c r="H21" s="121" t="str">
        <f>IFERROR(RANK!F9,"-")</f>
        <v>-</v>
      </c>
      <c r="I21" s="119">
        <f>IFERROR(SUMIFS(UA_HUB_SQL_7!G:G,UA_HUB_SQL_7!$B:$B,PAGE_1!B21)/SUMIFS(UA_HUB_SQL_7!$F:$F,UA_HUB_SQL_7!$B:$B,PAGE_1!B21),"-")</f>
        <v>0</v>
      </c>
      <c r="J21" s="83" t="str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</v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-98.517179023508135</v>
      </c>
      <c r="L21" s="116" t="s">
        <v>40</v>
      </c>
      <c r="M21" s="52" t="str">
        <f>IFERROR(RANK!F20,"-")</f>
        <v>-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25">
      <c r="B22" s="63" t="s">
        <v>109</v>
      </c>
      <c r="C22" s="117">
        <f>SUMIFS(UA_HUB_SQL_7!J:J,UA_HUB_SQL_7!$B:$B,PAGE_1!B22)/SUMIFS(UA_HUB_SQL_7!$F:$F,UA_HUB_SQL_7!$B:$B,PAGE_1!B22)</f>
        <v>0.73419773095623986</v>
      </c>
      <c r="D22" s="117">
        <f>SUMIFS(UA_HUB_SQL_7!K:K,UA_HUB_SQL_7!B:B,PAGE_1!B22)/SUMIFS(UA_HUB_SQL_7!F:F,UA_HUB_SQL_7!B:B,PAGE_1!B22)</f>
        <v>0.8897893030794165</v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20.228930307941649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17.675166867081437</v>
      </c>
      <c r="G22" s="116" t="s">
        <v>40</v>
      </c>
      <c r="H22" s="121">
        <f>RANK!F10</f>
        <v>1</v>
      </c>
      <c r="I22" s="119">
        <f>SUMIFS(UA_HUB_SQL_7!G:G,UA_HUB_SQL_7!$B:$B,PAGE_1!B22)/SUMIFS(UA_HUB_SQL_7!$F:$F,UA_HUB_SQL_7!$B:$B,PAGE_1!B22)</f>
        <v>0</v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-100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-98.387096774193552</v>
      </c>
      <c r="L22" s="116" t="s">
        <v>40</v>
      </c>
      <c r="M22" s="52">
        <f>RANK!F21</f>
        <v>1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25">
      <c r="B23" s="63" t="s">
        <v>108</v>
      </c>
      <c r="C23" s="117">
        <f>SUMIFS(UA_HUB_SQL_7!J:J,UA_HUB_SQL_7!$B:$B,PAGE_1!B23)/SUMIFS(UA_HUB_SQL_7!$F:$F,UA_HUB_SQL_7!$B:$B,PAGE_1!B23)</f>
        <v>0.65306122448979587</v>
      </c>
      <c r="D23" s="117">
        <f>SUMIFS(UA_HUB_SQL_7!K:K,UA_HUB_SQL_7!B:B,PAGE_1!B23)/SUMIFS(UA_HUB_SQL_7!F:F,UA_HUB_SQL_7!B:B,PAGE_1!B23)</f>
        <v>0.79786200194363455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2.1367777935598409</v>
      </c>
      <c r="G23" s="116" t="s">
        <v>40</v>
      </c>
      <c r="H23" s="121">
        <f>RANK!F11</f>
        <v>1</v>
      </c>
      <c r="I23" s="119">
        <f>SUMIFS(UA_HUB_SQL_7!G:G,UA_HUB_SQL_7!$B:$B,PAGE_1!B23)/SUMIFS(UA_HUB_SQL_7!$F:$F,UA_HUB_SQL_7!$B:$B,PAGE_1!B23)</f>
        <v>9.7181729834791054E-4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-97.542195467553455</v>
      </c>
      <c r="L23" s="116" t="s">
        <v>40</v>
      </c>
      <c r="M23" s="52">
        <f>RANK!F22</f>
        <v>1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25">
      <c r="B24" s="62" t="s">
        <v>105</v>
      </c>
      <c r="C24" s="117">
        <f>IFERROR(SUMIFS(UA_HUB_SQL_7!J:J,UA_HUB_SQL_7!$B:$B,PAGE_1!B24)/SUMIFS(UA_HUB_SQL_7!$F:$F,UA_HUB_SQL_7!$B:$B,PAGE_1!B24),"-")</f>
        <v>0.81333333333333335</v>
      </c>
      <c r="D24" s="117">
        <f>IFERROR(SUMIFS(UA_HUB_SQL_7!K:K,UA_HUB_SQL_7!B:B,PAGE_1!B24)/SUMIFS(UA_HUB_SQL_7!F:F,UA_HUB_SQL_7!B:B,PAGE_1!B24),"-")</f>
        <v>0.98</v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24.666666666666671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10.676056338028172</v>
      </c>
      <c r="G24" s="116" t="s">
        <v>40</v>
      </c>
      <c r="H24" s="121">
        <f>IFERROR(RANK!F12,"-")</f>
        <v>1</v>
      </c>
      <c r="I24" s="119">
        <f>IFERROR(SUMIFS(UA_HUB_SQL_7!G:G,UA_HUB_SQL_7!$B:$B,PAGE_1!B24)/SUMIFS(UA_HUB_SQL_7!$F:$F,UA_HUB_SQL_7!$B:$B,PAGE_1!B24),"-")</f>
        <v>0</v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-100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-99.823943661971825</v>
      </c>
      <c r="L24" s="116" t="s">
        <v>40</v>
      </c>
      <c r="M24" s="52">
        <f>IFERROR(RANK!F23,"-")</f>
        <v>1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2">
      <c r="B25" s="63" t="s">
        <v>103</v>
      </c>
      <c r="C25" s="117">
        <f>SUMIFS(UA_HUB_SQL_7!J:J,UA_HUB_SQL_7!$B:$B,PAGE_1!B25)/SUMIFS(UA_HUB_SQL_7!$F:$F,UA_HUB_SQL_7!$B:$B,PAGE_1!B25)</f>
        <v>0.78199052132701419</v>
      </c>
      <c r="D25" s="117">
        <f>SUMIFS(UA_HUB_SQL_7!K:K,UA_HUB_SQL_7!B:B,PAGE_1!B25)/SUMIFS(UA_HUB_SQL_7!F:F,UA_HUB_SQL_7!B:B,PAGE_1!B25)</f>
        <v>0.93080568720379142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32.576367039706881</v>
      </c>
      <c r="G25" s="83" t="s">
        <v>40</v>
      </c>
      <c r="H25" s="121">
        <f>IFERROR(RANK!F13,"-")</f>
        <v>1</v>
      </c>
      <c r="I25" s="119">
        <f>SUMIFS(UA_HUB_SQL_7!G:G,UA_HUB_SQL_7!$B:$B,PAGE_1!B25)/SUMIFS(UA_HUB_SQL_7!$F:$F,UA_HUB_SQL_7!$B:$B,PAGE_1!B25)</f>
        <v>0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-98.907563025210095</v>
      </c>
      <c r="L25" s="116" t="s">
        <v>40</v>
      </c>
      <c r="M25" s="52">
        <f>RANK!F24</f>
        <v>1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2">
      <c r="B26" s="62" t="s">
        <v>107</v>
      </c>
      <c r="C26" s="117">
        <f>SUMIFS(UA_HUB_SQL_7!J:J,UA_HUB_SQL_7!$B:$B,PAGE_1!B26)/SUMIFS(UA_HUB_SQL_7!$F:$F,UA_HUB_SQL_7!$B:$B,PAGE_1!B26)</f>
        <v>0.74351585014409227</v>
      </c>
      <c r="D26" s="117">
        <f>SUMIFS(UA_HUB_SQL_7!K:K,UA_HUB_SQL_7!B:B,PAGE_1!B26)/SUMIFS(UA_HUB_SQL_7!F:F,UA_HUB_SQL_7!B:B,PAGE_1!B26)</f>
        <v>0.90489913544668588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11.827493162502979</v>
      </c>
      <c r="H26" s="121">
        <f>RANK!F14</f>
        <v>1</v>
      </c>
      <c r="I26" s="119">
        <f>SUMIFS(UA_HUB_SQL_7!G:G,UA_HUB_SQL_7!$B:$B,PAGE_1!B26)/SUMIFS(UA_HUB_SQL_7!$F:$F,UA_HUB_SQL_7!$B:$B,PAGE_1!B26)</f>
        <v>0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-100</v>
      </c>
      <c r="M26" s="52">
        <f>RANK!F25</f>
        <v>1</v>
      </c>
      <c r="N26" s="57">
        <f>SUMIFS(OA_SQL_2!K:K,OA_SQL_2!A:A,PAGE_1!B26,OA_SQL_2!B:B,"AS")/SUMIFS(OA_SQL_2!J:J,OA_SQL_2!A:A,PAGE_1!B26,OA_SQL_2!B:B,"AS")</f>
        <v>0.7866242038216561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2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0.81882845188284514</v>
      </c>
      <c r="D27" s="117">
        <f>SUMIFS(UA_HUB_SQL_7!K:K,UA_HUB_SQL_7!B:B,PAGE_1!A27)/SUMIFS(UA_HUB_SQL_7!F:F,UA_HUB_SQL_7!B:B,PAGE_1!A27)</f>
        <v>0.94184100418410044</v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14.860792147733349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19.303500009040022</v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23.652699452226468</v>
      </c>
      <c r="H27" s="121">
        <f>RANK!F15</f>
        <v>1</v>
      </c>
      <c r="I27" s="119">
        <f>SUMIFS(UA_HUB_SQL_7!G:G,UA_HUB_SQL_7!$B:$B,PAGE_1!A27)/SUMIFS(UA_HUB_SQL_7!$F:$F,UA_HUB_SQL_7!$B:$B,PAGE_1!A27)</f>
        <v>3.3472803347280333E-3</v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-99.665271966527186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-98.584989956065513</v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>-99.665271966527186</v>
      </c>
      <c r="M27" s="52">
        <f>RANK!F26</f>
        <v>3</v>
      </c>
      <c r="N27" s="57">
        <f>(SUMIFS(UA_HUB_SQL_7!K:K,UA_HUB_SQL_7!B:B,PAGE_1!A27)/SUMIFS(UA_HUB_SQL_7!F:F,UA_HUB_SQL_7!B:B,PAGE_1!A27))</f>
        <v>0.94184100418410044</v>
      </c>
      <c r="O27" s="57">
        <f>(SUMIFS(OA_SQL_2!K:K,OA_SQL_2!A:A,PAGE_1!A27,OA_SQL_2!B:B,"DL")/SUMIFS(OA_SQL_2!J:J,OA_SQL_2!A:A,PAGE_1!A27,OA_SQL_2!B:B,"DL"))</f>
        <v>0.79323308270676696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2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75" thickBot="1" x14ac:dyDescent="0.2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.5" thickBot="1" x14ac:dyDescent="0.25">
      <c r="B30" s="324" t="s">
        <v>27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59"/>
      <c r="R30" s="60"/>
      <c r="S30" s="60"/>
      <c r="T30" s="60"/>
      <c r="U30" s="60"/>
      <c r="V30" s="59"/>
      <c r="W30" s="57"/>
      <c r="X30" s="57"/>
    </row>
    <row r="31" spans="1:24" ht="30.6" customHeight="1" thickBot="1" x14ac:dyDescent="0.2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5" x14ac:dyDescent="0.25">
      <c r="B32" s="67" t="s">
        <v>19</v>
      </c>
      <c r="C32" s="81">
        <f>SUMIF(SCH_DEP_SQL_4!$A:$A,PAGE_1!R33,SCH_DEP_SQL_4!$E:$E)</f>
        <v>4531</v>
      </c>
      <c r="D32" s="17">
        <f>IF(SUMIFS(CNXL_SQL_2!$F:$F,CNXL_SQL_2!$A:$A,PAGE_1!$R33,CNXL_SQL_2!$D:$D,PAGE_1!$S$32)=0,"",SUMIFS(CNXL_SQL_2!$F:$F,CNXL_SQL_2!$A:$A,PAGE_1!$R33,CNXL_SQL_2!$D:$D,PAGE_1!$S$32))</f>
        <v>20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20</v>
      </c>
      <c r="N32" s="18" t="str">
        <f>ES_MATRIX!K4</f>
        <v/>
      </c>
      <c r="O32" s="18">
        <f>IFERROR(M32-ES_MATRIX!L4,"")</f>
        <v>20</v>
      </c>
      <c r="P32" s="16">
        <f>IF(SUMIF(CNXL_SQL_2!$E:$E,PAGE_1!R33,CNXL_SQL_2!$F:$F)=0,"",SUMIF(CNXL_SQL_2!$E:$E,PAGE_1!R33,CNXL_SQL_2!$F:$F))</f>
        <v>4</v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5" x14ac:dyDescent="0.25">
      <c r="B33" s="137" t="s">
        <v>21</v>
      </c>
      <c r="C33" s="138">
        <f>SUMIF(SCH_DEP_SQL_4!$A:$A,PAGE_1!R35,SCH_DEP_SQL_4!$E:$E)</f>
        <v>1376</v>
      </c>
      <c r="D33" s="139" t="str">
        <f>IF(SUMIFS(CNXL_SQL_2!$F:$F,CNXL_SQL_2!$A:$A,PAGE_1!$R35,CNXL_SQL_2!$D:$D,PAGE_1!$S$32)=0,"",SUMIFS(CNXL_SQL_2!$F:$F,CNXL_SQL_2!$A:$A,PAGE_1!$R35,CNXL_SQL_2!$D:$D,PAGE_1!$S$32))</f>
        <v/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 t="str">
        <f>IF(SUMIFS(CNXL_SQL_2!$F:$F,CNXL_SQL_2!$A:$A,PAGE_1!$R35,CNXL_SQL_2!$D:$D,PAGE_1!$S$34)=0,"",SUMIFS(CNXL_SQL_2!$F:$F,CNXL_SQL_2!$A:$A,PAGE_1!$R35,CNXL_SQL_2!$D:$D,PAGE_1!$S$34))</f>
        <v/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 t="str">
        <f t="shared" si="0"/>
        <v/>
      </c>
      <c r="N33" s="140" t="str">
        <f>ES_MATRIX!K6</f>
        <v/>
      </c>
      <c r="O33" s="140" t="str">
        <f>IFERROR(M33-ES_MATRIX!L6,"")</f>
        <v/>
      </c>
      <c r="P33" s="141">
        <f>IF(SUMIF(CNXL_SQL_2!$E:$E,PAGE_1!R35,CNXL_SQL_2!$F:$F)=0,"",SUMIF(CNXL_SQL_2!$E:$E,PAGE_1!R35,CNXL_SQL_2!$F:$F))</f>
        <v>5</v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5" x14ac:dyDescent="0.25">
      <c r="B34" s="67" t="s">
        <v>22</v>
      </c>
      <c r="C34" s="81">
        <f>SUMIF(SCH_DEP_SQL_4!$A:$A,PAGE_1!R36,SCH_DEP_SQL_4!$E:$E)</f>
        <v>817</v>
      </c>
      <c r="D34" s="17" t="str">
        <f>IF(SUMIFS(CNXL_SQL_2!$F:$F,CNXL_SQL_2!$A:$A,PAGE_1!$R36,CNXL_SQL_2!$D:$D,PAGE_1!$S$32)=0,"",SUMIFS(CNXL_SQL_2!$F:$F,CNXL_SQL_2!$A:$A,PAGE_1!$R36,CNXL_SQL_2!$D:$D,PAGE_1!$S$32))</f>
        <v/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 t="str">
        <f t="shared" si="0"/>
        <v/>
      </c>
      <c r="N34" s="18" t="str">
        <f>ES_MATRIX!K7</f>
        <v/>
      </c>
      <c r="O34" s="18" t="str">
        <f>IFERROR(M34-ES_MATRIX!L7,"")</f>
        <v/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5" x14ac:dyDescent="0.25">
      <c r="B35" s="137" t="s">
        <v>23</v>
      </c>
      <c r="C35" s="138">
        <f>SUMIF(SCH_DEP_SQL_4!$A:$A,PAGE_1!R37,SCH_DEP_SQL_4!$E:$E)</f>
        <v>1119</v>
      </c>
      <c r="D35" s="139">
        <f>IF(SUMIFS(CNXL_SQL_2!$F:$F,CNXL_SQL_2!$A:$A,PAGE_1!$R37,CNXL_SQL_2!$D:$D,PAGE_1!$S$32)=0,"",SUMIFS(CNXL_SQL_2!$F:$F,CNXL_SQL_2!$A:$A,PAGE_1!$R37,CNXL_SQL_2!$D:$D,PAGE_1!$S$32))</f>
        <v>8</v>
      </c>
      <c r="E35" s="139" t="str">
        <f>IF(SUMIFS(CNXL_SQL_2!$F:$F,CNXL_SQL_2!$A:$A,PAGE_1!$R37,CNXL_SQL_2!$D:$D,PAGE_1!$S$33)=0,"",SUMIFS(CNXL_SQL_2!$F:$F,CNXL_SQL_2!$A:$A,PAGE_1!$R37,CNXL_SQL_2!$D:$D,PAGE_1!$S$33))</f>
        <v/>
      </c>
      <c r="F35" s="139" t="str">
        <f>IF(SUMIFS(CNXL_SQL_2!$F:$F,CNXL_SQL_2!$A:$A,PAGE_1!$R37,CNXL_SQL_2!$D:$D,PAGE_1!$S$34)=0,"",SUMIFS(CNXL_SQL_2!$F:$F,CNXL_SQL_2!$A:$A,PAGE_1!$R37,CNXL_SQL_2!$D:$D,PAGE_1!$S$34))</f>
        <v/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>
        <f t="shared" si="0"/>
        <v>8</v>
      </c>
      <c r="N35" s="140" t="str">
        <f>ES_MATRIX!K8</f>
        <v/>
      </c>
      <c r="O35" s="140">
        <f>IFERROR(M35-ES_MATRIX!L8,"")</f>
        <v>8</v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5" x14ac:dyDescent="0.25">
      <c r="B36" s="67" t="s">
        <v>24</v>
      </c>
      <c r="C36" s="81">
        <f>SUMIF(SCH_DEP_SQL_4!$A:$A,PAGE_1!R38,SCH_DEP_SQL_4!$E:$E)</f>
        <v>1683</v>
      </c>
      <c r="D36" s="17" t="str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>9</v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9</v>
      </c>
      <c r="N36" s="18" t="str">
        <f>ES_MATRIX!K9</f>
        <v xml:space="preserve">OO-4 YX-5 </v>
      </c>
      <c r="O36" s="18">
        <f>IFERROR(M36-ES_MATRIX!L9,"")</f>
        <v>0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.75" thickBot="1" x14ac:dyDescent="0.3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.75" thickBot="1" x14ac:dyDescent="0.3">
      <c r="B38" s="68" t="s">
        <v>26</v>
      </c>
      <c r="C38" s="82">
        <f>SUM(C32:C37)</f>
        <v>9526</v>
      </c>
      <c r="D38" s="22">
        <f t="shared" ref="D38:L38" si="1">IF(SUM(D32:D37)=0,"",SUM(D32:D37))</f>
        <v>28</v>
      </c>
      <c r="E38" s="22">
        <f t="shared" si="1"/>
        <v>9</v>
      </c>
      <c r="F38" s="22" t="str">
        <f t="shared" si="1"/>
        <v/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37</v>
      </c>
      <c r="N38" s="23"/>
      <c r="O38" s="23">
        <f>SUM(O32:O37)</f>
        <v>28</v>
      </c>
      <c r="P38" s="23">
        <f>SUM(P32:P37)</f>
        <v>9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5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5" x14ac:dyDescent="0.2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2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25">
      <c r="B42" s="326" t="s">
        <v>28</v>
      </c>
      <c r="C42" s="327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143"/>
      <c r="R42" s="143"/>
      <c r="S42" s="143"/>
      <c r="T42" s="143"/>
      <c r="U42" s="143"/>
      <c r="V42" s="59"/>
      <c r="W42" s="57"/>
      <c r="X42" s="57"/>
    </row>
    <row r="43" spans="2:24" ht="30.6" customHeight="1" thickBot="1" x14ac:dyDescent="0.2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2.75" x14ac:dyDescent="0.2">
      <c r="B44" s="67" t="s">
        <v>19</v>
      </c>
      <c r="C44" s="81">
        <f>SUMIF(SCH_DEP_SQL_4!$A:$A,PAGE_1!R33,SCH_DEP_SQL_4!$E:$E)</f>
        <v>4531</v>
      </c>
      <c r="D44" s="17" t="str">
        <f>IF(SUMIFS(RES_CNXL_SQL_3!$F:$F,RES_CNXL_SQL_3!$A:$A,PAGE_1!$R33,RES_CNXL_SQL_3!$D:$D,PAGE_1!$S$32)=0,"",SUMIFS(RES_CNXL_SQL_3!$F:$F,RES_CNXL_SQL_3!$A:$A,PAGE_1!$R33,RES_CNXL_SQL_3!$D:$D,PAGE_1!$S$32))</f>
        <v/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 t="str">
        <f t="shared" ref="M44:M49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IF(SUMIF(RES_CNXL_SQL_3!$E:$E,PAGE_1!R33,RES_CNXL_SQL_3!$F:$F)=0,"",SUMIF(RES_CNXL_SQL_3!$E:$E,PAGE_1!R33,RES_CNXL_SQL_3!$F:$F))</f>
        <v/>
      </c>
      <c r="Q44" s="59"/>
      <c r="R44" s="60"/>
      <c r="S44" s="60"/>
      <c r="T44" s="60"/>
      <c r="U44" s="60"/>
      <c r="V44" s="59"/>
      <c r="W44" s="57"/>
      <c r="X44" s="57"/>
    </row>
    <row r="45" spans="2:24" ht="12.75" x14ac:dyDescent="0.2">
      <c r="B45" s="137" t="s">
        <v>21</v>
      </c>
      <c r="C45" s="138">
        <f>SUMIF(SCH_DEP_SQL_4!$A:$A,PAGE_1!R35,SCH_DEP_SQL_4!$E:$E)</f>
        <v>1376</v>
      </c>
      <c r="D45" s="139" t="str">
        <f>IF(SUMIFS(RES_CNXL_SQL_3!$F:$F,RES_CNXL_SQL_3!$A:$A,PAGE_1!$R35,RES_CNXL_SQL_3!$D:$D,PAGE_1!$S$32)=0,"",SUMIFS(RES_CNXL_SQL_3!$F:$F,RES_CNXL_SQL_3!$A:$A,PAGE_1!$R35,RES_CNXL_SQL_3!$D:$D,PAGE_1!$S$32))</f>
        <v/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 t="str">
        <f t="shared" si="2"/>
        <v/>
      </c>
      <c r="N45" s="140" t="str">
        <f>ES_MATRIX!K17</f>
        <v/>
      </c>
      <c r="O45" s="140" t="str">
        <f>IFERROR(M45-ES_MATRIX!L17,"")</f>
        <v/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2.75" x14ac:dyDescent="0.2">
      <c r="B46" s="67" t="s">
        <v>22</v>
      </c>
      <c r="C46" s="81">
        <f>SUMIF(SCH_DEP_SQL_4!$A:$A,PAGE_1!R36,SCH_DEP_SQL_4!$E:$E)</f>
        <v>817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2.75" x14ac:dyDescent="0.2">
      <c r="B47" s="137" t="s">
        <v>23</v>
      </c>
      <c r="C47" s="138">
        <f>SUMIF(SCH_DEP_SQL_4!$A:$A,PAGE_1!R37,SCH_DEP_SQL_4!$E:$E)</f>
        <v>1119</v>
      </c>
      <c r="D47" s="139" t="str">
        <f>IF(SUMIFS(RES_CNXL_SQL_3!$F:$F,RES_CNXL_SQL_3!$A:$A,PAGE_1!$R37,RES_CNXL_SQL_3!$D:$D,PAGE_1!$S$32)=0,"",SUMIFS(RES_CNXL_SQL_3!$F:$F,RES_CNXL_SQL_3!$A:$A,PAGE_1!$R37,RES_CNXL_SQL_3!$D:$D,PAGE_1!$S$32))</f>
        <v/>
      </c>
      <c r="E47" s="139" t="str">
        <f>IF(SUMIFS(RES_CNXL_SQL_3!$F:$F,RES_CNXL_SQL_3!$A:$A,PAGE_1!$R37,RES_CNXL_SQL_3!$D:$D,PAGE_1!$S$33)=0,"",SUMIFS(RES_CNXL_SQL_3!$F:$F,RES_CNXL_SQL_3!$A:$A,PAGE_1!$R37,RES_CNXL_SQL_3!$D:$D,PAGE_1!$S$33))</f>
        <v/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 t="str">
        <f t="shared" si="2"/>
        <v/>
      </c>
      <c r="N47" s="140" t="str">
        <f>ES_MATRIX!K19</f>
        <v/>
      </c>
      <c r="O47" s="140" t="str">
        <f>IFERROR(M47-ES_MATRIX!L19,"")</f>
        <v/>
      </c>
      <c r="P47" s="141" t="str">
        <f>IF(SUMIF(RES_CNXL_SQL_3!$E:$E,PAGE_1!R37,RES_CNXL_SQL_3!$F:$F)=0,"",SUMIF(RES_CNXL_SQL_3!$E:$E,PAGE_1!R37,RES_CNXL_SQL_3!$F:$F))</f>
        <v/>
      </c>
    </row>
    <row r="48" spans="2:24" ht="12.75" x14ac:dyDescent="0.2">
      <c r="B48" s="67" t="s">
        <v>24</v>
      </c>
      <c r="C48" s="81">
        <f>SUMIF(SCH_DEP_SQL_4!$A:$A,PAGE_1!R38,SCH_DEP_SQL_4!$E:$E)</f>
        <v>1683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>1</v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>
        <f t="shared" si="2"/>
        <v>1</v>
      </c>
      <c r="N48" s="18" t="str">
        <f>ES_MATRIX!K20</f>
        <v/>
      </c>
      <c r="O48" s="18">
        <f>IFERROR(M48-ES_MATRIX!L20,"")</f>
        <v>1</v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2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25">
      <c r="B50" s="68" t="s">
        <v>26</v>
      </c>
      <c r="C50" s="82">
        <f>SUM(C44:C49)</f>
        <v>9526</v>
      </c>
      <c r="D50" s="22" t="str">
        <f t="shared" ref="D50:L50" si="3">IF(SUM(D44:D49)=0,"",SUM(D44:D49))</f>
        <v/>
      </c>
      <c r="E50" s="22" t="str">
        <f t="shared" si="3"/>
        <v/>
      </c>
      <c r="F50" s="22">
        <f t="shared" si="3"/>
        <v>1</v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1</v>
      </c>
      <c r="N50" s="23"/>
      <c r="O50" s="23">
        <f>SUM(O44:O49)</f>
        <v>1</v>
      </c>
      <c r="P50" s="23">
        <f>SUM(P44:P49)</f>
        <v>0</v>
      </c>
    </row>
    <row r="51" spans="2:16" x14ac:dyDescent="0.2">
      <c r="C51" s="69"/>
    </row>
    <row r="55" spans="2:16" ht="21" customHeight="1" x14ac:dyDescent="0.2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customWidth="1"/>
    <col min="10" max="10" width="8.5703125" style="1" customWidth="1"/>
    <col min="11" max="11" width="11.570312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45276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45276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2.939323955490237E-3</v>
      </c>
      <c r="D6" s="77">
        <f>UA_SQL_1!F2/UA_SQL_1!E2</f>
        <v>2.0700943577893318E-3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-99.706067604450979</v>
      </c>
      <c r="G6" s="83">
        <f>((UA_SQL_1!$N$2/UA_SQL_1!$M$2)-(SUMIF(OA_SQL_1!$A$1:$A$3,"AA",OA_SQL_1!$K$1:$K$3)/SUMIF(OA_SQL_1!$A$1:$A$3,"AA",OA_SQL_1!$I$1:$I$3)))*100</f>
        <v>-99.578316602766975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0.74564350199454121</v>
      </c>
      <c r="D7" s="77">
        <f>UA_SQL_1!I2/UA_SQL_1!E2</f>
        <v>0.75322549585981124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-9.4564198603087846</v>
      </c>
      <c r="G7" s="83">
        <f>((UA_SQL_1!$Q$2/UA_SQL_1!$M$2)-(SUMIF(OA_SQL_1!$A$1:$A$3,"AA",OA_SQL_1!$L$1:$L$3)/SUMIF(OA_SQL_1!$A$1:$A$3,"AA",OA_SQL_1!$I$1:$I$3)))*100</f>
        <v>1.5833853132773967E-2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0.7962418643711946</v>
      </c>
      <c r="D8" s="78">
        <f>UA_SQL_1!H2/UA_SQL_1!E2</f>
        <v>0.80801078374735225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-5.278331442766893</v>
      </c>
      <c r="G8" s="83">
        <f>((UA_SQL_1!$P$2/UA_SQL_1!$M$2)-(SUMIF(OA_SQL_1!$A$1:$A$3,"AA",OA_SQL_1!$J$1:$J$3)/SUMIF(OA_SQL_1!$A$1:$A$3,"AA",OA_SQL_1!$I$1:$I$3)))*100</f>
        <v>-1.1609015368657882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0.77881587234935967</v>
      </c>
      <c r="D9" s="78">
        <f>UA_SQL_1!G2/UA_SQL_1!E2</f>
        <v>0.78976506836125548</v>
      </c>
      <c r="E9" s="29">
        <f>SUMIF(EX_Goals!$B:$B,PAGE_1_old!#REF!,EX_Goals!$C:$C)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0.86706746826987313</v>
      </c>
      <c r="D10" s="77">
        <f>UA_SQL_1!K2/UA_SQL_1!J2</f>
        <v>0.8748091603053435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0.99995185827074906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77">
        <f>SUMIFS(UA_HUB_SQL_7!J:J,UA_HUB_SQL_7!$B:$B,PAGE_1_old!B18)/SUMIFS(UA_HUB_SQL_7!$F:$F,UA_HUB_SQL_7!$B:$B,PAGE_1_old!B18)</f>
        <v>0.7104166666666667</v>
      </c>
      <c r="D18" s="77">
        <f>SUMIFS(UA_HUB_SQL_7!K:K,UA_HUB_SQL_7!B:B,PAGE_1_old!B18)/SUMIFS(UA_HUB_SQL_7!F:F,UA_HUB_SQL_7!B:B,PAGE_1_old!B18)</f>
        <v>0.87083333333333335</v>
      </c>
      <c r="E18" s="108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8.1359649122807021</v>
      </c>
      <c r="G18" s="52">
        <f>RANK!F8</f>
        <v>0</v>
      </c>
      <c r="H18" s="77">
        <f>SUMIFS(UA_HUB_SQL_7!G:G,UA_HUB_SQL_7!$B:$B,PAGE_1_old!B18)/SUMIFS(UA_HUB_SQL_7!$F:$F,UA_HUB_SQL_7!$B:$B,PAGE_1_old!B18)</f>
        <v>1.1458333333333333E-2</v>
      </c>
      <c r="I18" s="108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-98.854166666666671</v>
      </c>
      <c r="K18" s="52">
        <f>RANK!M19</f>
        <v>1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77">
        <f>SUMIFS(UA_HUB_SQL_7!J:J,UA_HUB_SQL_7!$B:$B,PAGE_1_old!B19)/SUMIFS(UA_HUB_SQL_7!$F:$F,UA_HUB_SQL_7!$B:$B,PAGE_1_old!B19)</f>
        <v>0.80979020979020977</v>
      </c>
      <c r="D19" s="77">
        <f>SUMIFS(UA_HUB_SQL_7!K:K,UA_HUB_SQL_7!B:B,PAGE_1_old!B19)/SUMIFS(UA_HUB_SQL_7!F:F,UA_HUB_SQL_7!B:B,PAGE_1_old!B19)</f>
        <v>0.96083916083916088</v>
      </c>
      <c r="E19" s="108" t="str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-</v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24.908509212306683</v>
      </c>
      <c r="G19" s="52" t="e">
        <f>RANK!F9</f>
        <v>#DIV/0!</v>
      </c>
      <c r="H19" s="77">
        <f>SUMIFS(UA_HUB_SQL_7!G:G,UA_HUB_SQL_7!$B:$B,PAGE_1_old!B19)/SUMIFS(UA_HUB_SQL_7!$F:$F,UA_HUB_SQL_7!$B:$B,PAGE_1_old!B19)</f>
        <v>0</v>
      </c>
      <c r="I19" s="108" t="str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</v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-98.517179023508135</v>
      </c>
      <c r="K19" s="52">
        <f>RANK!M20</f>
        <v>2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77">
        <f>SUMIFS(UA_HUB_SQL_7!J:J,UA_HUB_SQL_7!$B:$B,PAGE_1_old!B20)/SUMIFS(UA_HUB_SQL_7!$F:$F,UA_HUB_SQL_7!$B:$B,PAGE_1_old!B20)</f>
        <v>0.73419773095623986</v>
      </c>
      <c r="D20" s="77">
        <f>SUMIFS(UA_HUB_SQL_7!K:K,UA_HUB_SQL_7!B:B,PAGE_1_old!B20)/SUMIFS(UA_HUB_SQL_7!F:F,UA_HUB_SQL_7!B:B,PAGE_1_old!B20)</f>
        <v>0.8897893030794165</v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20.228930307941649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17.675166867081437</v>
      </c>
      <c r="G20" s="52">
        <f>RANK!F10</f>
        <v>1</v>
      </c>
      <c r="H20" s="77">
        <f>SUMIFS(UA_HUB_SQL_7!G:G,UA_HUB_SQL_7!$B:$B,PAGE_1_old!B20)/SUMIFS(UA_HUB_SQL_7!$F:$F,UA_HUB_SQL_7!$B:$B,PAGE_1_old!B20)</f>
        <v>0</v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-100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-98.387096774193552</v>
      </c>
      <c r="K20" s="52">
        <f>RANK!M21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77">
        <f>SUMIFS(UA_HUB_SQL_7!J:J,UA_HUB_SQL_7!$B:$B,PAGE_1_old!B21)/SUMIFS(UA_HUB_SQL_7!$F:$F,UA_HUB_SQL_7!$B:$B,PAGE_1_old!B21)</f>
        <v>0.65306122448979587</v>
      </c>
      <c r="D21" s="77">
        <f>SUMIFS(UA_HUB_SQL_7!K:K,UA_HUB_SQL_7!B:B,PAGE_1_old!B21)/SUMIFS(UA_HUB_SQL_7!F:F,UA_HUB_SQL_7!B:B,PAGE_1_old!B21)</f>
        <v>0.79786200194363455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2.1367777935598409</v>
      </c>
      <c r="G21" s="52">
        <f>RANK!F11</f>
        <v>1</v>
      </c>
      <c r="H21" s="77">
        <f>SUMIFS(UA_HUB_SQL_7!G:G,UA_HUB_SQL_7!$B:$B,PAGE_1_old!B21)/SUMIFS(UA_HUB_SQL_7!$F:$F,UA_HUB_SQL_7!$B:$B,PAGE_1_old!B21)</f>
        <v>9.7181729834791054E-4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-97.542195467553455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77">
        <f>SUMIFS(UA_HUB_SQL_7!J:J,UA_HUB_SQL_7!$B:$B,PAGE_1_old!B22)/SUMIFS(UA_HUB_SQL_7!$F:$F,UA_HUB_SQL_7!$B:$B,PAGE_1_old!B22)</f>
        <v>0.81333333333333335</v>
      </c>
      <c r="D22" s="77">
        <f>SUMIFS(UA_HUB_SQL_7!K:K,UA_HUB_SQL_7!B:B,PAGE_1_old!B22)/SUMIFS(UA_HUB_SQL_7!F:F,UA_HUB_SQL_7!B:B,PAGE_1_old!B22)</f>
        <v>0.98</v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24.666666666666671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10.676056338028172</v>
      </c>
      <c r="G22" s="52">
        <f>RANK!F12</f>
        <v>1</v>
      </c>
      <c r="H22" s="77">
        <f>SUMIFS(UA_HUB_SQL_7!G:G,UA_HUB_SQL_7!$B:$B,PAGE_1_old!B22)/SUMIFS(UA_HUB_SQL_7!$F:$F,UA_HUB_SQL_7!$B:$B,PAGE_1_old!B22)</f>
        <v>0</v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-100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-99.823943661971825</v>
      </c>
      <c r="K22" s="52">
        <f>RANK!M23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77">
        <f>SUMIFS(UA_HUB_SQL_7!J:J,UA_HUB_SQL_7!$B:$B,PAGE_1_old!B23)/SUMIFS(UA_HUB_SQL_7!$F:$F,UA_HUB_SQL_7!$B:$B,PAGE_1_old!B23)</f>
        <v>0.78199052132701419</v>
      </c>
      <c r="D23" s="77">
        <f>SUMIFS(UA_HUB_SQL_7!K:K,UA_HUB_SQL_7!B:B,PAGE_1_old!B23)/SUMIFS(UA_HUB_SQL_7!F:F,UA_HUB_SQL_7!B:B,PAGE_1_old!B23)</f>
        <v>0.93080568720379142</v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33.080568720379148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32.576367039706881</v>
      </c>
      <c r="G23" s="52">
        <f>RANK!F13</f>
        <v>1</v>
      </c>
      <c r="H23" s="77">
        <f>SUMIFS(UA_HUB_SQL_7!G:G,UA_HUB_SQL_7!$B:$B,PAGE_1_old!B23)/SUMIFS(UA_HUB_SQL_7!$F:$F,UA_HUB_SQL_7!$B:$B,PAGE_1_old!B23)</f>
        <v>0</v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-100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-98.907563025210095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77">
        <f>SUMIFS(UA_HUB_SQL_7!J:J,UA_HUB_SQL_7!$B:$B,PAGE_1_old!B24)/SUMIFS(UA_HUB_SQL_7!$F:$F,UA_HUB_SQL_7!$B:$B,PAGE_1_old!B24)</f>
        <v>0.74351585014409227</v>
      </c>
      <c r="D24" s="77">
        <f>SUMIFS(UA_HUB_SQL_7!K:K,UA_HUB_SQL_7!B:B,PAGE_1_old!B24)/SUMIFS(UA_HUB_SQL_7!F:F,UA_HUB_SQL_7!B:B,PAGE_1_old!B24)</f>
        <v>0.90489913544668588</v>
      </c>
      <c r="E24" s="108" t="str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-</v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90.489913544668582</v>
      </c>
      <c r="G24" s="52">
        <f>RANK!F14</f>
        <v>1</v>
      </c>
      <c r="H24" s="77">
        <f>SUMIFS(UA_HUB_SQL_7!G:G,UA_HUB_SQL_7!$B:$B,PAGE_1_old!B24)/SUMIFS(UA_HUB_SQL_7!$F:$F,UA_HUB_SQL_7!$B:$B,PAGE_1_old!B24)</f>
        <v>0</v>
      </c>
      <c r="I24" s="108" t="str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</v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-100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SUMIF(SCH_DEP_SQL_4!$A:$A,PAGE_1_old!R30,SCH_DEP_SQL_4!$E:$E)</f>
        <v>4531</v>
      </c>
      <c r="D30" s="17">
        <f>IF(SUMIFS(CNXL_SQL_2!$F:$F,CNXL_SQL_2!$A:$A,PAGE_1_old!$R30,CNXL_SQL_2!$D:$D,PAGE_1_old!$S$29)=0,"",SUMIFS(CNXL_SQL_2!$F:$F,CNXL_SQL_2!$A:$A,PAGE_1_old!$R30,CNXL_SQL_2!$D:$D,PAGE_1_old!$S$29))</f>
        <v>20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20</v>
      </c>
      <c r="N30" s="18" t="str">
        <f>ES_MATRIX!K4</f>
        <v/>
      </c>
      <c r="O30" s="18">
        <f>IFERROR(M30-ES_MATRIX!L4,"")</f>
        <v>20</v>
      </c>
      <c r="P30" s="16">
        <f>IF(SUMIF(CNXL_SQL_2!$E:$E,PAGE_1_old!R30,CNXL_SQL_2!$F:$F)=0,"",SUMIF(CNXL_SQL_2!$E:$E,PAGE_1_old!R30,CNXL_SQL_2!$F:$F))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SUMIF(SCH_DEP_SQL_4!$A:$A,PAGE_1_old!R32,SCH_DEP_SQL_4!$E:$E)</f>
        <v>1376</v>
      </c>
      <c r="D32" s="17" t="str">
        <f>IF(SUMIFS(CNXL_SQL_2!$F:$F,CNXL_SQL_2!$A:$A,PAGE_1_old!$R32,CNXL_SQL_2!$D:$D,PAGE_1_old!$S$29)=0,"",SUMIFS(CNXL_SQL_2!$F:$F,CNXL_SQL_2!$A:$A,PAGE_1_old!$R32,CNXL_SQL_2!$D:$D,PAGE_1_old!$S$29))</f>
        <v/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IF(SUMIF(CNXL_SQL_2!$E:$E,PAGE_1_old!R32,CNXL_SQL_2!$F:$F)=0,"",SUMIF(CNXL_SQL_2!$E:$E,PAGE_1_old!R32,CNXL_SQL_2!$F:$F))</f>
        <v>5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SUMIF(SCH_DEP_SQL_4!$A:$A,PAGE_1_old!R33,SCH_DEP_SQL_4!$E:$E)</f>
        <v>817</v>
      </c>
      <c r="D33" s="12" t="str">
        <f>IF(SUMIFS(CNXL_SQL_2!$F:$F,CNXL_SQL_2!$A:$A,PAGE_1_old!$R33,CNXL_SQL_2!$D:$D,PAGE_1_old!$S$29)=0,"",SUMIFS(CNXL_SQL_2!$F:$F,CNXL_SQL_2!$A:$A,PAGE_1_old!$R33,CNXL_SQL_2!$D:$D,PAGE_1_old!$S$29))</f>
        <v/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SUMIF(SCH_DEP_SQL_4!$A:$A,PAGE_1_old!R34,SCH_DEP_SQL_4!$E:$E)</f>
        <v>1119</v>
      </c>
      <c r="D34" s="17">
        <f>IF(SUMIFS(CNXL_SQL_2!$F:$F,CNXL_SQL_2!$A:$A,PAGE_1_old!$R34,CNXL_SQL_2!$D:$D,PAGE_1_old!$S$29)=0,"",SUMIFS(CNXL_SQL_2!$F:$F,CNXL_SQL_2!$A:$A,PAGE_1_old!$R34,CNXL_SQL_2!$D:$D,PAGE_1_old!$S$29))</f>
        <v>8</v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>
        <f t="shared" si="0"/>
        <v>8</v>
      </c>
      <c r="N34" s="18" t="str">
        <f>ES_MATRIX!K8</f>
        <v/>
      </c>
      <c r="O34" s="18">
        <f>IFERROR(M34-ES_MATRIX!L8,"")</f>
        <v>8</v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SUMIF(SCH_DEP_SQL_4!$A:$A,PAGE_1_old!R35,SCH_DEP_SQL_4!$E:$E)</f>
        <v>1683</v>
      </c>
      <c r="D35" s="12" t="str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>9</v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9</v>
      </c>
      <c r="N35" s="38" t="str">
        <f>ES_MATRIX!K9</f>
        <v xml:space="preserve">OO-4 YX-5 </v>
      </c>
      <c r="O35" s="14">
        <f>IFERROR(M35-ES_MATRIX!L9,"")</f>
        <v>0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9526</v>
      </c>
      <c r="D37" s="22">
        <f>IF(SUM(D29:D36)=0,"",SUM(D29:D36))</f>
        <v>28</v>
      </c>
      <c r="E37" s="22">
        <f t="shared" ref="E37:L37" si="1">IF(SUM(E29:E36)=0,"",SUM(E29:E36))</f>
        <v>9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37</v>
      </c>
      <c r="N37" s="23"/>
      <c r="O37" s="23">
        <f>SUM(O29:O36)</f>
        <v>28</v>
      </c>
      <c r="P37" s="23">
        <f>SUM(P29:P36)</f>
        <v>9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SUMIF(SCH_DEP_SQL_4!$A:$A,PAGE_1_old!R30,SCH_DEP_SQL_4!$E:$E)</f>
        <v>4531</v>
      </c>
      <c r="D44" s="17" t="str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IF(SUMIF(RES_CNXL_SQL_3!$E:$E,PAGE_1_old!R30,RES_CNXL_SQL_3!$F:$F)=0,"",SUMIF(RES_CNXL_SQL_3!$E:$E,PAGE_1_old!R30,RES_CNXL_SQL_3!$F:$F))</f>
        <v/>
      </c>
    </row>
    <row r="45" spans="2:24" ht="12.75" x14ac:dyDescent="0.2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2.75" x14ac:dyDescent="0.2">
      <c r="B46" s="67" t="s">
        <v>21</v>
      </c>
      <c r="C46" s="81">
        <f>SUMIF(SCH_DEP_SQL_4!$A:$A,PAGE_1_old!R32,SCH_DEP_SQL_4!$E:$E)</f>
        <v>1376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2.75" x14ac:dyDescent="0.2">
      <c r="B47" s="66" t="s">
        <v>22</v>
      </c>
      <c r="C47" s="80">
        <f>SUMIF(SCH_DEP_SQL_4!$A:$A,PAGE_1_old!R33,SCH_DEP_SQL_4!$E:$E)</f>
        <v>817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2.75" x14ac:dyDescent="0.2">
      <c r="B48" s="67" t="s">
        <v>23</v>
      </c>
      <c r="C48" s="81">
        <f>SUMIF(SCH_DEP_SQL_4!$A:$A,PAGE_1_old!R34,SCH_DEP_SQL_4!$E:$E)</f>
        <v>1119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IF(SUMIF(RES_CNXL_SQL_3!$E:$E,PAGE_1_old!R34,RES_CNXL_SQL_3!$F:$F)=0,"",SUMIF(RES_CNXL_SQL_3!$E:$E,PAGE_1_old!R34,RES_CNXL_SQL_3!$F:$F))</f>
        <v/>
      </c>
    </row>
    <row r="49" spans="2:16" ht="12.75" x14ac:dyDescent="0.2">
      <c r="B49" s="66" t="s">
        <v>24</v>
      </c>
      <c r="C49" s="80">
        <f>SUMIF(SCH_DEP_SQL_4!$A:$A,PAGE_1_old!R35,SCH_DEP_SQL_4!$E:$E)</f>
        <v>1683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>1</v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 t="shared" si="2"/>
        <v>1</v>
      </c>
      <c r="N49" s="38" t="str">
        <f>ES_MATRIX!K20</f>
        <v/>
      </c>
      <c r="O49" s="14">
        <f>IFERROR(M49-ES_MATRIX!L20,"")</f>
        <v>1</v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2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25">
      <c r="B51" s="68" t="s">
        <v>26</v>
      </c>
      <c r="C51" s="82">
        <f>SUM(C43:C50)</f>
        <v>9526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>
        <f t="shared" si="3"/>
        <v>1</v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1</v>
      </c>
      <c r="N51" s="23"/>
      <c r="O51" s="23">
        <f>SUM(O43:O50)</f>
        <v>1</v>
      </c>
      <c r="P51" s="23">
        <f>SUM(P43:P50)</f>
        <v>0</v>
      </c>
    </row>
    <row r="52" spans="2:16" ht="21" customHeight="1" x14ac:dyDescent="0.2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R32"/>
  <sheetViews>
    <sheetView topLeftCell="B1" workbookViewId="0">
      <selection activeCell="F7" sqref="F7"/>
    </sheetView>
  </sheetViews>
  <sheetFormatPr defaultRowHeight="15" x14ac:dyDescent="0.25"/>
  <cols>
    <col min="1" max="1" width="9.140625" style="171"/>
    <col min="2" max="2" width="6.42578125" customWidth="1"/>
    <col min="3" max="3" width="0.5703125" customWidth="1"/>
    <col min="4" max="4" width="35.7109375" customWidth="1"/>
    <col min="5" max="5" width="11.140625" customWidth="1"/>
    <col min="13" max="13" width="9.7109375" bestFit="1" customWidth="1"/>
  </cols>
  <sheetData>
    <row r="1" spans="2:18" ht="21" x14ac:dyDescent="0.25">
      <c r="B1" s="337" t="s">
        <v>470</v>
      </c>
      <c r="C1" s="338"/>
      <c r="D1" s="338"/>
      <c r="E1" s="338"/>
      <c r="F1" s="338"/>
      <c r="G1" s="338"/>
      <c r="H1" s="338"/>
      <c r="I1" s="339"/>
      <c r="J1" s="171"/>
    </row>
    <row r="2" spans="2:18" ht="21" x14ac:dyDescent="0.25">
      <c r="B2" s="244"/>
      <c r="C2" s="146"/>
      <c r="D2" s="146"/>
      <c r="E2" s="146"/>
      <c r="F2" s="146"/>
      <c r="G2" s="146"/>
      <c r="H2" s="146"/>
      <c r="I2" s="239"/>
      <c r="J2" s="171"/>
      <c r="O2" t="s">
        <v>49</v>
      </c>
      <c r="P2" t="s">
        <v>51</v>
      </c>
      <c r="Q2" t="s">
        <v>52</v>
      </c>
    </row>
    <row r="3" spans="2:18" x14ac:dyDescent="0.25">
      <c r="B3" s="245"/>
      <c r="C3" s="148"/>
      <c r="D3" s="149" t="s">
        <v>149</v>
      </c>
      <c r="E3" s="220" t="s">
        <v>471</v>
      </c>
      <c r="F3" s="220" t="s">
        <v>77</v>
      </c>
      <c r="G3" s="220" t="s">
        <v>78</v>
      </c>
      <c r="H3" s="221" t="s">
        <v>38</v>
      </c>
      <c r="I3" s="240"/>
      <c r="J3" s="171"/>
      <c r="M3" s="53">
        <f ca="1">TODAY()</f>
        <v>45277</v>
      </c>
      <c r="O3" s="202" t="e">
        <f>#REF!</f>
        <v>#REF!</v>
      </c>
      <c r="P3" s="253">
        <f>OA_SeatCnxl!C2</f>
        <v>0</v>
      </c>
      <c r="Q3" s="253">
        <f>OA_SeatCnxl!C3</f>
        <v>0</v>
      </c>
      <c r="R3" t="e">
        <f>RANK(O3,O3:Q3,1)</f>
        <v>#REF!</v>
      </c>
    </row>
    <row r="4" spans="2:18" x14ac:dyDescent="0.25">
      <c r="B4" s="245"/>
      <c r="C4" s="148"/>
      <c r="D4" s="148"/>
      <c r="E4" s="278"/>
      <c r="F4" s="222"/>
      <c r="G4" s="222"/>
      <c r="H4" s="223"/>
      <c r="I4" s="240"/>
      <c r="J4" s="171"/>
      <c r="M4">
        <f ca="1">DAY(M3)</f>
        <v>17</v>
      </c>
    </row>
    <row r="5" spans="2:18" x14ac:dyDescent="0.25">
      <c r="B5" s="336" t="s">
        <v>150</v>
      </c>
      <c r="C5" s="148"/>
      <c r="D5" s="151" t="s">
        <v>440</v>
      </c>
      <c r="E5" s="262">
        <f>(UA_SQL_1!$N$2)/UA_SQL_1!$M$2</f>
        <v>2.939323955490237E-3</v>
      </c>
      <c r="F5" s="224">
        <f>(RANK!$P$2-RANK!$Q$2)*100</f>
        <v>0.29393239554902373</v>
      </c>
      <c r="G5" s="224">
        <f>(RANK!$P$2-RANK!$R$2)*100</f>
        <v>0.21830483221093608</v>
      </c>
      <c r="H5" s="225">
        <f>RANK!$T$2</f>
        <v>3</v>
      </c>
      <c r="I5" s="240"/>
      <c r="J5" s="171"/>
      <c r="L5" s="202">
        <f>E7</f>
        <v>4.5845697737417097E-3</v>
      </c>
      <c r="M5" s="128">
        <f>OA_SeatCnxl!B2</f>
        <v>1.87484707989353E-2</v>
      </c>
      <c r="N5" s="253">
        <f>L7</f>
        <v>1.92791605009698E-2</v>
      </c>
      <c r="O5">
        <f>RANK(L5,L5:N5,2)</f>
        <v>1</v>
      </c>
    </row>
    <row r="6" spans="2:18" x14ac:dyDescent="0.25">
      <c r="B6" s="336"/>
      <c r="C6" s="148"/>
      <c r="D6" s="151" t="s">
        <v>442</v>
      </c>
      <c r="E6" s="262">
        <f>(UA_SQL_1!$N$2-UA_SQL_1!$T$2)/UA_SQL_1!$M$2</f>
        <v>2.939323955490237E-3</v>
      </c>
      <c r="F6" s="224" t="str">
        <f>"-"</f>
        <v>-</v>
      </c>
      <c r="G6" s="224" t="str">
        <f>"-"</f>
        <v>-</v>
      </c>
      <c r="H6" s="226" t="str">
        <f>"-"</f>
        <v>-</v>
      </c>
      <c r="I6" s="240"/>
      <c r="J6" s="171"/>
      <c r="L6" s="128">
        <f>OA_SeatCnxl!B2</f>
        <v>1.87484707989353E-2</v>
      </c>
    </row>
    <row r="7" spans="2:18" x14ac:dyDescent="0.25">
      <c r="B7" s="336"/>
      <c r="C7" s="148"/>
      <c r="D7" s="151" t="s">
        <v>441</v>
      </c>
      <c r="E7" s="262">
        <f>UA_Seat_cancels!$C$2</f>
        <v>4.5845697737417097E-3</v>
      </c>
      <c r="F7" s="224">
        <f>(E7-OA_SeatCnxl!B3)*100</f>
        <v>-1.4694590727228092</v>
      </c>
      <c r="G7" s="224">
        <f>(E7-OA_SeatCnxl!B2)*100</f>
        <v>-1.416390102519359</v>
      </c>
      <c r="H7" s="263">
        <f>$O$5</f>
        <v>1</v>
      </c>
      <c r="I7" s="240"/>
      <c r="J7" s="171"/>
      <c r="L7" s="128">
        <f>OA_SeatCnxl!B3</f>
        <v>1.92791605009698E-2</v>
      </c>
    </row>
    <row r="8" spans="2:18" x14ac:dyDescent="0.25">
      <c r="B8" s="336"/>
      <c r="C8" s="148"/>
      <c r="D8" s="151" t="s">
        <v>151</v>
      </c>
      <c r="E8" s="262">
        <f>(UA_SQL_1!$Q$2)/UA_SQL_1!$M$2</f>
        <v>0.74564350199454121</v>
      </c>
      <c r="F8" s="224">
        <f>(RANK!$P$3-RANK!Q3)*100</f>
        <v>-8.2137673619279035</v>
      </c>
      <c r="G8" s="224">
        <f>(RANK!$P$3-RANK!R3)*100</f>
        <v>0.87303098450929317</v>
      </c>
      <c r="H8" s="227">
        <f>RANK!$T$3</f>
        <v>2</v>
      </c>
      <c r="I8" s="240"/>
      <c r="J8" s="171"/>
    </row>
    <row r="9" spans="2:18" x14ac:dyDescent="0.25">
      <c r="B9" s="336"/>
      <c r="C9" s="148"/>
      <c r="D9" s="151" t="s">
        <v>153</v>
      </c>
      <c r="E9" s="262">
        <f>(UA_SQL_1!$P$2)/UA_SQL_1!$M$2</f>
        <v>0.7962418643711946</v>
      </c>
      <c r="F9" s="224">
        <f>(RANK!$P$4-RANK!Q4)*100</f>
        <v>-3.6547788030588557</v>
      </c>
      <c r="G9" s="224">
        <f>(RANK!$P$4-RANK!R4)*100</f>
        <v>6.2837006458082989E-2</v>
      </c>
      <c r="H9" s="227">
        <v>2</v>
      </c>
      <c r="I9" s="240"/>
      <c r="J9" s="171"/>
    </row>
    <row r="10" spans="2:18" x14ac:dyDescent="0.25">
      <c r="B10" s="336"/>
      <c r="C10" s="148"/>
      <c r="D10" s="151" t="s">
        <v>154</v>
      </c>
      <c r="E10" s="262">
        <f>UA_SQL_1!$O$2/UA_SQL_1!$M$2</f>
        <v>0.77881587234935967</v>
      </c>
      <c r="F10" s="228"/>
      <c r="G10" s="229"/>
      <c r="H10" s="230"/>
      <c r="I10" s="240"/>
      <c r="J10" s="171"/>
    </row>
    <row r="11" spans="2:18" x14ac:dyDescent="0.25">
      <c r="B11" s="336"/>
      <c r="C11" s="148"/>
      <c r="D11" s="151" t="s">
        <v>155</v>
      </c>
      <c r="E11" s="262">
        <f>UA_SQL_1!$S$2/UA_SQL_1!$R$2</f>
        <v>0.86706746826987313</v>
      </c>
      <c r="F11" s="231"/>
      <c r="G11" s="230"/>
      <c r="H11" s="230"/>
      <c r="I11" s="240"/>
      <c r="J11" s="171"/>
    </row>
    <row r="12" spans="2:18" x14ac:dyDescent="0.25">
      <c r="B12" s="245"/>
      <c r="C12" s="148"/>
      <c r="D12" s="153"/>
      <c r="E12" s="279"/>
      <c r="F12" s="232"/>
      <c r="G12" s="233"/>
      <c r="H12" s="233"/>
      <c r="I12" s="240"/>
      <c r="J12" s="171"/>
      <c r="M12" t="str">
        <f>"2019"</f>
        <v>2019</v>
      </c>
    </row>
    <row r="13" spans="2:18" x14ac:dyDescent="0.25">
      <c r="B13" s="336" t="s">
        <v>156</v>
      </c>
      <c r="C13" s="154"/>
      <c r="D13" s="151" t="s">
        <v>157</v>
      </c>
      <c r="E13" s="280">
        <f>IFERROR(VLOOKUP("L7D",Delays_info!$A:$R,15,0)/100,"-")</f>
        <v>9.5947931975645592E-2</v>
      </c>
      <c r="F13" s="232"/>
      <c r="G13" s="233"/>
      <c r="H13" s="233"/>
      <c r="I13" s="240"/>
      <c r="J13" s="171"/>
    </row>
    <row r="14" spans="2:18" x14ac:dyDescent="0.25">
      <c r="B14" s="336"/>
      <c r="C14" s="154"/>
      <c r="D14" s="151" t="s">
        <v>158</v>
      </c>
      <c r="E14" s="262">
        <f>IFERROR(VLOOKUP("L7D",Delays_info!$A$1:$R$5,16,0)/100,"-")</f>
        <v>0.12208692000839801</v>
      </c>
      <c r="F14" s="232"/>
      <c r="G14" s="233"/>
      <c r="H14" s="233"/>
      <c r="I14" s="240"/>
      <c r="J14" s="171"/>
    </row>
    <row r="15" spans="2:18" x14ac:dyDescent="0.25">
      <c r="B15" s="336"/>
      <c r="C15" s="154"/>
      <c r="D15" s="151" t="s">
        <v>159</v>
      </c>
      <c r="E15" s="262">
        <f>IFERROR(VLOOKUP("L7D",Delays_info!$A$1:$R$5,18,0)/100,"-")</f>
        <v>2.4984253621666997E-2</v>
      </c>
      <c r="F15" s="234"/>
      <c r="G15" s="233"/>
      <c r="H15" s="233"/>
      <c r="I15" s="240"/>
      <c r="J15" s="171"/>
    </row>
    <row r="16" spans="2:18" x14ac:dyDescent="0.25">
      <c r="B16" s="336"/>
      <c r="C16" s="154"/>
      <c r="D16" s="155" t="s">
        <v>160</v>
      </c>
      <c r="E16" s="262">
        <f>IFERROR(VLOOKUP("L7D",Delays_info!$A$1:$R$5,7,0)/VLOOKUP("L7D",Delays_info!$A$1:$R$5,14,0),"-")</f>
        <v>6.0885996220869203E-3</v>
      </c>
      <c r="F16" s="232"/>
      <c r="G16" s="235"/>
      <c r="H16" s="235"/>
      <c r="I16" s="241"/>
      <c r="J16" s="171"/>
    </row>
    <row r="17" spans="1:10" x14ac:dyDescent="0.25">
      <c r="B17" s="336"/>
      <c r="C17" s="154"/>
      <c r="D17" s="155" t="s">
        <v>161</v>
      </c>
      <c r="E17" s="262">
        <f>IFERROR(VLOOKUP("L7D",Delays_info!$A$1:$R$5,8,0)/VLOOKUP("L7D",Delays_info!$A$1:$R$5,14,0),"-")</f>
        <v>3.5691790888095739E-3</v>
      </c>
      <c r="F17" s="232"/>
      <c r="G17" s="233"/>
      <c r="H17" s="233"/>
      <c r="I17" s="240"/>
      <c r="J17" s="171"/>
    </row>
    <row r="18" spans="1:10" x14ac:dyDescent="0.25">
      <c r="B18" s="336"/>
      <c r="C18" s="154"/>
      <c r="D18" s="155" t="s">
        <v>162</v>
      </c>
      <c r="E18" s="262">
        <f>IFERROR(VLOOKUP("L7D",Delays_info!$A$1:$R$5,9,0)/VLOOKUP("L7D",Delays_info!$A$1:$R$5,14,0),"-")</f>
        <v>1.0917488977535167E-2</v>
      </c>
      <c r="F18" s="232"/>
      <c r="G18" s="233"/>
      <c r="H18" s="233"/>
      <c r="I18" s="240"/>
      <c r="J18" s="171"/>
    </row>
    <row r="19" spans="1:10" x14ac:dyDescent="0.25">
      <c r="B19" s="336"/>
      <c r="C19" s="154"/>
      <c r="D19" s="156" t="s">
        <v>163</v>
      </c>
      <c r="E19" s="280">
        <f>IFERROR(VLOOKUP("L7D",Delays_info!$A:$S,19,0)/100,"-")</f>
        <v>8.3980684442578196E-3</v>
      </c>
      <c r="F19" s="232"/>
      <c r="G19" s="233"/>
      <c r="H19" s="233"/>
      <c r="I19" s="240"/>
      <c r="J19" s="171"/>
    </row>
    <row r="20" spans="1:10" x14ac:dyDescent="0.25">
      <c r="B20" s="336"/>
      <c r="C20" s="154"/>
      <c r="D20" s="155" t="s">
        <v>160</v>
      </c>
      <c r="E20" s="262">
        <f>IFERROR(VLOOKUP("L7D",Delays_info!$A$1:$R$5,10,0)/VLOOKUP("L7D",Delays_info!$A$1:$R$5,14,0),"-")</f>
        <v>3.8841066554692423E-3</v>
      </c>
      <c r="F20" s="232"/>
      <c r="G20" s="233"/>
      <c r="H20" s="233"/>
      <c r="I20" s="240"/>
      <c r="J20" s="171"/>
    </row>
    <row r="21" spans="1:10" x14ac:dyDescent="0.25">
      <c r="B21" s="336"/>
      <c r="C21" s="154"/>
      <c r="D21" s="155" t="s">
        <v>161</v>
      </c>
      <c r="E21" s="262">
        <f>IFERROR(VLOOKUP("L7D",Delays_info!$A$1:$R$5,11,0)/VLOOKUP("L7D",Delays_info!$A$1:$R$5,14,0),"-")</f>
        <v>2.3094688221709007E-3</v>
      </c>
      <c r="F21" s="232"/>
      <c r="G21" s="233"/>
      <c r="H21" s="233"/>
      <c r="I21" s="240"/>
      <c r="J21" s="171"/>
    </row>
    <row r="22" spans="1:10" x14ac:dyDescent="0.25">
      <c r="B22" s="336"/>
      <c r="C22" s="154"/>
      <c r="D22" s="155" t="s">
        <v>162</v>
      </c>
      <c r="E22" s="262">
        <f>IFERROR(VLOOKUP("L7D",Delays_info!$A$1:$R$5,12,0)/VLOOKUP("L7D",Delays_info!$A$1:$R$5,14,0),"-")</f>
        <v>2.204492966617678E-3</v>
      </c>
      <c r="F22" s="232"/>
      <c r="G22" s="233"/>
      <c r="H22" s="233"/>
      <c r="I22" s="240"/>
      <c r="J22" s="171"/>
    </row>
    <row r="23" spans="1:10" s="274" customFormat="1" x14ac:dyDescent="0.25">
      <c r="A23" s="171"/>
      <c r="B23" s="277"/>
      <c r="C23" s="154"/>
      <c r="D23" s="156" t="s">
        <v>456</v>
      </c>
      <c r="E23" s="262">
        <f>IFERROR(VLOOKUP("L7D",Delays_info!$A$1:$R$5,13,0)/VLOOKUP("L7D",Delays_info!$A$1:$R$5,14,0),"-")</f>
        <v>3.7056477010287636E-2</v>
      </c>
      <c r="F23" s="232"/>
      <c r="G23" s="233"/>
      <c r="H23" s="233"/>
      <c r="I23" s="240"/>
      <c r="J23" s="171"/>
    </row>
    <row r="24" spans="1:10" x14ac:dyDescent="0.25">
      <c r="B24" s="245"/>
      <c r="C24" s="148"/>
      <c r="D24" s="155"/>
      <c r="E24" s="281"/>
      <c r="F24" s="232"/>
      <c r="G24" s="233"/>
      <c r="H24" s="233"/>
      <c r="I24" s="240"/>
      <c r="J24" s="171"/>
    </row>
    <row r="25" spans="1:10" x14ac:dyDescent="0.25">
      <c r="B25" s="336" t="s">
        <v>164</v>
      </c>
      <c r="C25" s="154"/>
      <c r="D25" s="156"/>
      <c r="E25" s="282"/>
      <c r="F25" s="236"/>
      <c r="G25" s="233"/>
      <c r="H25" s="233"/>
      <c r="I25" s="240"/>
      <c r="J25" s="171"/>
    </row>
    <row r="26" spans="1:10" x14ac:dyDescent="0.25">
      <c r="B26" s="336"/>
      <c r="C26" s="154"/>
      <c r="D26" s="151" t="s">
        <v>87</v>
      </c>
      <c r="E26" s="283">
        <f>VLOOKUP("L7D",DIVERTS_SQL_5_2019!$A$1:$B$3,2,0)/7</f>
        <v>2.4285714285714284</v>
      </c>
      <c r="F26" s="232"/>
      <c r="G26" s="233"/>
      <c r="H26" s="233"/>
      <c r="I26" s="240"/>
      <c r="J26" s="171"/>
    </row>
    <row r="27" spans="1:10" x14ac:dyDescent="0.25">
      <c r="B27" s="336"/>
      <c r="C27" s="154"/>
      <c r="D27" s="151" t="s">
        <v>88</v>
      </c>
      <c r="E27" s="283">
        <f>RECOVERED_DIVERTS_2019!$C$3/7</f>
        <v>1.7142857142857142</v>
      </c>
      <c r="F27" s="232"/>
      <c r="G27" s="233"/>
      <c r="H27" s="233"/>
      <c r="I27" s="240"/>
      <c r="J27" s="171"/>
    </row>
    <row r="28" spans="1:10" x14ac:dyDescent="0.25">
      <c r="B28" s="336"/>
      <c r="C28" s="154"/>
      <c r="D28" s="151" t="s">
        <v>121</v>
      </c>
      <c r="E28" s="284"/>
      <c r="F28" s="232"/>
      <c r="G28" s="233"/>
      <c r="H28" s="233"/>
      <c r="I28" s="240"/>
      <c r="J28" s="171"/>
    </row>
    <row r="29" spans="1:10" x14ac:dyDescent="0.25">
      <c r="B29" s="336"/>
      <c r="C29" s="154"/>
      <c r="D29" s="151" t="s">
        <v>125</v>
      </c>
      <c r="E29" s="285"/>
      <c r="F29" s="237"/>
      <c r="G29" s="238"/>
      <c r="H29" s="238"/>
      <c r="I29" s="240"/>
      <c r="J29" s="171"/>
    </row>
    <row r="30" spans="1:10" x14ac:dyDescent="0.25">
      <c r="B30" s="336"/>
      <c r="C30" s="154"/>
      <c r="D30" s="148"/>
      <c r="E30" s="238"/>
      <c r="F30" s="238"/>
      <c r="G30" s="238"/>
      <c r="H30" s="238"/>
      <c r="I30" s="240"/>
      <c r="J30" s="171"/>
    </row>
    <row r="31" spans="1:10" x14ac:dyDescent="0.25">
      <c r="B31" s="246"/>
      <c r="C31" s="242"/>
      <c r="D31" s="242"/>
      <c r="E31" s="242"/>
      <c r="F31" s="242"/>
      <c r="G31" s="242"/>
      <c r="H31" s="242"/>
      <c r="I31" s="243"/>
      <c r="J31" s="171"/>
    </row>
    <row r="32" spans="1:10" x14ac:dyDescent="0.2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U69"/>
  <sheetViews>
    <sheetView tabSelected="1" zoomScale="75" zoomScaleNormal="75" workbookViewId="0">
      <selection activeCell="N41" sqref="N41"/>
    </sheetView>
  </sheetViews>
  <sheetFormatPr defaultRowHeight="15" x14ac:dyDescent="0.25"/>
  <cols>
    <col min="3" max="3" width="17.140625" customWidth="1"/>
    <col min="4" max="4" width="14" customWidth="1"/>
    <col min="5" max="5" width="16.85546875" customWidth="1"/>
    <col min="6" max="6" width="12.42578125" customWidth="1"/>
    <col min="7" max="7" width="11.28515625" customWidth="1"/>
    <col min="8" max="8" width="10.42578125" customWidth="1"/>
    <col min="9" max="9" width="13.7109375" customWidth="1"/>
    <col min="10" max="10" width="11.85546875" customWidth="1"/>
    <col min="11" max="11" width="11.7109375" customWidth="1"/>
    <col min="12" max="12" width="10.7109375" customWidth="1"/>
    <col min="15" max="15" width="14.42578125" customWidth="1"/>
    <col min="16" max="16" width="11.5703125" customWidth="1"/>
  </cols>
  <sheetData>
    <row r="1" spans="1:20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25">
      <c r="A2" s="171"/>
      <c r="B2" s="340" t="s">
        <v>165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2"/>
      <c r="Q2" s="171"/>
      <c r="R2" s="171"/>
    </row>
    <row r="3" spans="1:20" x14ac:dyDescent="0.2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25">
      <c r="A4" s="171"/>
      <c r="B4" s="147"/>
      <c r="C4" s="157"/>
      <c r="D4" s="158" t="s">
        <v>154</v>
      </c>
      <c r="E4" s="158" t="s">
        <v>153</v>
      </c>
      <c r="F4" s="218" t="s">
        <v>77</v>
      </c>
      <c r="G4" s="218" t="s">
        <v>78</v>
      </c>
      <c r="H4" s="218" t="s">
        <v>116</v>
      </c>
      <c r="I4" s="218" t="s">
        <v>38</v>
      </c>
      <c r="J4" s="219"/>
      <c r="K4" s="158" t="s">
        <v>447</v>
      </c>
      <c r="L4" s="218" t="s">
        <v>77</v>
      </c>
      <c r="M4" s="218" t="s">
        <v>78</v>
      </c>
      <c r="N4" s="218" t="s">
        <v>116</v>
      </c>
      <c r="O4" s="218" t="s">
        <v>38</v>
      </c>
      <c r="P4" s="160"/>
      <c r="Q4" s="171"/>
      <c r="R4" s="171"/>
    </row>
    <row r="5" spans="1:20" x14ac:dyDescent="0.2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0.7104166666666667</v>
      </c>
      <c r="E5" s="161">
        <f>SUMIFS(UA_HUB_SQL_7!$K:$K,UA_HUB_SQL_7!$B:$B,'Pg2'!$T6)/SUMIFS(UA_HUB_SQL_7!$F:$F,UA_HUB_SQL_7!$B:$B,'Pg2'!$T6)</f>
        <v>0.87083333333333335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1.1458333333333333E-2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2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0.80979020979020977</v>
      </c>
      <c r="E6" s="161">
        <f>SUMIFS(UA_HUB_SQL_7!$K:$K,UA_HUB_SQL_7!$B:$B,'Pg2'!$T7)/SUMIFS(UA_HUB_SQL_7!$F:$F,UA_HUB_SQL_7!$B:$B,'Pg2'!$T7)</f>
        <v>0.96083916083916088</v>
      </c>
      <c r="F6" s="162" t="str">
        <f>"-"</f>
        <v>-</v>
      </c>
      <c r="G6" s="162">
        <f>(RANK!B9-RANK!D9)*100</f>
        <v>24.908509212306683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0</v>
      </c>
      <c r="L6" s="162" t="str">
        <f>"-"</f>
        <v>-</v>
      </c>
      <c r="M6" s="162">
        <f>IF(((RANK!B20-RANK!D20)*100)=0,"-",(RANK!B20-RANK!D20)*100)</f>
        <v>-1.482820976491861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2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0.73419773095623986</v>
      </c>
      <c r="E7" s="161">
        <f>SUMIFS(UA_HUB_SQL_7!$K:$K,UA_HUB_SQL_7!$B:$B,'Pg2'!$T8)/SUMIFS(UA_HUB_SQL_7!$F:$F,UA_HUB_SQL_7!$B:$B,'Pg2'!$T8)</f>
        <v>0.8897893030794165</v>
      </c>
      <c r="F7" s="162">
        <f>(RANK!B10-RANK!C10)*100</f>
        <v>20.228930307941649</v>
      </c>
      <c r="G7" s="162">
        <f>(RANK!B10-RANK!D10)*100</f>
        <v>17.675166867081437</v>
      </c>
      <c r="H7" s="163" t="s">
        <v>40</v>
      </c>
      <c r="I7" s="164">
        <f>RANK!$F10</f>
        <v>1</v>
      </c>
      <c r="J7" s="159"/>
      <c r="K7" s="161">
        <f>SUMIFS(UA_HUB_SQL_7!$G:$G,UA_HUB_SQL_7!$B:$B,'Pg2'!$T8)/SUMIFS(UA_HUB_SQL_7!$F:$F,UA_HUB_SQL_7!$B:$B,'Pg2'!$T8)</f>
        <v>0</v>
      </c>
      <c r="L7" s="162" t="str">
        <f>IF(((RANK!B21-RANK!C21)*100)=0,"-",(RANK!B21-RANK!C21)*100)</f>
        <v>-</v>
      </c>
      <c r="M7" s="162">
        <f>IF(((RANK!B21-RANK!D21)*100)=0,"-",(RANK!B21-RANK!D21)*100)</f>
        <v>-1.6129032258064502</v>
      </c>
      <c r="N7" s="162" t="s">
        <v>40</v>
      </c>
      <c r="O7" s="164">
        <f>RANK!F21</f>
        <v>1</v>
      </c>
      <c r="P7" s="150"/>
      <c r="Q7" s="171"/>
      <c r="R7" s="171"/>
      <c r="T7" s="157" t="s">
        <v>106</v>
      </c>
    </row>
    <row r="8" spans="1:20" x14ac:dyDescent="0.2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0.65306122448979587</v>
      </c>
      <c r="E8" s="161">
        <f>SUMIFS(UA_HUB_SQL_7!$K:$K,UA_HUB_SQL_7!$B:$B,'Pg2'!$T9)/SUMIFS(UA_HUB_SQL_7!$F:$F,UA_HUB_SQL_7!$B:$B,'Pg2'!$T9)</f>
        <v>0.79786200194363455</v>
      </c>
      <c r="F8" s="162" t="str">
        <f>"-"</f>
        <v>-</v>
      </c>
      <c r="G8" s="162">
        <f>(RANK!B11-RANK!D11)*100</f>
        <v>2.1367777935598409</v>
      </c>
      <c r="H8" s="163" t="s">
        <v>40</v>
      </c>
      <c r="I8" s="164">
        <f>RANK!$F11</f>
        <v>1</v>
      </c>
      <c r="J8" s="159"/>
      <c r="K8" s="161">
        <f>SUMIFS(UA_HUB_SQL_7!$G:$G,UA_HUB_SQL_7!$B:$B,'Pg2'!$T9)/SUMIFS(UA_HUB_SQL_7!$F:$F,UA_HUB_SQL_7!$B:$B,'Pg2'!$T9)</f>
        <v>9.7181729834791054E-4</v>
      </c>
      <c r="L8" s="162" t="str">
        <f>IFERROR((RANK!B22-RANK!C22)*100,"-")</f>
        <v>-</v>
      </c>
      <c r="M8" s="162">
        <f>IF(((RANK!B22-RANK!D22)*100)= 0,"-",(RANK!B22-RANK!D22)*100 )</f>
        <v>-2.2634410727769647</v>
      </c>
      <c r="N8" s="162" t="s">
        <v>40</v>
      </c>
      <c r="O8" s="164">
        <f>RANK!F22</f>
        <v>1</v>
      </c>
      <c r="P8" s="150"/>
      <c r="Q8" s="171"/>
      <c r="R8" s="171"/>
      <c r="T8" s="157" t="s">
        <v>109</v>
      </c>
    </row>
    <row r="9" spans="1:20" x14ac:dyDescent="0.2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0.81333333333333335</v>
      </c>
      <c r="E9" s="161">
        <f>SUMIFS(UA_HUB_SQL_7!$K:$K,UA_HUB_SQL_7!$B:$B,'Pg2'!$T10)/SUMIFS(UA_HUB_SQL_7!$F:$F,UA_HUB_SQL_7!$B:$B,'Pg2'!$T10)</f>
        <v>0.98</v>
      </c>
      <c r="F9" s="162">
        <f>(RANK!B12-RANK!C12)*100</f>
        <v>24.666666666666671</v>
      </c>
      <c r="G9" s="162">
        <f>(RANK!B12-RANK!D12)*100</f>
        <v>10.676056338028172</v>
      </c>
      <c r="H9" s="163" t="s">
        <v>40</v>
      </c>
      <c r="I9" s="164">
        <f>RANK!$F12</f>
        <v>1</v>
      </c>
      <c r="J9" s="159"/>
      <c r="K9" s="161">
        <f>SUMIFS(UA_HUB_SQL_7!$G:$G,UA_HUB_SQL_7!$B:$B,'Pg2'!$T10)/SUMIFS(UA_HUB_SQL_7!$F:$F,UA_HUB_SQL_7!$B:$B,'Pg2'!$T10)</f>
        <v>0</v>
      </c>
      <c r="L9" s="162" t="str">
        <f>IF(((RANK!B23-RANK!C23)*100)=0,"-",(RANK!B23-RANK!C23)*100)</f>
        <v>-</v>
      </c>
      <c r="M9" s="162">
        <f>IF(((RANK!B23-RANK!D23)*100)=0,"-",(RANK!B23-RANK!D23)*100)</f>
        <v>-0.17605633802817433</v>
      </c>
      <c r="N9" s="162" t="s">
        <v>40</v>
      </c>
      <c r="O9" s="164">
        <f>RANK!F23</f>
        <v>1</v>
      </c>
      <c r="P9" s="150"/>
      <c r="Q9" s="171"/>
      <c r="R9" s="171"/>
      <c r="T9" s="157" t="s">
        <v>108</v>
      </c>
    </row>
    <row r="10" spans="1:20" x14ac:dyDescent="0.2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0.78199052132701419</v>
      </c>
      <c r="E10" s="161">
        <f>SUMIFS(UA_HUB_SQL_7!$K:$K,UA_HUB_SQL_7!$B:$B,'Pg2'!$T11)/SUMIFS(UA_HUB_SQL_7!$F:$F,UA_HUB_SQL_7!$B:$B,'Pg2'!$T11)</f>
        <v>0.93080568720379142</v>
      </c>
      <c r="F10" s="162" t="s">
        <v>40</v>
      </c>
      <c r="G10" s="162">
        <f>(RANK!B13-RANK!D13)*100</f>
        <v>32.576367039706881</v>
      </c>
      <c r="H10" s="163" t="s">
        <v>40</v>
      </c>
      <c r="I10" s="164">
        <f>RANK!$F13</f>
        <v>1</v>
      </c>
      <c r="J10" s="159"/>
      <c r="K10" s="161">
        <f>SUMIFS(UA_HUB_SQL_7!$G:$G,UA_HUB_SQL_7!$B:$B,'Pg2'!$T11)/SUMIFS(UA_HUB_SQL_7!$F:$F,UA_HUB_SQL_7!$B:$B,'Pg2'!$T11)</f>
        <v>0</v>
      </c>
      <c r="L10" s="162" t="str">
        <f>"-"</f>
        <v>-</v>
      </c>
      <c r="M10" s="162">
        <f>IF(((RANK!B24-RANK!D24)*100)=0,"-",(RANK!B24-RANK!D24)*100)</f>
        <v>-1.0924369747899121</v>
      </c>
      <c r="N10" s="162" t="s">
        <v>40</v>
      </c>
      <c r="O10" s="164">
        <f>RANK!F24</f>
        <v>1</v>
      </c>
      <c r="P10" s="150"/>
      <c r="Q10" s="171"/>
      <c r="R10" s="171"/>
      <c r="T10" s="157" t="s">
        <v>105</v>
      </c>
    </row>
    <row r="11" spans="1:20" x14ac:dyDescent="0.2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0.74351585014409227</v>
      </c>
      <c r="E11" s="161">
        <f>SUMIFS(UA_HUB_SQL_7!$K:$K,UA_HUB_SQL_7!$B:$B,'Pg2'!$T12)/SUMIFS(UA_HUB_SQL_7!$F:$F,UA_HUB_SQL_7!$B:$B,'Pg2'!$T12)</f>
        <v>0.90489913544668588</v>
      </c>
      <c r="F11" s="162" t="s">
        <v>40</v>
      </c>
      <c r="G11" s="162" t="str">
        <f>"-"</f>
        <v>-</v>
      </c>
      <c r="H11" s="163">
        <f>IFERROR((RANK!B14-RANK!E14)*100,"-")</f>
        <v>11.827493162502979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0</v>
      </c>
      <c r="L11" s="162" t="str">
        <f>"-"</f>
        <v>-</v>
      </c>
      <c r="M11" s="162" t="str">
        <f>"-"</f>
        <v>-</v>
      </c>
      <c r="N11" s="162" t="str">
        <f>IFERROR(IF(((RANK!B25-RANK!E25)*100)=0,"",(RANK!B25-RANK!E25)*100),"-")</f>
        <v/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2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0.81882845188284514</v>
      </c>
      <c r="E12" s="161">
        <f>SUMIFS(UA_HUB_SQL_7!$K:$K,UA_HUB_SQL_7!$B:$B,'Pg2'!$T13)/SUMIFS(UA_HUB_SQL_7!$F:$F,UA_HUB_SQL_7!$B:$B,'Pg2'!$T13)</f>
        <v>0.94184100418410044</v>
      </c>
      <c r="F12" s="162">
        <f>(RANK!B15-RANK!C15)*100</f>
        <v>14.860792147733349</v>
      </c>
      <c r="G12" s="162">
        <f>(RANK!B15-RANK!D15)*100</f>
        <v>19.303500009040022</v>
      </c>
      <c r="H12" s="163">
        <f>(RANK!B15-RANK!E15)*100</f>
        <v>23.652699452226468</v>
      </c>
      <c r="I12" s="164">
        <f>RANK!$F15</f>
        <v>1</v>
      </c>
      <c r="J12" s="159"/>
      <c r="K12" s="161">
        <f>SUMIFS(UA_HUB_SQL_7!$G:$G,UA_HUB_SQL_7!$B:$B,'Pg2'!$T13)/SUMIFS(UA_HUB_SQL_7!$F:$F,UA_HUB_SQL_7!$B:$B,'Pg2'!$T13)</f>
        <v>3.3472803347280333E-3</v>
      </c>
      <c r="L12" s="162">
        <f>IF(((RANK!B26-RANK!C26)*100)=0,"-",(RANK!B26-RANK!C26)*100)</f>
        <v>0.33472803347280333</v>
      </c>
      <c r="M12" s="162">
        <f>IFERROR((RANK!B26-RANK!D26)*100,"-")</f>
        <v>-0.74555397698887171</v>
      </c>
      <c r="N12" s="162">
        <f>IF(((RANK!B26-RANK!E26)*100)=0, "-", (RANK!B26-RANK!E26)*100)</f>
        <v>0.33472803347280333</v>
      </c>
      <c r="O12" s="164">
        <f>RANK!F26</f>
        <v>3</v>
      </c>
      <c r="P12" s="150"/>
      <c r="Q12" s="171"/>
      <c r="R12" s="171"/>
      <c r="T12" s="157" t="s">
        <v>107</v>
      </c>
    </row>
    <row r="13" spans="1:20" x14ac:dyDescent="0.25">
      <c r="A13" s="171"/>
      <c r="B13" s="147"/>
      <c r="C13" s="157" t="s">
        <v>167</v>
      </c>
      <c r="D13" s="161">
        <f>SUMIFS(UA_Line!K:K,UA_Line!B:B,"Line Int")/SUMIFS(UA_Line!F:F,UA_Line!B:B,"Line Int")</f>
        <v>0.80902777777777779</v>
      </c>
      <c r="E13" s="161">
        <f>SUMIFS(UA_Line!$J:$J,UA_Line!$B:$B,"Line Int")/SUMIFS(UA_Line!$F:$F,UA_Line!$B:$B,"Line Int")</f>
        <v>0.80902777777777779</v>
      </c>
      <c r="F13" s="162">
        <f>(RANK!B16-RANK!C16)*100</f>
        <v>20.902777777777782</v>
      </c>
      <c r="G13" s="162">
        <f>(RANK!B16-RANK!D16)*100</f>
        <v>-4.513888888888884</v>
      </c>
      <c r="H13" s="163" t="s">
        <v>40</v>
      </c>
      <c r="I13" s="164">
        <f>RANK!$F16</f>
        <v>2</v>
      </c>
      <c r="J13" s="159"/>
      <c r="K13" s="161">
        <f>SUMIFS(UA_Line!$G:$G,UA_Line!$B:$B,"Line Int")/SUMIFS(UA_Line!$F:$F,UA_Line!$B:$B,"Line Int")</f>
        <v>0</v>
      </c>
      <c r="L13" s="162" t="str">
        <f>IF(((RANK!B27-RANK!C27)*100)=0,"-",(RANK!B27-RANK!C27)*100)</f>
        <v>-</v>
      </c>
      <c r="M13" s="162" t="str">
        <f>IF(((RANK!B27-RANK!D27)*100)=0,"-",(RANK!B27-RANK!D27)*100)</f>
        <v>-</v>
      </c>
      <c r="N13" s="162" t="str">
        <f>"-"</f>
        <v>-</v>
      </c>
      <c r="O13" s="164">
        <f>RANK!F27</f>
        <v>1</v>
      </c>
      <c r="P13" s="150"/>
      <c r="Q13" s="171"/>
      <c r="R13" s="171"/>
      <c r="T13" s="157" t="s">
        <v>124</v>
      </c>
    </row>
    <row r="14" spans="1:20" x14ac:dyDescent="0.25">
      <c r="A14" s="171"/>
      <c r="B14" s="147"/>
      <c r="C14" s="157" t="s">
        <v>168</v>
      </c>
      <c r="D14" s="214">
        <f>SUMIFS(UA_Line!$K:$K,UA_Line!$B:$B,"Line Dom")/SUMIFS(UA_Line!$F:$F,UA_Line!$B:$B,"Line Dom")</f>
        <v>0.81990204808548528</v>
      </c>
      <c r="E14" s="214">
        <f>SUMIFS(UA_Line!$J:$J,UA_Line!$B:$B,"Line Dom")/SUMIFS(UA_Line!$F:$F,UA_Line!$B:$B,"Line Dom")</f>
        <v>0.81945681211041854</v>
      </c>
      <c r="F14" s="215">
        <f>(RANK!B17-RANK!C17)*100</f>
        <v>1.5758376833035936</v>
      </c>
      <c r="G14" s="215">
        <f>(RANK!B17-RANK!D17)*100</f>
        <v>5.4088846742453178</v>
      </c>
      <c r="H14" s="216" t="str">
        <f>"-"</f>
        <v>-</v>
      </c>
      <c r="I14" s="217">
        <f>RANK!$F17</f>
        <v>1</v>
      </c>
      <c r="J14" s="159"/>
      <c r="K14" s="214">
        <f>SUMIFS(UA_Line!$G:$G,UA_Line!$B:$B,"Line Dom")/SUMIFS(UA_Line!$F:$F,UA_Line!$B:$B,"Line Dom")</f>
        <v>3.5618878005342831E-3</v>
      </c>
      <c r="L14" s="215">
        <f>IF(((RANK!$B$28-RANK!C28)*100)=0,"-",(RANK!$B$28-RANK!C28)*100)</f>
        <v>0.3561887800534283</v>
      </c>
      <c r="M14" s="215">
        <f>IF(((RANK!$B$28-RANK!D28)*100)=0,"-",(RANK!$B$28-RANK!D28)*100)</f>
        <v>0.18302860689325878</v>
      </c>
      <c r="N14" s="215" t="s">
        <v>40</v>
      </c>
      <c r="O14" s="217">
        <f>RANK!F28</f>
        <v>3</v>
      </c>
      <c r="P14" s="150"/>
      <c r="Q14" s="171"/>
      <c r="R14" s="171"/>
      <c r="T14" s="157" t="s">
        <v>167</v>
      </c>
    </row>
    <row r="15" spans="1:20" x14ac:dyDescent="0.2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2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2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2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25">
      <c r="A19" s="252" t="s">
        <v>27</v>
      </c>
      <c r="B19" s="344" t="s">
        <v>427</v>
      </c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</row>
    <row r="20" spans="1:21" x14ac:dyDescent="0.25">
      <c r="A20" s="171"/>
      <c r="B20" s="256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60"/>
      <c r="Q20" s="148"/>
      <c r="R20" s="240"/>
    </row>
    <row r="21" spans="1:21" ht="60" x14ac:dyDescent="0.25">
      <c r="A21" s="171"/>
      <c r="B21" s="245"/>
      <c r="C21" s="175"/>
      <c r="D21" s="247" t="s">
        <v>85</v>
      </c>
      <c r="E21" s="212" t="s">
        <v>79</v>
      </c>
      <c r="F21" s="211" t="s">
        <v>80</v>
      </c>
      <c r="G21" s="211" t="s">
        <v>81</v>
      </c>
      <c r="H21" s="211" t="s">
        <v>82</v>
      </c>
      <c r="I21" s="211" t="s">
        <v>169</v>
      </c>
      <c r="J21" s="211" t="s">
        <v>170</v>
      </c>
      <c r="K21" s="211" t="s">
        <v>15</v>
      </c>
      <c r="L21" s="211" t="s">
        <v>16</v>
      </c>
      <c r="M21" s="210" t="s">
        <v>66</v>
      </c>
      <c r="N21" s="209" t="s">
        <v>29</v>
      </c>
      <c r="O21" s="209" t="s">
        <v>47</v>
      </c>
      <c r="P21" s="209" t="s">
        <v>73</v>
      </c>
      <c r="Q21" s="209" t="s">
        <v>46</v>
      </c>
      <c r="R21" s="240"/>
    </row>
    <row r="22" spans="1:21" x14ac:dyDescent="0.25">
      <c r="A22" s="171"/>
      <c r="B22" s="257"/>
      <c r="C22" s="188" t="s">
        <v>19</v>
      </c>
      <c r="D22" s="176">
        <f>SUMIFS(SCH_DEP_SQL_4!$E:$E,SCH_DEP_SQL_4!$A:$A,'Pg2'!$T22)</f>
        <v>4531</v>
      </c>
      <c r="E22" s="177">
        <f>IF((SUMIFS(CNXL_SQL_2!$F:$F,CNXL_SQL_2!$D:$D,'Pg2'!$U$22,CNXL_SQL_2!$A:$A,'Pg2'!$T22))=0,"",SUMIFS(CNXL_SQL_2!$F:$F,CNXL_SQL_2!$D:$D,'Pg2'!$U$22,CNXL_SQL_2!$A:$A,'Pg2'!$T22))</f>
        <v>20</v>
      </c>
      <c r="F22" s="177" t="str">
        <f>IF((SUMIFS(CNXL_SQL_2!$F:$F,CNXL_SQL_2!$D:$D,'Pg2'!$U$23,CNXL_SQL_2!$A:$A,'Pg2'!$T22))=0,"",SUMIFS(CNXL_SQL_2!$F:$F,CNXL_SQL_2!$D:$D,'Pg2'!$U$23,CNXL_SQL_2!$A:$A,'Pg2'!$T22))</f>
        <v/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 t="str">
        <f>IF((SUMIFS(CNXL_SQL_2!$F:$F,CNXL_SQL_2!$D:$D,'Pg2'!$U$27,CNXL_SQL_2!$A:$A,'Pg2'!$T22))=0,"",SUMIFS(CNXL_SQL_2!$F:$F,CNXL_SQL_2!$D:$D,'Pg2'!$U$27,CNXL_SQL_2!$A:$A,'Pg2'!$T22))</f>
        <v/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3">
        <f>IF((SUM(E22:M22))=0,"",SUM(E22:M22))</f>
        <v>20</v>
      </c>
      <c r="O22" s="213" t="str">
        <f>IFERROR(VLOOKUP($T22,ES_MATRIX!$A$2:$L$10,11,0),"")</f>
        <v/>
      </c>
      <c r="P22" s="213">
        <f>IF(((SUM(E22:M22))-(SUMIFS(ES_MATRIX!$L$3:$L$10,ES_MATRIX!$A$3:$A$10,'Pg2'!$T22)))=0,"",(SUM(E22:M22))-(SUMIFS(ES_MATRIX!$L$3:$L$10,ES_MATRIX!$A$3:$A$10,'Pg2'!$T22)))</f>
        <v>20</v>
      </c>
      <c r="Q22" s="213">
        <f>VLOOKUP($T22,ES_MATRIX!$A$25:$B$30,2,0)</f>
        <v>4</v>
      </c>
      <c r="R22" s="240"/>
      <c r="T22" t="s">
        <v>60</v>
      </c>
      <c r="U22" s="187" t="s">
        <v>56</v>
      </c>
    </row>
    <row r="23" spans="1:21" x14ac:dyDescent="0.25">
      <c r="A23" s="148"/>
      <c r="B23" s="257"/>
      <c r="C23" s="189" t="s">
        <v>21</v>
      </c>
      <c r="D23" s="180">
        <f>SUMIFS(SCH_DEP_SQL_4!$E:$E,SCH_DEP_SQL_4!$A:$A,'Pg2'!$T23)</f>
        <v>1376</v>
      </c>
      <c r="E23" s="190" t="str">
        <f>IF((SUMIFS(CNXL_SQL_2!$F:$F,CNXL_SQL_2!$D:$D,'Pg2'!$U$22,CNXL_SQL_2!$A:$A,'Pg2'!$T23))=0,"",SUMIFS(CNXL_SQL_2!$F:$F,CNXL_SQL_2!$D:$D,'Pg2'!$U$22,CNXL_SQL_2!$A:$A,'Pg2'!$T23))</f>
        <v/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 t="str">
        <f>IF((SUMIFS(CNXL_SQL_2!$F:$F,CNXL_SQL_2!$D:$D,'Pg2'!$U$24,CNXL_SQL_2!$A:$A,'Pg2'!$T23))=0,"",SUMIFS(CNXL_SQL_2!$F:$F,CNXL_SQL_2!$D:$D,'Pg2'!$U$24,CNXL_SQL_2!$A:$A,'Pg2'!$T23))</f>
        <v/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8" t="str">
        <f t="shared" ref="N23:N27" si="0">IF((SUM(E23:M23))=0,"",SUM(E23:M23))</f>
        <v/>
      </c>
      <c r="O23" s="248" t="str">
        <f>IFERROR(VLOOKUP($T23,ES_MATRIX!$A$2:$L$10,11,0),"")</f>
        <v/>
      </c>
      <c r="P23" s="248" t="str">
        <f>IF(((SUM(E23:M23))-(SUMIFS(ES_MATRIX!$L$3:$L$10,ES_MATRIX!$A$3:$A$10,'Pg2'!$T23)))=0,"",(SUM(E23:M23))-(SUMIFS(ES_MATRIX!$L$3:$L$10,ES_MATRIX!$A$3:$A$10,'Pg2'!$T23)))</f>
        <v/>
      </c>
      <c r="Q23" s="248">
        <f>VLOOKUP($T23,ES_MATRIX!$A$25:$B$30,2,0)</f>
        <v>5</v>
      </c>
      <c r="R23" s="240"/>
      <c r="T23" t="s">
        <v>63</v>
      </c>
      <c r="U23" s="187" t="s">
        <v>61</v>
      </c>
    </row>
    <row r="24" spans="1:21" x14ac:dyDescent="0.25">
      <c r="A24" s="171"/>
      <c r="B24" s="257"/>
      <c r="C24" s="188" t="s">
        <v>22</v>
      </c>
      <c r="D24" s="176">
        <f>SUMIFS(SCH_DEP_SQL_4!$E:$E,SCH_DEP_SQL_4!$A:$A,'Pg2'!$T24)</f>
        <v>817</v>
      </c>
      <c r="E24" s="177" t="str">
        <f>IF((SUMIFS(CNXL_SQL_2!$F:$F,CNXL_SQL_2!$D:$D,'Pg2'!$U$22,CNXL_SQL_2!$A:$A,'Pg2'!$T24))=0,"",SUMIFS(CNXL_SQL_2!$F:$F,CNXL_SQL_2!$D:$D,'Pg2'!$U$22,CNXL_SQL_2!$A:$A,'Pg2'!$T24))</f>
        <v/>
      </c>
      <c r="F24" s="177" t="str">
        <f>IF((SUMIFS(CNXL_SQL_2!$F:$F,CNXL_SQL_2!$D:$D,'Pg2'!$U$23,CNXL_SQL_2!$A:$A,'Pg2'!$T24))=0,"",SUMIFS(CNXL_SQL_2!$F:$F,CNXL_SQL_2!$D:$D,'Pg2'!$U$23,CNXL_SQL_2!$A:$A,'Pg2'!$T24))</f>
        <v/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3" t="str">
        <f t="shared" si="0"/>
        <v/>
      </c>
      <c r="O24" s="213" t="str">
        <f>IFERROR(VLOOKUP($T24,ES_MATRIX!$A$2:$L$10,11,0),"")</f>
        <v/>
      </c>
      <c r="P24" s="213" t="str">
        <f>IF(((SUM(E24:M24))-(SUMIFS(ES_MATRIX!$L$3:$L$10,ES_MATRIX!$A$3:$A$10,'Pg2'!$T24)))=0,"",(SUM(E24:M24))-(SUMIFS(ES_MATRIX!$L$3:$L$10,ES_MATRIX!$A$3:$A$10,'Pg2'!$T24)))</f>
        <v/>
      </c>
      <c r="Q24" s="213" t="str">
        <f>VLOOKUP($T24,ES_MATRIX!$A$25:$B$30,2,0)</f>
        <v/>
      </c>
      <c r="R24" s="240"/>
      <c r="T24" t="s">
        <v>65</v>
      </c>
      <c r="U24" s="187" t="s">
        <v>58</v>
      </c>
    </row>
    <row r="25" spans="1:21" x14ac:dyDescent="0.25">
      <c r="A25" s="148"/>
      <c r="B25" s="245"/>
      <c r="C25" s="189" t="s">
        <v>23</v>
      </c>
      <c r="D25" s="180">
        <f>SUMIFS(SCH_DEP_SQL_4!$E:$E,SCH_DEP_SQL_4!$A:$A,'Pg2'!$T25)</f>
        <v>1119</v>
      </c>
      <c r="E25" s="190">
        <f>IF((SUMIFS(CNXL_SQL_2!$F:$F,CNXL_SQL_2!$D:$D,'Pg2'!$U$22,CNXL_SQL_2!$A:$A,'Pg2'!$T25))=0,"",SUMIFS(CNXL_SQL_2!$F:$F,CNXL_SQL_2!$D:$D,'Pg2'!$U$22,CNXL_SQL_2!$A:$A,'Pg2'!$T25))</f>
        <v>8</v>
      </c>
      <c r="F25" s="190" t="str">
        <f>IF((SUMIFS(CNXL_SQL_2!$F:$F,CNXL_SQL_2!$D:$D,'Pg2'!$U$23,CNXL_SQL_2!$A:$A,'Pg2'!$T25))=0,"",SUMIFS(CNXL_SQL_2!$F:$F,CNXL_SQL_2!$D:$D,'Pg2'!$U$23,CNXL_SQL_2!$A:$A,'Pg2'!$T25))</f>
        <v/>
      </c>
      <c r="G25" s="190" t="str">
        <f>IF((SUMIFS(CNXL_SQL_2!$F:$F,CNXL_SQL_2!$D:$D,'Pg2'!$U$24,CNXL_SQL_2!$A:$A,'Pg2'!$T25))=0,"",SUMIFS(CNXL_SQL_2!$F:$F,CNXL_SQL_2!$D:$D,'Pg2'!$U$24,CNXL_SQL_2!$A:$A,'Pg2'!$T25))</f>
        <v/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8">
        <f t="shared" si="0"/>
        <v>8</v>
      </c>
      <c r="O25" s="248" t="str">
        <f>IFERROR(VLOOKUP($T25,ES_MATRIX!$A$2:$L$10,11,0),"")</f>
        <v/>
      </c>
      <c r="P25" s="248">
        <f>IF(((SUM(E25:M25))-(SUMIFS(ES_MATRIX!$L$3:$L$10,ES_MATRIX!$A$3:$A$10,'Pg2'!$T25)))=0,"",(SUM(E25:M25))-(SUMIFS(ES_MATRIX!$L$3:$L$10,ES_MATRIX!$A$3:$A$10,'Pg2'!$T25)))</f>
        <v>8</v>
      </c>
      <c r="Q25" s="248" t="str">
        <f>VLOOKUP($T25,ES_MATRIX!$A$25:$B$30,2,0)</f>
        <v/>
      </c>
      <c r="R25" s="240"/>
      <c r="T25" t="s">
        <v>55</v>
      </c>
      <c r="U25" s="187" t="s">
        <v>69</v>
      </c>
    </row>
    <row r="26" spans="1:21" x14ac:dyDescent="0.25">
      <c r="A26" s="171"/>
      <c r="B26" s="257"/>
      <c r="C26" s="188" t="s">
        <v>24</v>
      </c>
      <c r="D26" s="176">
        <f>SUMIFS(SCH_DEP_SQL_4!$E:$E,SCH_DEP_SQL_4!$A:$A,'Pg2'!$T26)</f>
        <v>1683</v>
      </c>
      <c r="E26" s="177" t="str">
        <f>IF((SUMIFS(CNXL_SQL_2!$F:$F,CNXL_SQL_2!$D:$D,'Pg2'!$U$22,CNXL_SQL_2!$A:$A,'Pg2'!$T26))=0,"",SUMIFS(CNXL_SQL_2!$F:$F,CNXL_SQL_2!$D:$D,'Pg2'!$U$22,CNXL_SQL_2!$A:$A,'Pg2'!$T26))</f>
        <v/>
      </c>
      <c r="F26" s="177">
        <f>IF((SUMIFS(CNXL_SQL_2!$F:$F,CNXL_SQL_2!$D:$D,'Pg2'!$U$23,CNXL_SQL_2!$A:$A,'Pg2'!$T26))=0,"",SUMIFS(CNXL_SQL_2!$F:$F,CNXL_SQL_2!$D:$D,'Pg2'!$U$23,CNXL_SQL_2!$A:$A,'Pg2'!$T26))</f>
        <v>9</v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 t="str">
        <f>IF((SUMIFS(CNXL_SQL_2!$F:$F,CNXL_SQL_2!$D:$D,'Pg2'!$U$27,CNXL_SQL_2!$A:$A,'Pg2'!$T26))=0,"",SUMIFS(CNXL_SQL_2!$F:$F,CNXL_SQL_2!$D:$D,'Pg2'!$U$27,CNXL_SQL_2!$A:$A,'Pg2'!$T26))</f>
        <v/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3">
        <f t="shared" si="0"/>
        <v>9</v>
      </c>
      <c r="O26" s="213" t="str">
        <f>IFERROR(VLOOKUP($T26,ES_MATRIX!$A$2:$L$10,11,0),"")</f>
        <v xml:space="preserve">OO-4 YX-5 </v>
      </c>
      <c r="P26" s="213" t="str">
        <f>IF(((SUM(E26:M26))-(SUMIFS(ES_MATRIX!$L$3:$L$10,ES_MATRIX!$A$3:$A$10,'Pg2'!$T26)))=0,"",(SUM(E26:M26))-(SUMIFS(ES_MATRIX!$L$3:$L$10,ES_MATRIX!$A$3:$A$10,'Pg2'!$T26)))</f>
        <v/>
      </c>
      <c r="Q26" s="213" t="str">
        <f>VLOOKUP($T26,ES_MATRIX!$A$25:$B$30,2,0)</f>
        <v/>
      </c>
      <c r="R26" s="240"/>
      <c r="T26" t="s">
        <v>62</v>
      </c>
      <c r="U26" s="187" t="s">
        <v>67</v>
      </c>
    </row>
    <row r="27" spans="1:21" x14ac:dyDescent="0.25">
      <c r="A27" s="171"/>
      <c r="B27" s="257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8" t="str">
        <f t="shared" si="0"/>
        <v/>
      </c>
      <c r="O27" s="248" t="str">
        <f>IFERROR(VLOOKUP($T27,ES_MATRIX!$A$2:$L$10,11,0),"")</f>
        <v/>
      </c>
      <c r="P27" s="248" t="str">
        <f>IF(((SUM(E27:M27))-(SUMIFS(ES_MATRIX!$L$3:$L$10,ES_MATRIX!$A$3:$A$10,'Pg2'!$T27)))=0,"",(SUM(E27:M27))-(SUMIFS(ES_MATRIX!$L$3:$L$10,ES_MATRIX!$A$3:$A$10,'Pg2'!$T27)))</f>
        <v/>
      </c>
      <c r="Q27" s="248" t="str">
        <f>VLOOKUP($T27,ES_MATRIX!$A$25:$B$30,2,0)</f>
        <v/>
      </c>
      <c r="R27" s="240"/>
      <c r="T27" t="s">
        <v>59</v>
      </c>
      <c r="U27" s="187" t="s">
        <v>70</v>
      </c>
    </row>
    <row r="28" spans="1:21" x14ac:dyDescent="0.25">
      <c r="A28" s="148"/>
      <c r="B28" s="258"/>
      <c r="C28" s="183" t="s">
        <v>26</v>
      </c>
      <c r="D28" s="309">
        <f>SUM(D22:D27)</f>
        <v>9526</v>
      </c>
      <c r="E28" s="184">
        <f t="shared" ref="E28:M28" si="1">IF(SUM(E22:E27)=0,"",SUM(E22:E27))</f>
        <v>28</v>
      </c>
      <c r="F28" s="184">
        <f t="shared" si="1"/>
        <v>9</v>
      </c>
      <c r="G28" s="184" t="str">
        <f t="shared" si="1"/>
        <v/>
      </c>
      <c r="H28" s="184" t="str">
        <f t="shared" si="1"/>
        <v/>
      </c>
      <c r="I28" s="184" t="str">
        <f t="shared" si="1"/>
        <v/>
      </c>
      <c r="J28" s="184" t="str">
        <f t="shared" si="1"/>
        <v/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9">
        <f>IF(SUM(N22:N27)=0,"",SUM(N22:N27))</f>
        <v>37</v>
      </c>
      <c r="O28" s="249" t="str">
        <f t="shared" ref="O28:Q28" si="2">IF(SUM(O22:O27)=0,"",SUM(O22:O27))</f>
        <v/>
      </c>
      <c r="P28" s="249">
        <f t="shared" si="2"/>
        <v>28</v>
      </c>
      <c r="Q28" s="249">
        <f t="shared" si="2"/>
        <v>9</v>
      </c>
      <c r="R28" s="240"/>
      <c r="U28" s="187" t="s">
        <v>72</v>
      </c>
    </row>
    <row r="29" spans="1:21" x14ac:dyDescent="0.25">
      <c r="A29" s="171"/>
      <c r="B29" s="246"/>
      <c r="C29" s="259"/>
      <c r="D29" s="259"/>
      <c r="E29" s="242"/>
      <c r="F29" s="242"/>
      <c r="G29" s="242"/>
      <c r="H29" s="242"/>
      <c r="I29" s="259"/>
      <c r="J29" s="259"/>
      <c r="K29" s="259"/>
      <c r="L29" s="242"/>
      <c r="M29" s="242"/>
      <c r="N29" s="242"/>
      <c r="O29" s="242"/>
      <c r="P29" s="259"/>
      <c r="Q29" s="259"/>
      <c r="R29" s="243"/>
      <c r="U29" s="187" t="s">
        <v>68</v>
      </c>
    </row>
    <row r="30" spans="1:21" x14ac:dyDescent="0.2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25">
      <c r="A32" s="171"/>
      <c r="B32" s="345" t="s">
        <v>156</v>
      </c>
      <c r="C32" s="344"/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44"/>
      <c r="R32" s="344"/>
    </row>
    <row r="33" spans="1:18" x14ac:dyDescent="0.2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40"/>
    </row>
    <row r="34" spans="1:18" ht="45" x14ac:dyDescent="0.25">
      <c r="A34" s="171"/>
      <c r="B34" s="147"/>
      <c r="C34" s="175"/>
      <c r="D34" s="247" t="s">
        <v>85</v>
      </c>
      <c r="E34" s="211" t="s">
        <v>79</v>
      </c>
      <c r="F34" s="211" t="s">
        <v>80</v>
      </c>
      <c r="G34" s="211" t="s">
        <v>81</v>
      </c>
      <c r="H34" s="211" t="s">
        <v>82</v>
      </c>
      <c r="I34" s="211" t="s">
        <v>169</v>
      </c>
      <c r="J34" s="211" t="s">
        <v>170</v>
      </c>
      <c r="K34" s="211" t="s">
        <v>15</v>
      </c>
      <c r="L34" s="211" t="s">
        <v>16</v>
      </c>
      <c r="M34" s="211" t="s">
        <v>469</v>
      </c>
      <c r="N34" s="209" t="s">
        <v>458</v>
      </c>
      <c r="O34" s="300" t="s">
        <v>473</v>
      </c>
      <c r="P34" s="175"/>
      <c r="Q34" s="175"/>
      <c r="R34" s="240"/>
    </row>
    <row r="35" spans="1:18" x14ac:dyDescent="0.25">
      <c r="A35" s="171"/>
      <c r="B35" s="147"/>
      <c r="C35" s="188" t="s">
        <v>19</v>
      </c>
      <c r="D35" s="176">
        <f>SUMIFS(SCH_DEP_SQL_4!$E:$E,SCH_DEP_SQL_4!$A:$A,'Pg2'!$T22)</f>
        <v>4531</v>
      </c>
      <c r="E35" s="288">
        <f>IF(Carrier_delays!B$4/Carrier_delays!$K$4 = 0, " ",Carrier_delays!B$4/Carrier_delays!$K$4)</f>
        <v>1.2138600750386228E-2</v>
      </c>
      <c r="F35" s="288">
        <f>IF(Carrier_delays!C$4/Carrier_delays!$K$4 = 0, " ",Carrier_delays!C$4/Carrier_delays!$K$4)</f>
        <v>3.20017656146546E-2</v>
      </c>
      <c r="G35" s="288">
        <f>IF(Carrier_delays!D$4/Carrier_delays!$K$4 = 0, " ",Carrier_delays!D$4/Carrier_delays!$K$4)</f>
        <v>2.1628779518870007E-2</v>
      </c>
      <c r="H35" s="288">
        <f>IF(Carrier_delays!E$4/Carrier_delays!$K$4 = 0, " ",Carrier_delays!E$4/Carrier_delays!$K$4)</f>
        <v>7.0624586184065332E-3</v>
      </c>
      <c r="I35" s="288">
        <f>IF(Carrier_delays!F$4/Carrier_delays!$K$4 = 0, " ",Carrier_delays!F$4/Carrier_delays!$K$4)</f>
        <v>6.7976164202162875E-2</v>
      </c>
      <c r="J35" s="288" t="str">
        <f>IF(Carrier_delays!G$4/Carrier_delays!$K$4 = 0, " ",Carrier_delays!G$4/Carrier_delays!$K$4)</f>
        <v xml:space="preserve"> </v>
      </c>
      <c r="K35" s="288">
        <f>IF(Carrier_delays!H$4/Carrier_delays!$K$4 = 0, " ",Carrier_delays!H$4/Carrier_delays!$K$4)</f>
        <v>1.5449128227764291E-3</v>
      </c>
      <c r="L35" s="288">
        <f>IF(Carrier_delays!I$4/Carrier_delays!$K$4 = 0, " ",Carrier_delays!I$4/Carrier_delays!$K$4)</f>
        <v>4.4140366365040833E-4</v>
      </c>
      <c r="M35" s="288">
        <f>IF(Carrier_delays!$L4/Carrier_delays!$K$4=0," ",Carrier_delays!$L4/Carrier_delays!$K$4)</f>
        <v>1.3462811741337453E-2</v>
      </c>
      <c r="N35" s="305">
        <f>Carrier_delays!$J$4</f>
        <v>967</v>
      </c>
      <c r="O35" s="298">
        <f>$N$35/$D$35</f>
        <v>0.21341867137497242</v>
      </c>
      <c r="P35" s="250"/>
      <c r="Q35" s="250"/>
      <c r="R35" s="240"/>
    </row>
    <row r="36" spans="1:18" x14ac:dyDescent="0.25">
      <c r="A36" s="171"/>
      <c r="B36" s="147"/>
      <c r="C36" s="189" t="s">
        <v>21</v>
      </c>
      <c r="D36" s="180">
        <f>SUMIFS(SCH_DEP_SQL_4!$E:$E,SCH_DEP_SQL_4!$A:$A,'Pg2'!$T23)</f>
        <v>1376</v>
      </c>
      <c r="E36" s="289">
        <f>IF(Carrier_delays!B$6/Carrier_delays!$K$6 = 0, " ", Carrier_delays!B$6/Carrier_delays!$K$6)</f>
        <v>2.9069767441860465E-3</v>
      </c>
      <c r="F36" s="289">
        <f>IF(Carrier_delays!C$6/Carrier_delays!$K$6 = 0, " ", Carrier_delays!C$6/Carrier_delays!$K$6)</f>
        <v>2.4709302325581394E-2</v>
      </c>
      <c r="G36" s="289">
        <f>IF(Carrier_delays!D$6/Carrier_delays!$K$6 = 0, " ", Carrier_delays!D$6/Carrier_delays!$K$6)</f>
        <v>1.0901162790697675E-2</v>
      </c>
      <c r="H36" s="289">
        <f>IF(Carrier_delays!E$6/Carrier_delays!$K$6 = 0, " ", Carrier_delays!E$6/Carrier_delays!$K$6)</f>
        <v>1.0174418604651164E-2</v>
      </c>
      <c r="I36" s="289">
        <f>IF(Carrier_delays!F$6/Carrier_delays!$K$6 = 0, " ", Carrier_delays!F$6/Carrier_delays!$K$6)</f>
        <v>4.6511627906976744E-2</v>
      </c>
      <c r="J36" s="289" t="str">
        <f>IF(Carrier_delays!G$6/Carrier_delays!$K$6 = 0, " ", Carrier_delays!G$6/Carrier_delays!$K$6)</f>
        <v xml:space="preserve"> </v>
      </c>
      <c r="K36" s="301">
        <f>IF(Carrier_delays!H$6/Carrier_delays!$K$6 = 0, " ", Carrier_delays!H$6/Carrier_delays!$K$6)</f>
        <v>7.2674418604651162E-4</v>
      </c>
      <c r="L36" s="289">
        <f>IF(Carrier_delays!I$6/Carrier_delays!$K$6 = 0, " ", Carrier_delays!I$6/Carrier_delays!$K$6)</f>
        <v>7.2674418604651162E-4</v>
      </c>
      <c r="M36" s="301">
        <f>IF(Carrier_delays!$L5/Carrier_delays!$K$4=0," ",Carrier_delays!$L5/Carrier_delays!$K$4)</f>
        <v>9.2694769366585741E-3</v>
      </c>
      <c r="N36" s="306">
        <f>Carrier_delays!$J$6</f>
        <v>182</v>
      </c>
      <c r="O36" s="304">
        <f t="shared" ref="O36:O39" si="3">N36/D36</f>
        <v>0.13226744186046513</v>
      </c>
      <c r="P36" s="250"/>
      <c r="Q36" s="250"/>
      <c r="R36" s="240"/>
    </row>
    <row r="37" spans="1:18" x14ac:dyDescent="0.25">
      <c r="A37" s="171"/>
      <c r="B37" s="147"/>
      <c r="C37" s="188" t="s">
        <v>22</v>
      </c>
      <c r="D37" s="176">
        <f>SUMIFS(SCH_DEP_SQL_4!$E:$E,SCH_DEP_SQL_4!$A:$A,'Pg2'!$T24)</f>
        <v>817</v>
      </c>
      <c r="E37" s="288">
        <f>IF(Carrier_delays!B$3/Carrier_delays!$K$3 = 0, " ",Carrier_delays!B$3/Carrier_delays!$K$3)</f>
        <v>1.2239902080783353E-3</v>
      </c>
      <c r="F37" s="288">
        <f>IF(Carrier_delays!C$3/Carrier_delays!$K$3 = 0, " ",Carrier_delays!C$3/Carrier_delays!$K$3)</f>
        <v>3.0599755201958383E-2</v>
      </c>
      <c r="G37" s="288">
        <f>IF(Carrier_delays!D$3/Carrier_delays!$K$3 = 0, " ",Carrier_delays!D$3/Carrier_delays!$K$3)</f>
        <v>1.1015911872705019E-2</v>
      </c>
      <c r="H37" s="288">
        <f>IF(Carrier_delays!E$3/Carrier_delays!$K$3 = 0, " ",Carrier_delays!E$3/Carrier_delays!$K$3)</f>
        <v>1.346389228886169E-2</v>
      </c>
      <c r="I37" s="288">
        <f>IF(Carrier_delays!F$3/Carrier_delays!$K$3 = 0, " ",Carrier_delays!F$3/Carrier_delays!$K$3)</f>
        <v>6.6095471236230108E-2</v>
      </c>
      <c r="J37" s="288" t="str">
        <f>IF(Carrier_delays!G$3/Carrier_delays!$K$3 = 0, " ",Carrier_delays!G$3/Carrier_delays!$K$3)</f>
        <v xml:space="preserve"> </v>
      </c>
      <c r="K37" s="288" t="str">
        <f>IF(Carrier_delays!H$3/Carrier_delays!$K$3 = 0, " ",Carrier_delays!H$3/Carrier_delays!$K$3)</f>
        <v xml:space="preserve"> </v>
      </c>
      <c r="L37" s="288" t="str">
        <f>IF(Carrier_delays!I$3/Carrier_delays!$K$3 = 0, " ",Carrier_delays!I$3/Carrier_delays!$K$3)</f>
        <v xml:space="preserve"> </v>
      </c>
      <c r="M37" s="288">
        <f>IF(Carrier_delays!$L6/Carrier_delays!$K$4=0," ",Carrier_delays!$L6/Carrier_delays!$K$4)</f>
        <v>3.0898256455528582E-3</v>
      </c>
      <c r="N37" s="294">
        <f>Carrier_delays!J3</f>
        <v>134</v>
      </c>
      <c r="O37" s="298">
        <f t="shared" si="3"/>
        <v>0.16401468788249693</v>
      </c>
      <c r="P37" s="250"/>
      <c r="Q37" s="250"/>
      <c r="R37" s="240"/>
    </row>
    <row r="38" spans="1:18" x14ac:dyDescent="0.25">
      <c r="A38" s="171"/>
      <c r="B38" s="147"/>
      <c r="C38" s="189" t="s">
        <v>23</v>
      </c>
      <c r="D38" s="180">
        <f>SUMIFS(SCH_DEP_SQL_4!$E:$E,SCH_DEP_SQL_4!$A:$A,'Pg2'!$T25)</f>
        <v>1119</v>
      </c>
      <c r="E38" s="289">
        <f>IF(Carrier_delays!B$2/Carrier_delays!$K$2 = 0, " ", Carrier_delays!B$2/Carrier_delays!$K$2)</f>
        <v>7.1492403932082215E-3</v>
      </c>
      <c r="F38" s="289">
        <f>IF(Carrier_delays!C$2/Carrier_delays!$K$2 = 0, " ", Carrier_delays!C$2/Carrier_delays!$K$2)</f>
        <v>5.0938337801608578E-2</v>
      </c>
      <c r="G38" s="289">
        <f>IF(Carrier_delays!D$2/Carrier_delays!$K$2 = 0, " ", Carrier_delays!D$2/Carrier_delays!$K$2)</f>
        <v>2.6809651474530832E-2</v>
      </c>
      <c r="H38" s="289">
        <f>IF(Carrier_delays!E$2/Carrier_delays!$K$2 = 0, " ", Carrier_delays!E$2/Carrier_delays!$K$2)</f>
        <v>7.1492403932082215E-3</v>
      </c>
      <c r="I38" s="289">
        <f>IF(Carrier_delays!F$2/Carrier_delays!$K$2 = 0, " ", Carrier_delays!F$2/Carrier_delays!$K$2)</f>
        <v>5.6300268096514748E-2</v>
      </c>
      <c r="J38" s="289" t="str">
        <f>IF(Carrier_delays!G$2/Carrier_delays!$K$2 = 0, " ", Carrier_delays!G$2/Carrier_delays!$K$2)</f>
        <v xml:space="preserve"> </v>
      </c>
      <c r="K38" s="289">
        <f>IF(Carrier_delays!H$2/Carrier_delays!$K$2 = 0, " ", Carrier_delays!H$2/Carrier_delays!$K$2)</f>
        <v>8.9365504915102768E-4</v>
      </c>
      <c r="L38" s="289" t="str">
        <f>IF(Carrier_delays!I$2/Carrier_delays!$K$2 = 0, " ", Carrier_delays!I$2/Carrier_delays!$K$2)</f>
        <v xml:space="preserve"> </v>
      </c>
      <c r="M38" s="301" t="str">
        <f>IF(Carrier_delays!$L7/Carrier_delays!$K$4=0," ",Carrier_delays!$L7/Carrier_delays!$K$4)</f>
        <v xml:space="preserve"> </v>
      </c>
      <c r="N38" s="306">
        <f>Carrier_delays!$J$2</f>
        <v>227</v>
      </c>
      <c r="O38" s="304">
        <f t="shared" si="3"/>
        <v>0.20285969615728328</v>
      </c>
      <c r="P38" s="250"/>
      <c r="Q38" s="250"/>
      <c r="R38" s="240"/>
    </row>
    <row r="39" spans="1:18" x14ac:dyDescent="0.25">
      <c r="A39" s="171"/>
      <c r="B39" s="147"/>
      <c r="C39" s="188" t="s">
        <v>24</v>
      </c>
      <c r="D39" s="176">
        <f>SUMIFS(SCH_DEP_SQL_4!$E:$E,SCH_DEP_SQL_4!$A:$A,'Pg2'!$T26)</f>
        <v>1683</v>
      </c>
      <c r="E39" s="288">
        <f>IF(Carrier_delays!B$5/Carrier_delays!$K$5 = 0, " ", Carrier_delays!B$5/Carrier_delays!$K$5 )</f>
        <v>1.3666072489601902E-2</v>
      </c>
      <c r="F39" s="288">
        <f>IF(Carrier_delays!C$5/Carrier_delays!$K$5 = 0, " ", Carrier_delays!C$5/Carrier_delays!$K$5 )</f>
        <v>5.4664289958407608E-2</v>
      </c>
      <c r="G39" s="288">
        <f>IF(Carrier_delays!D$5/Carrier_delays!$K$5 = 0, " ", Carrier_delays!D$5/Carrier_delays!$K$5 )</f>
        <v>5.1099227569815803E-2</v>
      </c>
      <c r="H39" s="288">
        <f>IF(Carrier_delays!E$5/Carrier_delays!$K$5 = 0, " ", Carrier_delays!E$5/Carrier_delays!$K$5 )</f>
        <v>8.9126559714795012E-3</v>
      </c>
      <c r="I39" s="288">
        <f>IF(Carrier_delays!F$5/Carrier_delays!$K$5 = 0, " ", Carrier_delays!F$5/Carrier_delays!$K$5 )</f>
        <v>9.5662507427213314E-2</v>
      </c>
      <c r="J39" s="288" t="str">
        <f>IF(Carrier_delays!G$5/Carrier_delays!$K$5 = 0, " ", Carrier_delays!G$5/Carrier_delays!$K$5 )</f>
        <v xml:space="preserve"> </v>
      </c>
      <c r="K39" s="288">
        <f>IF(Carrier_delays!H$5/Carrier_delays!$K$5 = 0, " ", Carrier_delays!H$5/Carrier_delays!$K$5 )</f>
        <v>5.941770647653001E-4</v>
      </c>
      <c r="L39" s="288">
        <f>IF(Carrier_delays!I$5/Carrier_delays!$K$5 = 0, " ", Carrier_delays!I$5/Carrier_delays!$K$5 )</f>
        <v>1.1883541295306002E-3</v>
      </c>
      <c r="M39" s="288" t="str">
        <f>IF(Carrier_delays!$L8/Carrier_delays!$K$4=0," ",Carrier_delays!$L8/Carrier_delays!$K$4)</f>
        <v xml:space="preserve"> </v>
      </c>
      <c r="N39" s="294">
        <f>Carrier_delays!$J$5</f>
        <v>567</v>
      </c>
      <c r="O39" s="298">
        <f t="shared" si="3"/>
        <v>0.33689839572192515</v>
      </c>
      <c r="P39" s="250"/>
      <c r="Q39" s="250"/>
      <c r="R39" s="240"/>
    </row>
    <row r="40" spans="1:18" x14ac:dyDescent="0.25">
      <c r="A40" s="171"/>
      <c r="B40" s="147"/>
      <c r="C40" s="189" t="s">
        <v>25</v>
      </c>
      <c r="D40" s="180">
        <f>SUMIFS(SCH_DEP_SQL_4!$E:$E,SCH_DEP_SQL_4!$A:$A,'Pg2'!$T27)</f>
        <v>0</v>
      </c>
      <c r="E40" s="289" t="str">
        <f>"-"</f>
        <v>-</v>
      </c>
      <c r="F40" s="301" t="str">
        <f t="shared" ref="F40:M40" si="4">"-"</f>
        <v>-</v>
      </c>
      <c r="G40" s="301" t="str">
        <f t="shared" si="4"/>
        <v>-</v>
      </c>
      <c r="H40" s="301" t="str">
        <f t="shared" si="4"/>
        <v>-</v>
      </c>
      <c r="I40" s="301" t="str">
        <f t="shared" si="4"/>
        <v>-</v>
      </c>
      <c r="J40" s="301" t="str">
        <f t="shared" si="4"/>
        <v>-</v>
      </c>
      <c r="K40" s="301" t="str">
        <f t="shared" si="4"/>
        <v>-</v>
      </c>
      <c r="L40" s="301" t="str">
        <f t="shared" si="4"/>
        <v>-</v>
      </c>
      <c r="M40" s="301" t="str">
        <f t="shared" si="4"/>
        <v>-</v>
      </c>
      <c r="N40" s="306" t="str">
        <f>"-"</f>
        <v>-</v>
      </c>
      <c r="O40" s="304" t="str">
        <f>"-"</f>
        <v>-</v>
      </c>
      <c r="P40" s="250"/>
      <c r="Q40" s="250"/>
      <c r="R40" s="240"/>
    </row>
    <row r="41" spans="1:18" x14ac:dyDescent="0.25">
      <c r="A41" s="171"/>
      <c r="B41" s="147"/>
      <c r="C41" s="183" t="s">
        <v>26</v>
      </c>
      <c r="D41" s="309">
        <f>SUM(D35:D40)</f>
        <v>9526</v>
      </c>
      <c r="E41" s="290">
        <f>SUM(Carrier_delays!B2:B7)/SUM(Carrier_delays!$K$2:$K$7)</f>
        <v>9.552802855343271E-3</v>
      </c>
      <c r="F41" s="302">
        <f>SUM(Carrier_delays!C2:C7)/SUM(Carrier_delays!$K$2:$K$7)</f>
        <v>3.7056477010287636E-2</v>
      </c>
      <c r="G41" s="302">
        <f>SUM(Carrier_delays!D2:D7)/SUM(Carrier_delays!$K$2:$K$7)</f>
        <v>2.4984253621667018E-2</v>
      </c>
      <c r="H41" s="302">
        <f>SUM(Carrier_delays!E2:E7)/SUM(Carrier_delays!$K$2:$K$7)</f>
        <v>8.3980684442578214E-3</v>
      </c>
      <c r="I41" s="302">
        <f>SUM(Carrier_delays!F2:F7)/SUM(Carrier_delays!$K$2:$K$7)</f>
        <v>6.82343061095948E-2</v>
      </c>
      <c r="J41" s="302">
        <f>SUM(Carrier_delays!G2:G7)/SUM(Carrier_delays!$K$2:$K$7)</f>
        <v>0</v>
      </c>
      <c r="K41" s="302">
        <f>SUM(Carrier_delays!H2:H7)/SUM(Carrier_delays!$K$2:$K$7)</f>
        <v>1.0497585555322277E-3</v>
      </c>
      <c r="L41" s="302">
        <f>SUM(Carrier_delays!I2:I7)/SUM(Carrier_delays!$K$2:$K$7)</f>
        <v>5.2487927776611383E-4</v>
      </c>
      <c r="M41" s="302">
        <f>SUM(Carrier_delays!L2:L7)/SUM(Carrier_delays!$K$2:$K$7)</f>
        <v>1.5011547344110854E-2</v>
      </c>
      <c r="N41" s="249">
        <f>IF(SUM(N35:N40)=0,"",SUM(N35:N40))</f>
        <v>2077</v>
      </c>
      <c r="O41" s="307">
        <f>N41/D41</f>
        <v>0.21803485198404368</v>
      </c>
      <c r="P41" s="251"/>
      <c r="Q41" s="251"/>
      <c r="R41" s="240"/>
    </row>
    <row r="42" spans="1:18" x14ac:dyDescent="0.2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2"/>
      <c r="R42" s="243"/>
    </row>
    <row r="43" spans="1:18" x14ac:dyDescent="0.2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2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2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25">
      <c r="A46" s="171"/>
      <c r="B46" s="186" t="s">
        <v>172</v>
      </c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171"/>
      <c r="R46" s="171"/>
    </row>
    <row r="47" spans="1:18" ht="21" x14ac:dyDescent="0.25">
      <c r="A47" s="171"/>
      <c r="B47" s="186" t="s">
        <v>173</v>
      </c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171"/>
      <c r="R47" s="171"/>
    </row>
    <row r="48" spans="1:18" x14ac:dyDescent="0.2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25">
      <c r="A49" s="171"/>
      <c r="B49" s="186" t="s">
        <v>175</v>
      </c>
      <c r="C49" s="255"/>
      <c r="D49" s="250"/>
      <c r="E49" s="255"/>
      <c r="F49" s="250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25">
      <c r="A50" s="171"/>
      <c r="B50" s="148"/>
      <c r="C50" s="255"/>
      <c r="D50" s="250"/>
      <c r="E50" s="255"/>
      <c r="F50" s="250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25">
      <c r="A51" s="171"/>
      <c r="B51" s="148"/>
      <c r="C51" s="255"/>
      <c r="D51" s="250"/>
      <c r="E51" s="255"/>
      <c r="F51" s="250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25">
      <c r="A52" s="171"/>
      <c r="B52" s="261"/>
      <c r="C52" s="255"/>
      <c r="D52" s="250"/>
      <c r="E52" s="255"/>
      <c r="F52" s="250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25">
      <c r="A53" s="171"/>
      <c r="B53" s="148"/>
      <c r="C53" s="255"/>
      <c r="D53" s="250"/>
      <c r="E53" s="255"/>
      <c r="F53" s="250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25">
      <c r="A54" s="171"/>
      <c r="B54" s="148"/>
      <c r="C54" s="255"/>
      <c r="D54" s="250"/>
      <c r="E54" s="255"/>
      <c r="F54" s="250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25">
      <c r="A55" s="171"/>
      <c r="B55" s="148"/>
      <c r="C55" s="251"/>
      <c r="D55" s="251"/>
      <c r="E55" s="251"/>
      <c r="F55" s="251"/>
      <c r="G55" s="251"/>
      <c r="H55" s="251"/>
      <c r="I55" s="251"/>
      <c r="J55" s="251"/>
      <c r="K55" s="251"/>
      <c r="L55" s="251"/>
      <c r="M55" s="251"/>
      <c r="N55" s="148"/>
      <c r="O55" s="148"/>
      <c r="P55" s="148"/>
      <c r="Q55" s="171"/>
      <c r="R55" s="171"/>
    </row>
    <row r="56" spans="1:18" x14ac:dyDescent="0.2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2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2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25">
      <c r="A59" s="171"/>
      <c r="B59" s="343"/>
      <c r="C59" s="343"/>
      <c r="D59" s="343"/>
      <c r="E59" s="343"/>
      <c r="F59" s="343"/>
      <c r="G59" s="343"/>
      <c r="H59" s="343"/>
      <c r="I59" s="343"/>
      <c r="J59" s="343"/>
      <c r="K59" s="343"/>
      <c r="L59" s="343"/>
      <c r="M59" s="343"/>
      <c r="N59" s="343"/>
      <c r="O59" s="343"/>
      <c r="P59" s="343"/>
      <c r="Q59" s="171"/>
      <c r="R59" s="171"/>
    </row>
    <row r="60" spans="1:18" ht="21" x14ac:dyDescent="0.25"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171"/>
      <c r="R60" s="171"/>
    </row>
    <row r="61" spans="1:18" x14ac:dyDescent="0.2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25">
      <c r="B62" s="148"/>
      <c r="C62" s="255"/>
      <c r="D62" s="250"/>
      <c r="E62" s="255"/>
      <c r="F62" s="250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25">
      <c r="A63" s="171"/>
      <c r="B63" s="148"/>
      <c r="C63" s="255"/>
      <c r="D63" s="250"/>
      <c r="E63" s="255"/>
      <c r="F63" s="250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25">
      <c r="A64" s="171"/>
      <c r="B64" s="148"/>
      <c r="C64" s="255"/>
      <c r="D64" s="250"/>
      <c r="E64" s="255"/>
      <c r="F64" s="250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25">
      <c r="A65" s="171"/>
      <c r="B65" s="261"/>
      <c r="C65" s="255"/>
      <c r="D65" s="250"/>
      <c r="E65" s="255"/>
      <c r="F65" s="250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25">
      <c r="B66" s="148"/>
      <c r="C66" s="255"/>
      <c r="D66" s="250"/>
      <c r="E66" s="255"/>
      <c r="F66" s="250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25">
      <c r="B67" s="148"/>
      <c r="C67" s="255"/>
      <c r="D67" s="250"/>
      <c r="E67" s="255"/>
      <c r="F67" s="250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25">
      <c r="B68" s="148"/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148"/>
      <c r="O68" s="148"/>
      <c r="P68" s="148"/>
    </row>
    <row r="69" spans="1:18" x14ac:dyDescent="0.2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V28"/>
  <sheetViews>
    <sheetView workbookViewId="0">
      <selection activeCell="T3" sqref="T3"/>
    </sheetView>
  </sheetViews>
  <sheetFormatPr defaultRowHeight="15" x14ac:dyDescent="0.25"/>
  <cols>
    <col min="1" max="1" width="14.42578125" bestFit="1" customWidth="1"/>
    <col min="2" max="2" width="11.28515625" customWidth="1"/>
    <col min="4" max="5" width="11.85546875" customWidth="1"/>
    <col min="6" max="6" width="9.28515625" bestFit="1" customWidth="1"/>
    <col min="8" max="8" width="16.140625" customWidth="1"/>
    <col min="9" max="9" width="12.7109375" customWidth="1"/>
    <col min="10" max="10" width="12.42578125" customWidth="1"/>
    <col min="11" max="12" width="13.28515625" customWidth="1"/>
    <col min="13" max="13" width="15.5703125" bestFit="1" customWidth="1"/>
    <col min="14" max="14" width="15.5703125" customWidth="1"/>
    <col min="15" max="15" width="15.85546875" customWidth="1"/>
    <col min="16" max="16" width="10.140625" bestFit="1" customWidth="1"/>
  </cols>
  <sheetData>
    <row r="1" spans="1:22" ht="15.75" thickBot="1" x14ac:dyDescent="0.3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25">
      <c r="A2" s="44" t="s">
        <v>1</v>
      </c>
      <c r="B2" s="130">
        <f>UA_SQL_1!O2/UA_SQL_1!N2</f>
        <v>264.96428571428572</v>
      </c>
      <c r="C2" s="128">
        <f>SUMIFS(OA_SQL_1!$L:$L,OA_SQL_1!$A:$A,"DL")/SUMIFS(OA_SQL_1!$J:$J,OA_SQL_1!$A:$A,"DL")</f>
        <v>0.98961458573736438</v>
      </c>
      <c r="D2" s="128">
        <f>SUMIFS(OA_SQL_1!$L:$L,OA_SQL_1!$A:$A,"AA")/SUMIFS(OA_SQL_1!$J:$J,OA_SQL_1!$A:$A,"AA")</f>
        <v>0.92280046003450256</v>
      </c>
      <c r="E2" s="50"/>
      <c r="F2" s="51">
        <f>RANK(B2,B2:D2,0)</f>
        <v>1</v>
      </c>
      <c r="H2" s="44" t="s">
        <v>1</v>
      </c>
      <c r="I2" s="28">
        <f>(UA_SQL_1!$X$2/UA_SQL_1!$W$2)</f>
        <v>1.0226983661089912</v>
      </c>
      <c r="J2" s="50">
        <f>SUMIF(OA_SQL_1!$A$1:$A$3,"DL",OA_SQL_1!$O$1:$O$3)/SUMIF(OA_SQL_1!$A$1:$A$3,"DL",OA_SQL_1!$M$1:$M$3)</f>
        <v>1</v>
      </c>
      <c r="K2" s="50">
        <f>SUMIF(OA_SQL_1!$A$1:$A$3,"AA",OA_SQL_1!$O1:O$3)/SUMIF(OA_SQL_1!$A$1:$A$3,"AA",OA_SQL_1!$M$1:$M$3)</f>
        <v>0.99979629252393565</v>
      </c>
      <c r="L2" s="50"/>
      <c r="M2" s="51">
        <f>RANK(I2,I2:K2,0)</f>
        <v>1</v>
      </c>
      <c r="N2" s="51"/>
      <c r="O2" s="44" t="s">
        <v>1</v>
      </c>
      <c r="P2" s="152">
        <f>UA_SQL_1!$N$2/UA_SQL_1!$M$2</f>
        <v>2.939323955490237E-3</v>
      </c>
      <c r="Q2" s="253">
        <f>1-(SUMIFS(OA_SQL_1!$G:$G,OA_SQL_1!$A:$A,"DL")/SUMIFS(OA_SQL_1!$E:$E,OA_SQL_1!$A:$A,"DL"))</f>
        <v>0</v>
      </c>
      <c r="R2" s="253">
        <f>1-(SUMIFS(OA_SQL_1!$G:$G,OA_SQL_1!$A:$A,"AA")/SUMIFS(OA_SQL_1!$E:$E,OA_SQL_1!$A:$A,"AA"))</f>
        <v>7.5627563338087622E-4</v>
      </c>
      <c r="S2" s="50"/>
      <c r="T2" s="51">
        <f>RANK(P2,P2:R2,2)</f>
        <v>3</v>
      </c>
    </row>
    <row r="3" spans="1:22" x14ac:dyDescent="0.25">
      <c r="A3" s="44" t="s">
        <v>32</v>
      </c>
      <c r="B3" s="28">
        <f>UA_SQL_1!R2/UA_SQL_1!N2</f>
        <v>53.464285714285715</v>
      </c>
      <c r="C3" s="128">
        <f>SUMIFS(OA_SQL_1!$M:$M,OA_SQL_1!$A:$A,"DL")/SUMIFS(OA_SQL_1!$J:$J,OA_SQL_1!$A:$A,"DL")</f>
        <v>1.3498730671590122</v>
      </c>
      <c r="D3" s="128">
        <f>SUMIFS(OA_SQL_1!$M:$M,OA_SQL_1!$A:$A,"AA")/SUMIFS(OA_SQL_1!$J:$J,OA_SQL_1!$A:$A,"AA")</f>
        <v>1.4114433582518688</v>
      </c>
      <c r="E3" s="50"/>
      <c r="F3" s="51">
        <f>RANK(B3,B3:D3,0)</f>
        <v>1</v>
      </c>
      <c r="H3" s="44" t="s">
        <v>32</v>
      </c>
      <c r="I3" s="28">
        <f>UA_SQL_1!Y2/UA_SQL_1!U2</f>
        <v>0.75415566257573408</v>
      </c>
      <c r="J3" s="50">
        <f>SUMIF(OA_SQL_1!$A$1:$A$3,"DL",OA_SQL_1!$P$1:$P$3)/SUMIF(OA_SQL_1!$A$1:$A$3,"DL",OA_SQL_1!$M$1:$M$3)</f>
        <v>0.83074029748674982</v>
      </c>
      <c r="K3" s="50">
        <f>SUMIF(OA_SQL_1!$A$1:$A$3,"AA",OA_SQL_1!$P$1:$P$3)/SUMIF(OA_SQL_1!$A$1:$A$3,"AA",OA_SQL_1!$M$1:$M$3)</f>
        <v>0.74348136076594007</v>
      </c>
      <c r="L3" s="50"/>
      <c r="M3" s="51">
        <f>RANK(I3,I3:K3,0)</f>
        <v>2</v>
      </c>
      <c r="N3" s="51"/>
      <c r="O3" s="44" t="s">
        <v>32</v>
      </c>
      <c r="P3" s="152">
        <f>UA_SQL_1!$I$2/UA_SQL_1!$E$2</f>
        <v>0.75322549585981124</v>
      </c>
      <c r="Q3" s="50">
        <f>SUMIFS(OA_SQL_1!$H:$H,OA_SQL_1!$A:$A,"DL")/SUMIFS(OA_SQL_1!$E:$E,OA_SQL_1!$A:$A,"DL")</f>
        <v>0.83536316947909028</v>
      </c>
      <c r="R3" s="50">
        <f>SUMIFS(OA_SQL_1!$H:$H,OA_SQL_1!$A:$A,"AA")/SUMIFS(OA_SQL_1!$E:$E,OA_SQL_1!$A:$A,"AA")</f>
        <v>0.74449518601471831</v>
      </c>
      <c r="S3" s="50"/>
      <c r="T3" s="51">
        <f t="shared" ref="T3:T5" si="0">RANK(P3,P3:R3,0)</f>
        <v>2</v>
      </c>
    </row>
    <row r="4" spans="1:22" x14ac:dyDescent="0.25">
      <c r="A4" s="43" t="s">
        <v>48</v>
      </c>
      <c r="B4" s="32">
        <f>UA_SQL_1!Q2/UA_SQL_1!N2</f>
        <v>253.67857142857142</v>
      </c>
      <c r="C4" s="128">
        <f>SUMIFS(OA_SQL_1!$K:$K,OA_SQL_1!$A:$A,"DL")/SUMIFS(OA_SQL_1!$J:$J,OA_SQL_1!$A:$A,"DL")</f>
        <v>1.1778213708746827</v>
      </c>
      <c r="D4" s="128">
        <f>SUMIFS(OA_SQL_1!$K:$K,OA_SQL_1!$A:$A,"AA")/SUMIFS(OA_SQL_1!$J:$J,OA_SQL_1!$A:$A,"AA")</f>
        <v>1.2362708453133986</v>
      </c>
      <c r="E4" s="50"/>
      <c r="F4" s="51">
        <f>RANK(B4,B4:D4,0)</f>
        <v>1</v>
      </c>
      <c r="H4" s="43" t="s">
        <v>48</v>
      </c>
      <c r="I4" s="32">
        <f>UA_SQL_1!X2/UA_SQL_1!U2</f>
        <v>0.8119465589560354</v>
      </c>
      <c r="J4" s="50">
        <f>SUMIF(OA_SQL_1!$A$1:$A$3,"DL",OA_SQL_1!$N$1:$N$3)/SUMIF(OA_SQL_1!$A$1:$A$3,"DL",OA_SQL_1!$M$1:$M$3)</f>
        <v>0.83937425200889038</v>
      </c>
      <c r="K4" s="50">
        <f>SUMIF(OA_SQL_1!$A$1:$A$3,"AA",OA_SQL_1!$N$1:$N$3)/SUMIF(OA_SQL_1!$A$1:$A$3,"AA",OA_SQL_1!$M$1:$M$3)</f>
        <v>0.80683438582195965</v>
      </c>
      <c r="L4" s="50"/>
      <c r="M4" s="51">
        <f>RANK(I4,I4:K4,0)</f>
        <v>2</v>
      </c>
      <c r="N4" s="51"/>
      <c r="O4" s="43" t="s">
        <v>48</v>
      </c>
      <c r="P4" s="152">
        <f>UA_SQL_1!$H$2/UA_SQL_1!$E$2</f>
        <v>0.80801078374735225</v>
      </c>
      <c r="Q4" s="253">
        <f>SUMIFS(OA_SQL_1!$F:$F,OA_SQL_1!$A:$A,"DL")/SUMIFS(OA_SQL_1!$E:$E,OA_SQL_1!$A:$A,"DL")</f>
        <v>0.8445585717779408</v>
      </c>
      <c r="R4" s="253">
        <f>SUMIFS(OA_SQL_1!$F:$F,OA_SQL_1!$A:$A,"AA")/SUMIFS(OA_SQL_1!$E:$E,OA_SQL_1!$A:$A,"AA")</f>
        <v>0.80738241368277142</v>
      </c>
      <c r="S4" s="50"/>
      <c r="T4" s="51">
        <f t="shared" si="0"/>
        <v>2</v>
      </c>
    </row>
    <row r="5" spans="1:22" x14ac:dyDescent="0.25">
      <c r="A5" s="201" t="s">
        <v>152</v>
      </c>
      <c r="B5" s="253">
        <f>(UA_SQL_1!$S$2/UA_SQL_1!$N$2)</f>
        <v>46.357142857142854</v>
      </c>
      <c r="C5" s="128">
        <f>SUMIFS(OA_SQL_1!$N:$N,OA_SQL_1!$A:$A,"DL")/SUMIFS(OA_SQL_1!$J:$J,OA_SQL_1!$A:$A,"DL")</f>
        <v>1.1330486960535426</v>
      </c>
      <c r="D5" s="128">
        <f>SUMIFS(OA_SQL_1!$N:$N,OA_SQL_1!$A:$A,"AA")/SUMIFS(OA_SQL_1!$J:$J,OA_SQL_1!$A:$A,"AA")</f>
        <v>1.1388010350776308</v>
      </c>
      <c r="F5" s="51">
        <f>RANK(B5,B5:D5,0)</f>
        <v>1</v>
      </c>
      <c r="O5" s="201" t="s">
        <v>152</v>
      </c>
      <c r="P5" s="152">
        <f>UA_SQL_1!$J$2/UA_SQL_1!$E$2</f>
        <v>0.15766416329674562</v>
      </c>
      <c r="Q5" s="202">
        <f>SUMIFS(OA_SQL_1!$I:$I,OA_SQL_1!$A:$A,"DL")/SUMIFS(OA_SQL_1!$E:$E,OA_SQL_1!$A:$A,"DL")</f>
        <v>0.49924186842748841</v>
      </c>
      <c r="R5" s="202">
        <f>SUMIFS(OA_SQL_1!$I:$I,OA_SQL_1!$A:$A,"AA")/SUMIFS(OA_SQL_1!$E:$E,OA_SQL_1!$A:$A,"AA")</f>
        <v>0.50091625701736531</v>
      </c>
      <c r="T5" s="51">
        <f t="shared" si="0"/>
        <v>3</v>
      </c>
    </row>
    <row r="6" spans="1:22" ht="15.75" thickBot="1" x14ac:dyDescent="0.3">
      <c r="B6" s="111"/>
      <c r="C6" s="111"/>
      <c r="P6" s="111"/>
      <c r="Q6" s="111"/>
    </row>
    <row r="7" spans="1:22" ht="15.75" thickBot="1" x14ac:dyDescent="0.3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25">
      <c r="A8" s="109" t="s">
        <v>104</v>
      </c>
      <c r="B8" s="77">
        <f>SUMIFS(UA_HUB_SQL_7!$K:$K,UA_HUB_SQL_7!$B:$B,RANK!$A8)/SUMIFS(UA_HUB_SQL_7!$F:$F,UA_HUB_SQL_7!$B:$B,RANK!$A8)</f>
        <v>0.87083333333333335</v>
      </c>
      <c r="C8" s="112"/>
      <c r="D8" s="112"/>
      <c r="E8" s="112"/>
      <c r="F8" s="51"/>
      <c r="H8" s="109" t="s">
        <v>104</v>
      </c>
      <c r="I8" s="77">
        <f>SUMIFS(UA_HUB_SQL_7!P:P,UA_HUB_SQL_7!B:B,RANK!H8)/SUMIFS(UA_HUB_SQL_7!M:M,UA_HUB_SQL_7!B:B,RANK!H8)</f>
        <v>187.8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0.75457020614546866</v>
      </c>
      <c r="Q8" s="112"/>
      <c r="R8" s="112"/>
      <c r="S8" s="112"/>
      <c r="T8" s="51"/>
    </row>
    <row r="9" spans="1:22" x14ac:dyDescent="0.25">
      <c r="A9" s="109" t="s">
        <v>106</v>
      </c>
      <c r="B9" s="77">
        <f>SUMIFS(UA_HUB_SQL_7!$K:$K,UA_HUB_SQL_7!$B:$B,RANK!$A9)/SUMIFS(UA_HUB_SQL_7!$F:$F,UA_HUB_SQL_7!$B:$B,RANK!$A9)</f>
        <v>0.96083916083916088</v>
      </c>
      <c r="C9" s="112" t="e">
        <f>(SUMIFS(OA_SQL_2!$K:$K,OA_SQL_2!$B:$B,"DL",OA_SQL_2!$A:$A,RANK!$A9)/SUMIFS(OA_SQL_2!$J:$J,OA_SQL_2!$B:$B,"DL",OA_SQL_2!$A:$A,RANK!$A9))</f>
        <v>#DIV/0!</v>
      </c>
      <c r="D9" s="112">
        <f>(SUMIFS(OA_SQL_2!$K:$K,OA_SQL_2!$B:$B,"AA",OA_SQL_2!$A:$A,RANK!$A9)/SUMIFS(OA_SQL_2!$J:$J,OA_SQL_2!$B:$B,"AA",OA_SQL_2!$A:$A,RANK!$A9))</f>
        <v>0.71175406871609403</v>
      </c>
      <c r="E9" s="112"/>
      <c r="F9" s="51" t="e">
        <f>RANK(B9,B9:D9,0)</f>
        <v>#DIV/0!</v>
      </c>
      <c r="H9" s="109" t="s">
        <v>106</v>
      </c>
      <c r="I9" s="77" t="e">
        <f>SUMIFS(UA_HUB_SQL_7!P:P,UA_HUB_SQL_7!B:B,RANK!H9)/SUMIFS(UA_HUB_SQL_7!M:M,UA_HUB_SQL_7!B:B,RANK!H9)</f>
        <v>#DIV/0!</v>
      </c>
      <c r="J9" s="112" t="e">
        <f>1-(IFERROR(SUMIFS(OA_SQL_2!O:O,OA_SQL_2!A:A,RANK!H9,OA_SQL_2!B:B,"DL")/SUMIFS(OA_SQL_2!N:N,OA_SQL_2!A:A,RANK!H9,OA_SQL_2!B:B,"DL"),"-"))</f>
        <v>#VALUE!</v>
      </c>
      <c r="K9" s="112">
        <f>1-(IFERROR(SUMIFS(OA_SQL_2!$O:$O,OA_SQL_2!$A:$A,RANK!H9,OA_SQL_2!$B:$B,"AA")/SUMIFS(OA_SQL_2!$N:$N,OA_SQL_2!$A:$A,RANK!H9,OA_SQL_2!$B:$B,"AA"),"-"))</f>
        <v>0.22462133419271668</v>
      </c>
      <c r="L9" s="112"/>
      <c r="M9" s="51" t="e">
        <f>RANK(I9,I9:K9,0)</f>
        <v>#DIV/0!</v>
      </c>
      <c r="N9" s="51"/>
      <c r="O9" s="109" t="s">
        <v>106</v>
      </c>
      <c r="P9" s="77">
        <f>SUMIFS(UA_HUB_SQL_7!$W:$W,UA_HUB_SQL_7!$B:$B,RANK!$O9)/SUMIFS(UA_HUB_SQL_7!$R:$R,UA_HUB_SQL_7!$B:$B,RANK!$O9)</f>
        <v>0.82782437099161321</v>
      </c>
      <c r="Q9" s="112" t="e">
        <f>SUMIFS(OA_SQL_2!$G:$G,OA_SQL_2!$B:$B,"DL",OA_SQL_2!$A:$A,RANK!$O9)/SUMIFS(OA_SQL_2!$F:$F,OA_SQL_2!$B:$B,"DL",OA_SQL_2!$A:$A,RANK!$O9)</f>
        <v>#DIV/0!</v>
      </c>
      <c r="R9" s="112">
        <f>IFERROR((SUMIFS(OA_SQL_2!$K:$K,OA_SQL_2!$A:$A,RANK!O9,OA_SQL_2!$B:$B,"AA")/SUMIFS(OA_SQL_2!$J:$J,OA_SQL_2!$A:$A,O9,OA_SQL_2!$B:$B,"AA")),"-")</f>
        <v>0.71175406871609403</v>
      </c>
      <c r="S9" s="112"/>
      <c r="T9" s="51" t="e">
        <f>RANK(P9,P9:R9,0)</f>
        <v>#DIV/0!</v>
      </c>
    </row>
    <row r="10" spans="1:22" x14ac:dyDescent="0.25">
      <c r="A10" s="110" t="s">
        <v>109</v>
      </c>
      <c r="B10" s="77">
        <f>SUMIFS(UA_HUB_SQL_7!$K:$K,UA_HUB_SQL_7!$B:$B,RANK!$A10)/SUMIFS(UA_HUB_SQL_7!$F:$F,UA_HUB_SQL_7!$B:$B,RANK!$A10)</f>
        <v>0.8897893030794165</v>
      </c>
      <c r="C10" s="112">
        <f>(SUMIFS(OA_SQL_2!$K:$K,OA_SQL_2!$B:$B,"DL",OA_SQL_2!$A:$A,RANK!$A10)/SUMIFS(OA_SQL_2!$J:$J,OA_SQL_2!$B:$B,"DL",OA_SQL_2!$A:$A,RANK!$A10))</f>
        <v>0.6875</v>
      </c>
      <c r="D10" s="112">
        <f>(SUMIFS(OA_SQL_2!$K:$K,OA_SQL_2!$B:$B,"AA",OA_SQL_2!$A:$A,RANK!$A10)/SUMIFS(OA_SQL_2!$J:$J,OA_SQL_2!$B:$B,"AA",OA_SQL_2!$A:$A,RANK!$A10))</f>
        <v>0.71303763440860213</v>
      </c>
      <c r="E10" s="112"/>
      <c r="F10" s="51">
        <f>RANK(B10,B10:D10,0)</f>
        <v>1</v>
      </c>
      <c r="H10" s="110" t="s">
        <v>109</v>
      </c>
      <c r="I10" s="77" t="e">
        <f>SUMIFS(UA_HUB_SQL_7!P:P,UA_HUB_SQL_7!B:B,RANK!H10)/SUMIFS(UA_HUB_SQL_7!M:M,UA_HUB_SQL_7!B:B,RANK!H10)</f>
        <v>#DIV/0!</v>
      </c>
      <c r="J10" s="112">
        <f>1-(IFERROR(SUMIFS(OA_SQL_2!O:O,OA_SQL_2!A:A,RANK!H10,OA_SQL_2!B:B,"DL")/SUMIFS(OA_SQL_2!N:N,OA_SQL_2!A:A,RANK!H10,OA_SQL_2!B:B,"DL"),"-"))</f>
        <v>6.25E-2</v>
      </c>
      <c r="K10" s="112">
        <f>1-(IFERROR(SUMIFS(OA_SQL_2!$O:$O,OA_SQL_2!$A:$A,RANK!H10,OA_SQL_2!$B:$B,"AA")/SUMIFS(OA_SQL_2!$N:$N,OA_SQL_2!$A:$A,RANK!H10,OA_SQL_2!$B:$B,"AA"),"-"))</f>
        <v>0.23036030714707623</v>
      </c>
      <c r="L10" s="112"/>
      <c r="M10" s="51" t="e">
        <f>RANK(I10,I10:K10,0)</f>
        <v>#DIV/0!</v>
      </c>
      <c r="N10" s="51"/>
      <c r="O10" s="110" t="s">
        <v>109</v>
      </c>
      <c r="P10" s="77">
        <f>SUMIFS(UA_HUB_SQL_7!$W:$W,UA_HUB_SQL_7!$B:$B,RANK!$O10)/SUMIFS(UA_HUB_SQL_7!$R:$R,UA_HUB_SQL_7!$B:$B,RANK!$O10)</f>
        <v>0.78601823708206686</v>
      </c>
      <c r="Q10" s="112">
        <f>SUMIFS(OA_SQL_2!$G:$G,OA_SQL_2!$B:$B,"DL",OA_SQL_2!$A:$A,RANK!$O10)/SUMIFS(OA_SQL_2!$F:$F,OA_SQL_2!$B:$B,"DL",OA_SQL_2!$A:$A,RANK!$O10)</f>
        <v>0.778856526429342</v>
      </c>
      <c r="R10" s="112">
        <f>IFERROR((SUMIFS(OA_SQL_2!$K:$K,OA_SQL_2!$A:$A,RANK!O10,OA_SQL_2!$B:$B,"AA")/SUMIFS(OA_SQL_2!$J:$J,OA_SQL_2!$A:$A,O10,OA_SQL_2!$B:$B,"AA")),"-")</f>
        <v>0.71303763440860213</v>
      </c>
      <c r="S10" s="112"/>
      <c r="T10" s="51">
        <f>RANK(P10,P10:R10,0)</f>
        <v>1</v>
      </c>
    </row>
    <row r="11" spans="1:22" x14ac:dyDescent="0.25">
      <c r="A11" s="110" t="s">
        <v>108</v>
      </c>
      <c r="B11" s="77">
        <f>SUMIFS(UA_HUB_SQL_7!$K:$K,UA_HUB_SQL_7!$B:$B,RANK!$A11)/SUMIFS(UA_HUB_SQL_7!$F:$F,UA_HUB_SQL_7!$B:$B,RANK!$A11)</f>
        <v>0.79786200194363455</v>
      </c>
      <c r="C11" s="112" t="str">
        <f>IFERROR(SUMIFS(OA_SQL_2!$G:$G,OA_SQL_2!$B:$B,"DL",OA_SQL_2!$A:$A,'Pg2'!$T9)/SUMIFS(OA_SQL_2!$F:$F,OA_SQL_2!$B:$B,"DL",OA_SQL_2!$A:$A,'Pg2'!$T9),"-")</f>
        <v>-</v>
      </c>
      <c r="D11" s="112">
        <f>(SUMIFS(OA_SQL_2!$K:$K,OA_SQL_2!$B:$B,"AA",OA_SQL_2!$A:$A,RANK!$A11)/SUMIFS(OA_SQL_2!$J:$J,OA_SQL_2!$B:$B,"AA",OA_SQL_2!$A:$A,RANK!$A11))</f>
        <v>0.77649422400803614</v>
      </c>
      <c r="E11" s="112"/>
      <c r="F11" s="51">
        <f>RANK(B11,B11:D11,0)</f>
        <v>1</v>
      </c>
      <c r="H11" s="110" t="s">
        <v>108</v>
      </c>
      <c r="I11" s="77" t="e">
        <f>SUMIFS(UA_HUB_SQL_7!P:P,UA_HUB_SQL_7!B:B,RANK!H11)/SUMIFS(UA_HUB_SQL_7!M:M,UA_HUB_SQL_7!B:B,RANK!H11)</f>
        <v>#DIV/0!</v>
      </c>
      <c r="J11" s="112"/>
      <c r="K11" s="112">
        <f>1-(IFERROR(SUMIFS(OA_SQL_2!$O:$O,OA_SQL_2!$A:$A,RANK!H11,OA_SQL_2!$B:$B,"AA")/SUMIFS(OA_SQL_2!$N:$N,OA_SQL_2!$A:$A,RANK!H11,OA_SQL_2!$B:$B,"AA"),"-"))</f>
        <v>0.14539653600729263</v>
      </c>
      <c r="L11" s="112"/>
      <c r="M11" s="51" t="e">
        <f>RANK(I11,I11:K11,0)</f>
        <v>#DIV/0!</v>
      </c>
      <c r="N11" s="51"/>
      <c r="O11" s="110" t="s">
        <v>108</v>
      </c>
      <c r="P11" s="77">
        <f>SUMIFS(UA_HUB_SQL_7!$W:$W,UA_HUB_SQL_7!$B:$B,RANK!$O11)/SUMIFS(UA_HUB_SQL_7!$R:$R,UA_HUB_SQL_7!$B:$B,RANK!$O11)</f>
        <v>0.7074410163339383</v>
      </c>
      <c r="Q11" s="112"/>
      <c r="R11" s="112">
        <f>IFERROR((SUMIFS(OA_SQL_2!$K:$K,OA_SQL_2!$A:$A,RANK!O11,OA_SQL_2!$B:$B,"AA")/SUMIFS(OA_SQL_2!$J:$J,OA_SQL_2!$A:$A,O11,OA_SQL_2!$B:$B,"AA")),"-")</f>
        <v>0.77649422400803614</v>
      </c>
      <c r="S11" s="112"/>
      <c r="T11" s="51">
        <f>RANK(P11,P11:R11,0)</f>
        <v>2</v>
      </c>
    </row>
    <row r="12" spans="1:22" x14ac:dyDescent="0.25">
      <c r="A12" s="109" t="s">
        <v>105</v>
      </c>
      <c r="B12" s="77">
        <f>SUMIFS(UA_HUB_SQL_7!$K:$K,UA_HUB_SQL_7!$B:$B,RANK!$A12)/SUMIFS(UA_HUB_SQL_7!$F:$F,UA_HUB_SQL_7!$B:$B,RANK!$A12)</f>
        <v>0.98</v>
      </c>
      <c r="C12" s="112">
        <f>(SUMIFS(OA_SQL_2!$K:$K,OA_SQL_2!$B:$B,"DL",OA_SQL_2!$A:$A,RANK!$A12)/SUMIFS(OA_SQL_2!$J:$J,OA_SQL_2!$B:$B,"DL",OA_SQL_2!$A:$A,RANK!$A12))</f>
        <v>0.73333333333333328</v>
      </c>
      <c r="D12" s="112">
        <f>(SUMIFS(OA_SQL_2!$K:$K,OA_SQL_2!$B:$B,"AA",OA_SQL_2!$A:$A,RANK!$A12)/SUMIFS(OA_SQL_2!$J:$J,OA_SQL_2!$B:$B,"AA",OA_SQL_2!$A:$A,RANK!$A12))</f>
        <v>0.87323943661971826</v>
      </c>
      <c r="E12" s="112"/>
      <c r="F12" s="51">
        <f>RANK(B12,B12:D12,0)</f>
        <v>1</v>
      </c>
      <c r="H12" s="109" t="s">
        <v>105</v>
      </c>
      <c r="I12" s="77" t="e">
        <f>SUMIFS(UA_HUB_SQL_7!P:P,UA_HUB_SQL_7!B:B,RANK!H12)/SUMIFS(UA_HUB_SQL_7!M:M,UA_HUB_SQL_7!B:B,RANK!H12)</f>
        <v>#DIV/0!</v>
      </c>
      <c r="J12" s="112">
        <f>1-(IFERROR(SUMIFS(OA_SQL_2!O:O,OA_SQL_2!A:A,RANK!H12,OA_SQL_2!B:B,"DL")/SUMIFS(OA_SQL_2!N:N,OA_SQL_2!A:A,RANK!H12,OA_SQL_2!B:B,"DL"),"-"))</f>
        <v>0.29629629629629628</v>
      </c>
      <c r="K12" s="112">
        <f>IFERROR(SUMIFS(OA_SQL_2!$O:$O,OA_SQL_2!$A:$A,RANK!H12,OA_SQL_2!$B:$B,"AA")/SUMIFS(OA_SQL_2!$N:$N,OA_SQL_2!$A:$A,RANK!H12,OA_SQL_2!$B:$B,"AA"),"-")</f>
        <v>0.87480438184663534</v>
      </c>
      <c r="L12" s="112"/>
      <c r="M12" s="51" t="e">
        <f>RANK(I12,I12:K12,0)</f>
        <v>#DIV/0!</v>
      </c>
      <c r="N12" s="51"/>
      <c r="O12" s="109" t="s">
        <v>105</v>
      </c>
      <c r="P12" s="77">
        <f>SUMIFS(UA_HUB_SQL_7!$W:$W,UA_HUB_SQL_7!$B:$B,RANK!$O12)/SUMIFS(UA_HUB_SQL_7!$R:$R,UA_HUB_SQL_7!$B:$B,RANK!$O12)</f>
        <v>0.86956521739130432</v>
      </c>
      <c r="Q12" s="112">
        <f>SUMIFS(OA_SQL_2!$G:$G,OA_SQL_2!$B:$B,"DL",OA_SQL_2!$A:$A,RANK!$O12)/SUMIFS(OA_SQL_2!$F:$F,OA_SQL_2!$B:$B,"DL",OA_SQL_2!$A:$A,RANK!$O12)</f>
        <v>0.73394495412844041</v>
      </c>
      <c r="R12" s="112">
        <f>IFERROR((SUMIFS(OA_SQL_2!$K:$K,OA_SQL_2!$A:$A,RANK!O12,OA_SQL_2!$B:$B,"AA")/SUMIFS(OA_SQL_2!$J:$J,OA_SQL_2!$A:$A,O12,OA_SQL_2!$B:$B,"AA")),"-")</f>
        <v>0.87323943661971826</v>
      </c>
      <c r="S12" s="112"/>
      <c r="T12" s="51">
        <f>RANK(P12,P12:R12,0)</f>
        <v>2</v>
      </c>
    </row>
    <row r="13" spans="1:22" x14ac:dyDescent="0.25">
      <c r="A13" s="110" t="s">
        <v>103</v>
      </c>
      <c r="B13" s="77">
        <f>SUMIFS(UA_HUB_SQL_7!$K:$K,UA_HUB_SQL_7!$B:$B,RANK!$A13)/SUMIFS(UA_HUB_SQL_7!$F:$F,UA_HUB_SQL_7!$B:$B,RANK!$A13)</f>
        <v>0.93080568720379142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0.60504201680672265</v>
      </c>
      <c r="E13" s="112"/>
      <c r="F13" s="51">
        <f>RANK(B13,B13:D13,0)</f>
        <v>1</v>
      </c>
      <c r="H13" s="110" t="s">
        <v>103</v>
      </c>
      <c r="I13" s="77">
        <f>SUMIFS(UA_HUB_SQL_7!P:P,UA_HUB_SQL_7!B:B,RANK!H13)/SUMIFS(UA_HUB_SQL_7!M:M,UA_HUB_SQL_7!B:B,RANK!H13)</f>
        <v>1078</v>
      </c>
      <c r="J13" s="112"/>
      <c r="K13" s="112">
        <f>IFERROR(SUMIFS(OA_SQL_2!$O:$O,OA_SQL_2!$A:$A,RANK!H13,OA_SQL_2!$B:$B,"AA")/SUMIFS(OA_SQL_2!$N:$N,OA_SQL_2!$A:$A,RANK!H13,OA_SQL_2!$B:$B,"AA"),"-")</f>
        <v>0.76631259484066772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0.81039426523297486</v>
      </c>
      <c r="Q13" s="112"/>
      <c r="R13" s="112">
        <f>IFERROR((SUMIFS(OA_SQL_2!$K:$K,OA_SQL_2!$A:$A,RANK!O13,OA_SQL_2!$B:$B,"AA")/SUMIFS(OA_SQL_2!$J:$J,OA_SQL_2!$A:$A,O13,OA_SQL_2!$B:$B,"AA")),"-")</f>
        <v>0.60504201680672265</v>
      </c>
      <c r="S13" s="112"/>
      <c r="T13" s="51">
        <f>RANK(P13,P13:R13,0)</f>
        <v>1</v>
      </c>
    </row>
    <row r="14" spans="1:22" x14ac:dyDescent="0.25">
      <c r="A14" s="109" t="s">
        <v>107</v>
      </c>
      <c r="B14" s="77">
        <f>SUMIFS(UA_HUB_SQL_7!$K:$K,UA_HUB_SQL_7!$B:$B,RANK!$A14)/SUMIFS(UA_HUB_SQL_7!$F:$F,UA_HUB_SQL_7!$B:$B,RANK!$A14)</f>
        <v>0.90489913544668588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0.7866242038216561</v>
      </c>
      <c r="F14" s="51">
        <f>RANK(B14,B14:E14,0)</f>
        <v>1</v>
      </c>
      <c r="H14" s="109" t="s">
        <v>107</v>
      </c>
      <c r="I14" s="77" t="e">
        <f>SUMIFS(UA_HUB_SQL_7!P:P,UA_HUB_SQL_7!B:B,RANK!H14)/SUMIFS(UA_HUB_SQL_7!M:M,UA_HUB_SQL_7!B:B,RANK!H14)</f>
        <v>#DIV/0!</v>
      </c>
      <c r="J14" s="112"/>
      <c r="K14" s="112"/>
      <c r="L14" s="112">
        <f>SUMIFS(OA_SQL_2!O:O,OA_SQL_2!A:A,RANK!H14,OA_SQL_2!B:B,RANK!L7)/SUMIFS(OA_SQL_2!N:N,OA_SQL_2!A:A,RANK!H14,OA_SQL_2!B:B,RANK!L7)</f>
        <v>0.79564032697547682</v>
      </c>
      <c r="M14" s="51" t="e">
        <f>RANK(I14,I14:L14,0)</f>
        <v>#DIV/0!</v>
      </c>
      <c r="N14" s="51"/>
      <c r="O14" s="109" t="s">
        <v>107</v>
      </c>
      <c r="P14" s="77">
        <f>SUMIFS(UA_HUB_SQL_7!$W:$W,UA_HUB_SQL_7!$B:$B,RANK!$O14)/SUMIFS(UA_HUB_SQL_7!$R:$R,UA_HUB_SQL_7!$B:$B,RANK!$O14)</f>
        <v>0.79028697571743933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25">
      <c r="A15" s="109" t="s">
        <v>97</v>
      </c>
      <c r="B15" s="77">
        <f>SUMIFS(UA_HUB_SQL_7!$K:$K,UA_HUB_SQL_7!$B:$B,RANK!$A15)/SUMIFS(UA_HUB_SQL_7!$F:$F,UA_HUB_SQL_7!$B:$B,RANK!$A15)</f>
        <v>0.94184100418410044</v>
      </c>
      <c r="C15" s="112">
        <f>(SUMIFS(OA_SQL_2!$K:$K,OA_SQL_2!$B:$B,"DL",OA_SQL_2!$A:$A,RANK!$A15)/SUMIFS(OA_SQL_2!$J:$J,OA_SQL_2!$B:$B,"DL",OA_SQL_2!$A:$A,RANK!$A15))</f>
        <v>0.79323308270676696</v>
      </c>
      <c r="D15" s="112">
        <f>(SUMIFS(OA_SQL_2!$K:$K,OA_SQL_2!$B:$B,"AA",OA_SQL_2!$A:$A,RANK!$A15)/SUMIFS(OA_SQL_2!$J:$J,OA_SQL_2!$B:$B,"AA",OA_SQL_2!$A:$A,RANK!$A15))</f>
        <v>0.74880600409370024</v>
      </c>
      <c r="E15" s="112">
        <f>SUMIFS(OA_SQL_2!$K:$K,OA_SQL_2!$B:$B,"AS",OA_SQL_2!$A:$A,RANK!$A15)/SUMIFS(OA_SQL_2!$J:$J,OA_SQL_2!$B:$B,"AS",OA_SQL_2!$A:$A,RANK!$A15)</f>
        <v>0.70531400966183577</v>
      </c>
      <c r="F15" s="51">
        <f>RANK(B15,B15:E15,0)</f>
        <v>1</v>
      </c>
      <c r="H15" s="109" t="s">
        <v>97</v>
      </c>
      <c r="I15" s="77">
        <f>SUMIFS(UA_HUB_SQL_7!P:P,UA_HUB_SQL_7!B:B,RANK!H15)/SUMIFS(UA_HUB_SQL_7!M:M,UA_HUB_SQL_7!B:B,RANK!H15)</f>
        <v>586.22222222222217</v>
      </c>
      <c r="J15" s="112">
        <f>IFERROR(SUMIFS(OA_SQL_2!O:O,OA_SQL_2!A:A,RANK!H15,OA_SQL_2!B:B,"DL")/SUMIFS(OA_SQL_2!N:N,OA_SQL_2!A:A,RANK!H15,OA_SQL_2!B:B,"DL"),"-")</f>
        <v>0.77564102564102566</v>
      </c>
      <c r="K15" s="112">
        <f>IFERROR(SUMIFS(OA_SQL_2!$O:$O,OA_SQL_2!$A:$A,RANK!H15,OA_SQL_2!$B:$B,"AA")/SUMIFS(OA_SQL_2!$N:$N,OA_SQL_2!$A:$A,RANK!H15,OA_SQL_2!$B:$B,"AA"),"-")</f>
        <v>0.79866112181762861</v>
      </c>
      <c r="L15" s="112">
        <f>IFERROR(SUMIFS(OA_SQL_2!O:O,OA_SQL_2!A:A,RANK!H15,OA_SQL_2!B:B,RANK!L7)/SUMIFS(OA_SQL_2!N:N,OA_SQL_2!A:A,RANK!H15,OA_SQL_2!B:B,RANK!L7),"-")</f>
        <v>0.8571428571428571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0.81271892270569002</v>
      </c>
      <c r="Q15" s="112">
        <f>SUMIFS(OA_SQL_2!$G:$G,OA_SQL_2!$B:$B,"DL",OA_SQL_2!$A:$A,RANK!$O15)/SUMIFS(OA_SQL_2!$F:$F,OA_SQL_2!$B:$B,"DL",OA_SQL_2!$A:$A,RANK!$O15)</f>
        <v>0.75041420902644307</v>
      </c>
      <c r="R15" s="112">
        <f>IFERROR((SUMIFS(OA_SQL_2!$K:$K,OA_SQL_2!$A:$A,RANK!O15,OA_SQL_2!$B:$B,"AA")/SUMIFS(OA_SQL_2!$J:$J,OA_SQL_2!$A:$A,O15,OA_SQL_2!$B:$B,"AA")),"-")</f>
        <v>0.74880600409370024</v>
      </c>
      <c r="S15" s="112" t="str">
        <f ca="1">IFERROR(SUMIFS(OA_SQL_2!X:X,OA_SQL_2!N:N,RANK!O15,OA_SQL_2!O:O,RANK!S7)/SUMIFS(OA_SQL_2!W:W,OA_SQL_2!N:N,RANK!O15,OA_SQL_2!O:O,RANK!S7),"-")</f>
        <v>-</v>
      </c>
      <c r="T15" s="51">
        <f ca="1">RANK(P15,P15:S15,0)</f>
        <v>1</v>
      </c>
    </row>
    <row r="16" spans="1:22" x14ac:dyDescent="0.25">
      <c r="A16" s="208" t="s">
        <v>167</v>
      </c>
      <c r="B16" s="161">
        <f>SUMIFS(UA_Line!$J:$J,UA_Line!$B:$B,"Line Int")/SUMIFS(UA_Line!$F:$F,UA_Line!$B:$B,"Line Int")</f>
        <v>0.80902777777777779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2</v>
      </c>
      <c r="I16" s="77"/>
      <c r="Q16" s="253"/>
      <c r="R16" s="253"/>
    </row>
    <row r="17" spans="1:22" ht="15.75" thickBot="1" x14ac:dyDescent="0.3">
      <c r="A17" s="208" t="s">
        <v>426</v>
      </c>
      <c r="B17" s="161">
        <f>SUMIFS(UA_Line!$J:$J,UA_Line!$B:$B,"Line Dom")/SUMIFS(UA_Line!$F:$F,UA_Line!$B:$B,"Line Dom")</f>
        <v>0.81945681211041854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1</v>
      </c>
      <c r="I17" s="203"/>
    </row>
    <row r="18" spans="1:22" ht="15.75" thickBot="1" x14ac:dyDescent="0.3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25">
      <c r="A19" s="109" t="s">
        <v>104</v>
      </c>
      <c r="B19" s="161">
        <f>SUMIFS(UA_HUB_SQL_7!$G:$G,UA_HUB_SQL_7!$B:$B,'Pg2'!$T6)/SUMIFS(UA_HUB_SQL_7!$F:$F,UA_HUB_SQL_7!$B:$B,'Pg2'!$T6)</f>
        <v>1.1458333333333333E-2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3.885003885003885E-3</v>
      </c>
      <c r="J19" s="112" t="str">
        <f>IFERROR(SUMIFS(OA_SQL_2!$P:$P,OA_SQL_2!$A:$A,RANK!$H$19,OA_SQL_2!$B:$B,"DL")/SUMIFS(OA_SQL_2!$N:$N,OA_SQL_2!$A:$A,RANK!$H$19,OA_SQL_2!$B:$B,"DL"),"-")</f>
        <v>-</v>
      </c>
      <c r="K19" s="112"/>
      <c r="L19" s="112"/>
      <c r="M19" s="51">
        <f t="shared" ref="M19:M24" si="1">RANK(I19,I19:K19,0)</f>
        <v>1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25">
      <c r="A20" s="109" t="s">
        <v>106</v>
      </c>
      <c r="B20" s="161">
        <f>SUMIFS(UA_HUB_SQL_7!$G:$G,UA_HUB_SQL_7!$B:$B,'Pg2'!$T7)/SUMIFS(UA_HUB_SQL_7!$F:$F,UA_HUB_SQL_7!$B:$B,'Pg2'!$T7)</f>
        <v>0</v>
      </c>
      <c r="C20" s="112" t="e">
        <f>1-(SUMIFS(OA_SQL_2!$L:$L,OA_SQL_2!$B:$B,"DL",OA_SQL_2!$A:$A,'Pg2'!$T7)/SUMIFS(OA_SQL_2!$J:$J,OA_SQL_2!$B:$B,"DL",OA_SQL_2!$A:$A,'Pg2'!$T7))</f>
        <v>#DIV/0!</v>
      </c>
      <c r="D20" s="112">
        <f>1-(SUMIFS(OA_SQL_2!$L:$L,OA_SQL_2!$B:$B,"AA",OA_SQL_2!$A:$A,'Pg2'!$T7)/SUMIFS(OA_SQL_2!$J:$J,OA_SQL_2!$B:$B,"AA",OA_SQL_2!$A:$A,'Pg2'!$T7))</f>
        <v>1.482820976491861E-2</v>
      </c>
      <c r="E20" s="112"/>
      <c r="F20" s="51" t="e">
        <f>RANK(B20,B20:D20,1)</f>
        <v>#DIV/0!</v>
      </c>
      <c r="H20" s="109" t="s">
        <v>106</v>
      </c>
      <c r="I20" s="77">
        <f>SUMIFS(UA_HUB_SQL_7!M:M,UA_HUB_SQL_7!B:B,RANK!H20)/SUMIFS(UA_HUB_SQL_7!L:L,UA_HUB_SQL_7!B:B,RANK!H20)</f>
        <v>0</v>
      </c>
      <c r="J20" s="112" t="str">
        <f>IFERROR(SUMIFS(OA_SQL_2!P:P,OA_SQL_2!A:A,RANK!H20,OA_SQL_2!B:B,"DL")/SUMIFS(OA_SQL_2!N:N,OA_SQL_2!A:A,RANK!H20,OA_SQL_2!B:B,"DL"),"-")</f>
        <v>-</v>
      </c>
      <c r="K20" s="112">
        <f>IFERROR(SUMIFS(OA_SQL_2!P:P,OA_SQL_2!A:A,RANK!H20,OA_SQL_2!B:B,"AA")/SUMIFS(OA_SQL_2!N:N,OA_SQL_2!A:A,RANK!H20,OA_SQL_2!B:B,"AA"),"-")</f>
        <v>0.98839832420238483</v>
      </c>
      <c r="L20" s="112"/>
      <c r="M20" s="51">
        <f t="shared" si="1"/>
        <v>2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25">
      <c r="A21" s="110" t="s">
        <v>109</v>
      </c>
      <c r="B21" s="161">
        <f>SUMIFS(UA_HUB_SQL_7!$G:$G,UA_HUB_SQL_7!$B:$B,'Pg2'!$T8)/SUMIFS(UA_HUB_SQL_7!$F:$F,UA_HUB_SQL_7!$B:$B,'Pg2'!$T8)</f>
        <v>0</v>
      </c>
      <c r="C21" s="112">
        <f>1-(SUMIFS(OA_SQL_2!$L:$L,OA_SQL_2!$B:$B,"DL",OA_SQL_2!$A:$A,'Pg2'!$T8)/SUMIFS(OA_SQL_2!$J:$J,OA_SQL_2!$B:$B,"DL",OA_SQL_2!$A:$A,'Pg2'!$T8))</f>
        <v>0</v>
      </c>
      <c r="D21" s="112">
        <f>1-(SUMIFS(OA_SQL_2!$L:$L,OA_SQL_2!$B:$B,"AA",OA_SQL_2!$A:$A,'Pg2'!$T8)/SUMIFS(OA_SQL_2!$J:$J,OA_SQL_2!$B:$B,"AA",OA_SQL_2!$A:$A,'Pg2'!$T8))</f>
        <v>1.6129032258064502E-2</v>
      </c>
      <c r="E21" s="112"/>
      <c r="F21" s="51">
        <f t="shared" ref="F21:F24" si="2">RANK(B21,B21:D21,1)</f>
        <v>1</v>
      </c>
      <c r="H21" s="110" t="s">
        <v>109</v>
      </c>
      <c r="I21" s="77">
        <f>SUMIFS(UA_HUB_SQL_7!M:M,UA_HUB_SQL_7!B:B,RANK!H21)/SUMIFS(UA_HUB_SQL_7!L:L,UA_HUB_SQL_7!B:B,RANK!H21)</f>
        <v>0</v>
      </c>
      <c r="J21" s="112">
        <f>IFERROR(SUMIFS(OA_SQL_2!P:P,OA_SQL_2!A:A,RANK!H21,OA_SQL_2!B:B,"DL")/SUMIFS(OA_SQL_2!N:N,OA_SQL_2!A:A,RANK!H21,OA_SQL_2!B:B,"DL"),"-")</f>
        <v>1</v>
      </c>
      <c r="K21" s="112">
        <f>IFERROR(SUMIFS(OA_SQL_2!P:P,OA_SQL_2!A:A,RANK!H21,OA_SQL_2!B:B,"AA")/SUMIFS(OA_SQL_2!N:N,OA_SQL_2!A:A,RANK!H21,OA_SQL_2!B:B,"AA"),"-")</f>
        <v>0.99232132309509746</v>
      </c>
      <c r="L21" s="112"/>
      <c r="M21" s="51">
        <f t="shared" si="1"/>
        <v>3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0.97639377197388244</v>
      </c>
      <c r="S21" s="112"/>
      <c r="T21" s="51" t="e">
        <f>RANK(P21,P21:R21,0)</f>
        <v>#DIV/0!</v>
      </c>
    </row>
    <row r="22" spans="1:22" x14ac:dyDescent="0.25">
      <c r="A22" s="110" t="s">
        <v>108</v>
      </c>
      <c r="B22" s="161">
        <f>SUMIFS(UA_HUB_SQL_7!$G:$G,UA_HUB_SQL_7!$B:$B,'Pg2'!$T9)/SUMIFS(UA_HUB_SQL_7!$F:$F,UA_HUB_SQL_7!$B:$B,'Pg2'!$T9)</f>
        <v>9.7181729834791054E-4</v>
      </c>
      <c r="C22" s="112" t="s">
        <v>40</v>
      </c>
      <c r="D22" s="112">
        <f>1-(SUMIFS(OA_SQL_2!$L:$L,OA_SQL_2!$B:$B,"AA",OA_SQL_2!$A:$A,'Pg2'!$T9)/SUMIFS(OA_SQL_2!$J:$J,OA_SQL_2!$B:$B,"AA",OA_SQL_2!$A:$A,'Pg2'!$T9))</f>
        <v>2.3606228026117559E-2</v>
      </c>
      <c r="E22" s="112"/>
      <c r="F22" s="51">
        <f t="shared" si="2"/>
        <v>1</v>
      </c>
      <c r="H22" s="110" t="s">
        <v>108</v>
      </c>
      <c r="I22" s="77">
        <f>SUMIFS(UA_HUB_SQL_7!M:M,UA_HUB_SQL_7!B:B,RANK!H22)/SUMIFS(UA_HUB_SQL_7!L:L,UA_HUB_SQL_7!B:B,RANK!H22)</f>
        <v>0</v>
      </c>
      <c r="J22" s="112"/>
      <c r="K22" s="112">
        <f>IFERROR(SUMIFS(OA_SQL_2!P:P,OA_SQL_2!A:A,RANK!H22,OA_SQL_2!B:B,"AA")/SUMIFS(OA_SQL_2!N:N,OA_SQL_2!A:A,RANK!H22,OA_SQL_2!B:B,"AA"),"-")</f>
        <v>0.99863263445761163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25">
      <c r="A23" s="109" t="s">
        <v>105</v>
      </c>
      <c r="B23" s="161">
        <f>SUMIFS(UA_HUB_SQL_7!$G:$G,UA_HUB_SQL_7!$B:$B,'Pg2'!$T10)/SUMIFS(UA_HUB_SQL_7!$F:$F,UA_HUB_SQL_7!$B:$B,'Pg2'!$T10)</f>
        <v>0</v>
      </c>
      <c r="C23" s="112">
        <f>1-(SUMIFS(OA_SQL_2!$L:$L,OA_SQL_2!$B:$B,"DL",OA_SQL_2!$A:$A,'Pg2'!$T10)/SUMIFS(OA_SQL_2!$J:$J,OA_SQL_2!$B:$B,"DL",OA_SQL_2!$A:$A,'Pg2'!$T10))</f>
        <v>0</v>
      </c>
      <c r="D23" s="112">
        <f>1-(SUMIFS(OA_SQL_2!$L:$L,OA_SQL_2!$B:$B,"AA",OA_SQL_2!$A:$A,'Pg2'!$T10)/SUMIFS(OA_SQL_2!$J:$J,OA_SQL_2!$B:$B,"AA",OA_SQL_2!$A:$A,'Pg2'!$T10))</f>
        <v>1.7605633802817433E-3</v>
      </c>
      <c r="E23" s="112"/>
      <c r="F23" s="51">
        <f t="shared" si="2"/>
        <v>1</v>
      </c>
      <c r="H23" s="109" t="s">
        <v>105</v>
      </c>
      <c r="I23" s="77">
        <f>SUMIFS(UA_HUB_SQL_7!M:M,UA_HUB_SQL_7!B:B,RANK!H23)/SUMIFS(UA_HUB_SQL_7!L:L,UA_HUB_SQL_7!B:B,RANK!H23)</f>
        <v>0</v>
      </c>
      <c r="J23" s="112">
        <f>IFERROR(SUMIFS(OA_SQL_2!P:P,OA_SQL_2!A:A,RANK!H23,OA_SQL_2!B:B,"DL")/SUMIFS(OA_SQL_2!N:N,OA_SQL_2!A:A,RANK!H23,OA_SQL_2!B:B,"DL"),"-")</f>
        <v>1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3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0.98907563025210088</v>
      </c>
      <c r="S23" s="112"/>
      <c r="T23" s="51" t="e">
        <f>RANK(P23,P23:R23,0)</f>
        <v>#DIV/0!</v>
      </c>
    </row>
    <row r="24" spans="1:22" x14ac:dyDescent="0.25">
      <c r="A24" s="110" t="s">
        <v>103</v>
      </c>
      <c r="B24" s="161">
        <f>SUMIFS(UA_HUB_SQL_7!$G:$G,UA_HUB_SQL_7!$B:$B,'Pg2'!$T11)/SUMIFS(UA_HUB_SQL_7!$F:$F,UA_HUB_SQL_7!$B:$B,'Pg2'!$T11)</f>
        <v>0</v>
      </c>
      <c r="C24" s="112"/>
      <c r="D24" s="112">
        <f>1-(SUMIFS(OA_SQL_2!$L:$L,OA_SQL_2!$B:$B,"AA",OA_SQL_2!$A:$A,'Pg2'!$T11)/SUMIFS(OA_SQL_2!$J:$J,OA_SQL_2!$B:$B,"AA",OA_SQL_2!$A:$A,'Pg2'!$T11))</f>
        <v>1.0924369747899121E-2</v>
      </c>
      <c r="E24" s="112"/>
      <c r="F24" s="51">
        <f t="shared" si="2"/>
        <v>1</v>
      </c>
      <c r="H24" s="110" t="s">
        <v>103</v>
      </c>
      <c r="I24" s="77">
        <f>SUMIFS(UA_HUB_SQL_7!M:M,UA_HUB_SQL_7!B:B,RANK!H24)/SUMIFS(UA_HUB_SQL_7!L:L,UA_HUB_SQL_7!B:B,RANK!H24)</f>
        <v>7.1787508973438624E-4</v>
      </c>
      <c r="J24" s="112"/>
      <c r="K24" s="112">
        <f>IFERROR(SUMIFS(OA_SQL_2!P:P,OA_SQL_2!A:A,RANK!H24,OA_SQL_2!B:B,"AA")/SUMIFS(OA_SQL_2!N:N,OA_SQL_2!A:A,RANK!H24,OA_SQL_2!B:B,"AA"),"-")</f>
        <v>0.99772382397572079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25">
      <c r="A25" s="109" t="s">
        <v>107</v>
      </c>
      <c r="B25" s="161">
        <f>SUMIFS(UA_HUB_SQL_7!$G:$G,UA_HUB_SQL_7!$B:$B,'Pg2'!$T12)/SUMIFS(UA_HUB_SQL_7!$F:$F,UA_HUB_SQL_7!$B:$B,'Pg2'!$T12)</f>
        <v>0</v>
      </c>
      <c r="C25" s="112"/>
      <c r="D25" s="112"/>
      <c r="E25" s="112">
        <f>1-(SUMIFS(OA_SQL_2!$L:$L,OA_SQL_2!$B:$B,"AS",OA_SQL_2!$A:$A,'Pg2'!$T12)/SUMIFS(OA_SQL_2!$J:$J,OA_SQL_2!$B:$B,"AS",OA_SQL_2!$A:$A,'Pg2'!$T12))</f>
        <v>0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0</v>
      </c>
      <c r="J25" s="112"/>
      <c r="K25" s="112"/>
      <c r="L25" s="112">
        <f>IFERROR(SUMIFS(OA_SQL_2!P:P,OA_SQL_2!A:A,RANK!H25,OA_SQL_2!B:B,RANK!L18)/SUMIFS(OA_SQL_2!N:N,OA_SQL_2!A:A,RANK!H25,OA_SQL_2!B:B,RANK!L18),"-")</f>
        <v>0.99455040871934608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>
        <f>IFERROR(SUMIFS(OA_SQL_2!$L:$L,OA_SQL_2!$A:$A,O25,OA_SQL_2!$B:$B,"DL")/SUMIFS(OA_SQL_2!$J:$J,OA_SQL_2!$A:$A,O25,OA_SQL_2!$B:$B,"DL"),"-")</f>
        <v>1</v>
      </c>
      <c r="R25" s="112">
        <f>IFERROR(SUMIFS(OA_SQL_2!$L:$L,OA_SQL_2!$A:$A,O25,OA_SQL_2!$B:$B,"AA")/SUMIFS(OA_SQL_2!$J:$J,OA_SQL_2!$A:$A,O25,OA_SQL_2!$B:$B,"AA"),"-")</f>
        <v>0.98919717989538325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25">
      <c r="A26" s="109" t="s">
        <v>97</v>
      </c>
      <c r="B26" s="161">
        <f>SUMIFS(UA_HUB_SQL_7!$G:$G,UA_HUB_SQL_7!$B:$B,'Pg2'!$T13)/SUMIFS(UA_HUB_SQL_7!$F:$F,UA_HUB_SQL_7!$B:$B,'Pg2'!$T13)</f>
        <v>3.3472803347280333E-3</v>
      </c>
      <c r="C26" s="112">
        <f>1-(SUMIFS(OA_SQL_2!$L:$L,OA_SQL_2!$B:$B,"DL",OA_SQL_2!$A:$A,'Pg2'!$T13)/SUMIFS(OA_SQL_2!$J:$J,OA_SQL_2!$B:$B,"DL",OA_SQL_2!$A:$A,'Pg2'!$T13))</f>
        <v>0</v>
      </c>
      <c r="D26" s="112">
        <f>1-(SUMIFS(OA_SQL_2!$L:$L,OA_SQL_2!$B:$B,"AA",OA_SQL_2!$A:$A,'Pg2'!$T13)/SUMIFS(OA_SQL_2!$J:$J,OA_SQL_2!$B:$B,"AA",OA_SQL_2!$A:$A,'Pg2'!$T13))</f>
        <v>1.080282010461675E-2</v>
      </c>
      <c r="E26" s="112">
        <f>1-(SUMIFS(OA_SQL_2!$L:$L,OA_SQL_2!$B:$B,"AS",OA_SQL_2!$A:$A,'Pg2'!$T13)/SUMIFS(OA_SQL_2!$J:$J,OA_SQL_2!$B:$B,"AS",OA_SQL_2!$A:$A,'Pg2'!$T13))</f>
        <v>0</v>
      </c>
      <c r="F26" s="51">
        <f>RANK(B26,B26:E26,1)</f>
        <v>3</v>
      </c>
      <c r="H26" s="109" t="s">
        <v>97</v>
      </c>
      <c r="I26" s="77">
        <f>SUMIFS(UA_HUB_SQL_7!M:M,UA_HUB_SQL_7!B:B,RANK!H26)/SUMIFS(UA_HUB_SQL_7!L:L,UA_HUB_SQL_7!B:B,RANK!H26)</f>
        <v>1.3914656771799629E-3</v>
      </c>
      <c r="J26" s="112">
        <f>IFERROR(SUMIFS(OA_SQL_2!P:P,OA_SQL_2!A:A,RANK!H26,OA_SQL_2!B:B,"DL")/SUMIFS(OA_SQL_2!N:N,OA_SQL_2!A:A,RANK!H26,OA_SQL_2!B:B,"DL"),"-")</f>
        <v>1</v>
      </c>
      <c r="K26" s="112">
        <f>IFERROR(SUMIFS(OA_SQL_2!P:P,OA_SQL_2!A:A,RANK!H26,OA_SQL_2!B:B,"AA")/SUMIFS(OA_SQL_2!N:N,OA_SQL_2!A:A,RANK!H26,OA_SQL_2!B:B,"AA"),"-")</f>
        <v>0.9940663353281266</v>
      </c>
      <c r="L26" s="112">
        <f>IFERROR(SUMIFS(OA_SQL_2!P:P,OA_SQL_2!A:A,RANK!H26,OA_SQL_2!B:B,RANK!L18)/SUMIFS(OA_SQL_2!N:N,OA_SQL_2!A:A,RANK!H26,OA_SQL_2!B:B,RANK!L18),"-")</f>
        <v>0.99404761904761907</v>
      </c>
      <c r="M26" s="51">
        <f>RANK(I26,I26:L26,0)</f>
        <v>4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25">
      <c r="A27" s="208" t="s">
        <v>167</v>
      </c>
      <c r="B27" s="161">
        <f>SUMIFS(UA_Line!$G:$G,UA_Line!$B:$B,"Line Int")/SUMIFS(UA_Line!$F:$F,UA_Line!$B:$B,"Line Int")</f>
        <v>0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1</v>
      </c>
    </row>
    <row r="28" spans="1:22" x14ac:dyDescent="0.25">
      <c r="A28" s="208" t="s">
        <v>168</v>
      </c>
      <c r="B28" s="161">
        <f>SUMIFS(UA_Line!$G:$G,UA_Line!$B:$B,"Line Dom")/SUMIFS(UA_Line!$F:$F,UA_Line!$B:$B,"Line Dom")</f>
        <v>3.5618878005342831E-3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4">
        <f>RANK(B28,B28:D28,1)</f>
        <v>3</v>
      </c>
    </row>
  </sheetData>
  <sortState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5" x14ac:dyDescent="0.25"/>
  <cols>
    <col min="11" max="11" width="23.140625" bestFit="1" customWidth="1"/>
  </cols>
  <sheetData>
    <row r="1" spans="1:15" x14ac:dyDescent="0.25">
      <c r="A1" s="322" t="s">
        <v>27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</row>
    <row r="2" spans="1:15" x14ac:dyDescent="0.2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2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2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2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2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2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2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/>
      </c>
      <c r="L8">
        <f t="shared" si="1"/>
        <v>0</v>
      </c>
    </row>
    <row r="9" spans="1:15" x14ac:dyDescent="0.2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4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5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 xml:space="preserve">OO-4 YX-5 </v>
      </c>
      <c r="L9">
        <f t="shared" si="1"/>
        <v>9</v>
      </c>
    </row>
    <row r="10" spans="1:15" x14ac:dyDescent="0.2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.75" thickBot="1" x14ac:dyDescent="0.3"/>
    <row r="12" spans="1:15" ht="15.75" thickBot="1" x14ac:dyDescent="0.3">
      <c r="A12" s="310" t="s">
        <v>28</v>
      </c>
      <c r="B12" s="311"/>
      <c r="C12" s="311"/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1"/>
      <c r="O12" s="311"/>
    </row>
    <row r="13" spans="1:15" x14ac:dyDescent="0.2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2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2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2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2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2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2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2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2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25">
      <c r="A24" s="346" t="s">
        <v>427</v>
      </c>
      <c r="B24" s="346"/>
      <c r="E24" s="347" t="s">
        <v>428</v>
      </c>
      <c r="F24" s="347"/>
    </row>
    <row r="25" spans="1:12" x14ac:dyDescent="0.25">
      <c r="A25" t="s">
        <v>60</v>
      </c>
      <c r="B25">
        <f>IF((SUMIFS(CNXL_SQL_2!$F:$F,CNXL_SQL_2!$E:$E,'Pg2'!$T22))=0,"",SUMIFS(CNXL_SQL_2!$F:$F,CNXL_SQL_2!$E:$E,'Pg2'!$T22))</f>
        <v>4</v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25">
      <c r="A26" t="s">
        <v>63</v>
      </c>
      <c r="B26">
        <f>IF((SUMIFS(CNXL_SQL_2!$F:$F,CNXL_SQL_2!$E:$E,'Pg2'!$T23))=0,"",SUMIFS(CNXL_SQL_2!$F:$F,CNXL_SQL_2!$E:$E,'Pg2'!$T23))</f>
        <v>5</v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2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2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2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2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5" x14ac:dyDescent="0.25"/>
  <cols>
    <col min="5" max="5" width="10.42578125" bestFit="1" customWidth="1"/>
    <col min="6" max="6" width="12" bestFit="1" customWidth="1"/>
    <col min="7" max="7" width="12" customWidth="1"/>
  </cols>
  <sheetData>
    <row r="1" spans="1:15" x14ac:dyDescent="0.2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2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2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2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2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2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2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2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2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2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2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2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2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25">
      <c r="C14" s="55"/>
      <c r="D14" s="55"/>
      <c r="E14" s="55"/>
      <c r="F14" s="55"/>
      <c r="G14" s="55"/>
      <c r="O14" t="s">
        <v>130</v>
      </c>
    </row>
    <row r="15" spans="1:15" x14ac:dyDescent="0.25">
      <c r="C15" s="50"/>
      <c r="D15" s="50"/>
      <c r="E15" s="128"/>
      <c r="F15" s="50"/>
      <c r="G15" s="128"/>
    </row>
    <row r="16" spans="1:15" x14ac:dyDescent="0.25">
      <c r="B16" s="54"/>
      <c r="C16" s="50"/>
      <c r="D16" s="50"/>
      <c r="E16" s="128"/>
      <c r="F16" s="50"/>
      <c r="G16" s="128"/>
      <c r="O16" t="s">
        <v>131</v>
      </c>
    </row>
    <row r="17" spans="2:15" x14ac:dyDescent="0.25">
      <c r="B17" s="54"/>
      <c r="O17" t="s">
        <v>131</v>
      </c>
    </row>
    <row r="18" spans="2:15" x14ac:dyDescent="0.25">
      <c r="B18" s="54"/>
      <c r="O18" t="s">
        <v>132</v>
      </c>
    </row>
    <row r="19" spans="2:15" x14ac:dyDescent="0.25">
      <c r="O19" t="s">
        <v>133</v>
      </c>
    </row>
    <row r="20" spans="2:15" x14ac:dyDescent="0.25">
      <c r="O20" t="s">
        <v>134</v>
      </c>
    </row>
    <row r="22" spans="2:15" x14ac:dyDescent="0.2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2"/>
  <sheetViews>
    <sheetView topLeftCell="F1" workbookViewId="0">
      <selection sqref="A1:AC2"/>
    </sheetView>
  </sheetViews>
  <sheetFormatPr defaultRowHeight="15" x14ac:dyDescent="0.25"/>
  <cols>
    <col min="1" max="1" width="12.7109375" bestFit="1" customWidth="1"/>
    <col min="2" max="2" width="15.28515625" bestFit="1" customWidth="1"/>
    <col min="3" max="3" width="10" bestFit="1" customWidth="1"/>
    <col min="4" max="4" width="15.42578125" bestFit="1" customWidth="1"/>
    <col min="5" max="5" width="21.140625" customWidth="1"/>
    <col min="6" max="6" width="20.28515625" customWidth="1"/>
    <col min="8" max="8" width="7.85546875" bestFit="1" customWidth="1"/>
    <col min="9" max="9" width="20" bestFit="1" customWidth="1"/>
    <col min="10" max="10" width="20.7109375" bestFit="1" customWidth="1"/>
    <col min="12" max="12" width="20" bestFit="1" customWidth="1"/>
    <col min="13" max="13" width="20.7109375" bestFit="1" customWidth="1"/>
    <col min="14" max="14" width="25.85546875" customWidth="1"/>
    <col min="15" max="15" width="24.42578125" customWidth="1"/>
    <col min="21" max="21" width="26.5703125" bestFit="1" customWidth="1"/>
    <col min="22" max="22" width="27.28515625" bestFit="1" customWidth="1"/>
    <col min="23" max="23" width="27" customWidth="1"/>
    <col min="24" max="24" width="24.140625" bestFit="1" customWidth="1"/>
    <col min="28" max="28" width="22.5703125" customWidth="1"/>
    <col min="30" max="30" width="14.42578125" customWidth="1"/>
    <col min="31" max="31" width="15.85546875" customWidth="1"/>
    <col min="32" max="32" width="14.85546875" customWidth="1"/>
  </cols>
  <sheetData>
    <row r="1" spans="1:32" x14ac:dyDescent="0.25">
      <c r="A1" s="292" t="s">
        <v>194</v>
      </c>
      <c r="B1" s="292" t="s">
        <v>474</v>
      </c>
      <c r="C1" s="292" t="s">
        <v>475</v>
      </c>
      <c r="D1" s="292" t="s">
        <v>197</v>
      </c>
      <c r="E1" s="292" t="s">
        <v>476</v>
      </c>
      <c r="F1" s="292" t="s">
        <v>449</v>
      </c>
      <c r="G1" s="292" t="s">
        <v>185</v>
      </c>
      <c r="H1" s="292" t="s">
        <v>186</v>
      </c>
      <c r="I1" s="292" t="s">
        <v>187</v>
      </c>
      <c r="J1" s="292" t="s">
        <v>477</v>
      </c>
      <c r="K1" s="292" t="s">
        <v>478</v>
      </c>
      <c r="L1" s="292" t="s">
        <v>479</v>
      </c>
      <c r="M1" s="292" t="s">
        <v>480</v>
      </c>
      <c r="N1" s="292" t="s">
        <v>481</v>
      </c>
      <c r="O1" s="292" t="s">
        <v>482</v>
      </c>
      <c r="P1" s="292" t="s">
        <v>483</v>
      </c>
      <c r="Q1" s="292" t="s">
        <v>484</v>
      </c>
      <c r="R1" s="292" t="s">
        <v>485</v>
      </c>
      <c r="S1" s="292" t="s">
        <v>486</v>
      </c>
      <c r="T1" s="292" t="s">
        <v>487</v>
      </c>
      <c r="U1" s="292" t="s">
        <v>488</v>
      </c>
      <c r="V1" s="292" t="s">
        <v>489</v>
      </c>
      <c r="W1" s="292" t="s">
        <v>490</v>
      </c>
      <c r="X1" s="292" t="s">
        <v>491</v>
      </c>
      <c r="Y1" s="292" t="s">
        <v>492</v>
      </c>
      <c r="Z1" s="292" t="s">
        <v>192</v>
      </c>
      <c r="AA1" s="292" t="s">
        <v>193</v>
      </c>
      <c r="AB1" s="292" t="s">
        <v>493</v>
      </c>
      <c r="AC1" s="292" t="s">
        <v>494</v>
      </c>
      <c r="AD1" s="264"/>
      <c r="AE1" s="264"/>
      <c r="AF1" s="264"/>
    </row>
    <row r="2" spans="1:32" x14ac:dyDescent="0.25">
      <c r="A2" s="292" t="s">
        <v>49</v>
      </c>
      <c r="B2" s="293">
        <v>2023</v>
      </c>
      <c r="C2" s="292" t="s">
        <v>459</v>
      </c>
      <c r="D2" s="292" t="s">
        <v>50</v>
      </c>
      <c r="E2" s="293">
        <v>20772</v>
      </c>
      <c r="F2" s="292">
        <v>43</v>
      </c>
      <c r="G2" s="293">
        <v>16405</v>
      </c>
      <c r="H2" s="293">
        <v>16784</v>
      </c>
      <c r="I2" s="293">
        <v>15646</v>
      </c>
      <c r="J2" s="293">
        <v>3275</v>
      </c>
      <c r="K2" s="293">
        <v>2865</v>
      </c>
      <c r="L2" s="292">
        <v>1</v>
      </c>
      <c r="M2" s="293">
        <v>9526</v>
      </c>
      <c r="N2" s="292">
        <v>28</v>
      </c>
      <c r="O2" s="293">
        <v>7419</v>
      </c>
      <c r="P2" s="293">
        <v>7585</v>
      </c>
      <c r="Q2" s="293">
        <v>7103</v>
      </c>
      <c r="R2" s="293">
        <v>1497</v>
      </c>
      <c r="S2" s="293">
        <v>1298</v>
      </c>
      <c r="T2" s="292">
        <v>0</v>
      </c>
      <c r="U2" s="293">
        <v>12874</v>
      </c>
      <c r="V2" s="292">
        <v>15</v>
      </c>
      <c r="W2" s="293">
        <v>10221</v>
      </c>
      <c r="X2" s="293">
        <v>10453</v>
      </c>
      <c r="Y2" s="293">
        <v>9709</v>
      </c>
      <c r="Z2" s="293">
        <v>20772</v>
      </c>
      <c r="AA2" s="293">
        <v>20768</v>
      </c>
      <c r="AB2" s="293">
        <v>9526</v>
      </c>
      <c r="AC2" s="293">
        <v>9523</v>
      </c>
      <c r="AD2" s="265"/>
      <c r="AE2" s="265"/>
      <c r="AF2" s="26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10"/>
  <sheetViews>
    <sheetView workbookViewId="0">
      <selection activeCell="J36" sqref="J36"/>
    </sheetView>
  </sheetViews>
  <sheetFormatPr defaultRowHeight="15" x14ac:dyDescent="0.25"/>
  <sheetData>
    <row r="1" spans="1:22" x14ac:dyDescent="0.25">
      <c r="A1" s="274" t="s">
        <v>180</v>
      </c>
      <c r="B1" s="274" t="s">
        <v>181</v>
      </c>
      <c r="C1" s="274" t="s">
        <v>76</v>
      </c>
      <c r="D1" s="274" t="s">
        <v>182</v>
      </c>
      <c r="E1" s="274" t="s">
        <v>183</v>
      </c>
      <c r="F1" s="274" t="s">
        <v>446</v>
      </c>
      <c r="G1" s="274" t="s">
        <v>185</v>
      </c>
      <c r="H1" s="274" t="s">
        <v>186</v>
      </c>
      <c r="I1" s="274" t="s">
        <v>187</v>
      </c>
      <c r="J1" s="274" t="s">
        <v>188</v>
      </c>
      <c r="K1" s="274" t="s">
        <v>189</v>
      </c>
      <c r="L1" s="274" t="s">
        <v>190</v>
      </c>
      <c r="M1" s="274" t="s">
        <v>191</v>
      </c>
      <c r="N1" s="274"/>
      <c r="O1" s="274"/>
      <c r="P1" s="274"/>
      <c r="Q1" s="274"/>
      <c r="R1" s="274"/>
      <c r="S1" s="274"/>
      <c r="T1" s="274"/>
      <c r="U1" s="274"/>
      <c r="V1" s="274"/>
    </row>
    <row r="2" spans="1:22" x14ac:dyDescent="0.25">
      <c r="A2" s="275" t="s">
        <v>49</v>
      </c>
      <c r="B2" s="275">
        <v>2023</v>
      </c>
      <c r="C2" s="274">
        <v>3</v>
      </c>
      <c r="D2" s="275" t="s">
        <v>50</v>
      </c>
      <c r="E2" s="275">
        <v>11974</v>
      </c>
      <c r="F2" s="275">
        <v>274</v>
      </c>
      <c r="G2" s="275">
        <v>8014</v>
      </c>
      <c r="H2" s="275">
        <v>8341</v>
      </c>
      <c r="I2" s="275">
        <v>7235</v>
      </c>
      <c r="J2" s="275">
        <v>9117</v>
      </c>
      <c r="K2" s="275">
        <v>1899</v>
      </c>
      <c r="L2" s="275">
        <v>1561</v>
      </c>
      <c r="M2" s="275">
        <v>4</v>
      </c>
      <c r="N2" s="275"/>
      <c r="O2" s="275"/>
      <c r="P2" s="275"/>
      <c r="Q2" s="275"/>
      <c r="R2" s="275"/>
      <c r="S2" s="275"/>
      <c r="T2" s="275"/>
      <c r="U2" s="275"/>
      <c r="V2" s="275"/>
    </row>
    <row r="3" spans="1:22" x14ac:dyDescent="0.25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5"/>
      <c r="O3" s="275"/>
      <c r="P3" s="275"/>
      <c r="Q3" s="275"/>
      <c r="R3" s="275"/>
      <c r="S3" s="275"/>
      <c r="T3" s="275"/>
      <c r="U3" s="275"/>
      <c r="V3" s="275"/>
    </row>
    <row r="5" spans="1:22" x14ac:dyDescent="0.25">
      <c r="A5" s="274"/>
      <c r="B5" s="274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5"/>
      <c r="N5" s="275"/>
      <c r="O5" s="275"/>
      <c r="P5" s="275"/>
      <c r="Q5" s="275"/>
      <c r="R5" s="275"/>
      <c r="S5" s="275"/>
      <c r="T5" s="275"/>
      <c r="U5" s="275"/>
      <c r="V5" s="275"/>
    </row>
    <row r="7" spans="1:22" x14ac:dyDescent="0.25">
      <c r="A7" s="274"/>
      <c r="B7" s="274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5"/>
      <c r="N7" s="275"/>
      <c r="O7" s="275"/>
      <c r="P7" s="275"/>
      <c r="Q7" s="275"/>
      <c r="R7" s="275"/>
      <c r="S7" s="275"/>
      <c r="T7" s="275"/>
      <c r="U7" s="275"/>
      <c r="V7" s="275"/>
    </row>
    <row r="8" spans="1:22" x14ac:dyDescent="0.25">
      <c r="A8" s="274"/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5"/>
      <c r="N8" s="275"/>
      <c r="O8" s="275"/>
      <c r="P8" s="275"/>
      <c r="Q8" s="275"/>
      <c r="R8" s="275"/>
      <c r="S8" s="275"/>
      <c r="T8" s="275"/>
      <c r="U8" s="275"/>
      <c r="V8" s="275"/>
    </row>
    <row r="10" spans="1:22" x14ac:dyDescent="0.25">
      <c r="A10" s="274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5"/>
      <c r="N10" s="275"/>
      <c r="O10" s="275"/>
      <c r="P10" s="275"/>
      <c r="Q10" s="275"/>
      <c r="R10" s="275"/>
      <c r="S10" s="275"/>
      <c r="T10" s="275"/>
      <c r="U10" s="275"/>
      <c r="V10" s="27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10"/>
  <sheetViews>
    <sheetView workbookViewId="0">
      <selection sqref="A1:W10"/>
    </sheetView>
  </sheetViews>
  <sheetFormatPr defaultRowHeight="15" x14ac:dyDescent="0.25"/>
  <sheetData>
    <row r="1" spans="1:23" x14ac:dyDescent="0.2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449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  <c r="W1" s="272"/>
    </row>
    <row r="2" spans="1:23" x14ac:dyDescent="0.25">
      <c r="A2" s="272" t="s">
        <v>49</v>
      </c>
      <c r="B2" s="273">
        <v>2019</v>
      </c>
      <c r="C2" s="272">
        <v>3</v>
      </c>
      <c r="D2" s="272" t="s">
        <v>50</v>
      </c>
      <c r="E2" s="273">
        <v>85212</v>
      </c>
      <c r="F2" s="273">
        <v>2636</v>
      </c>
      <c r="G2" s="273">
        <v>59564</v>
      </c>
      <c r="H2" s="273">
        <v>59619</v>
      </c>
      <c r="I2" s="273">
        <v>52769</v>
      </c>
      <c r="J2" s="273">
        <v>64943</v>
      </c>
      <c r="K2" s="273">
        <v>14054</v>
      </c>
      <c r="L2" s="273">
        <v>11752</v>
      </c>
      <c r="M2" s="272">
        <v>428</v>
      </c>
      <c r="N2" s="273"/>
      <c r="O2" s="273"/>
      <c r="P2" s="273"/>
      <c r="Q2" s="273"/>
      <c r="R2" s="273"/>
      <c r="S2" s="273"/>
      <c r="T2" s="273"/>
      <c r="U2" s="273"/>
      <c r="V2" s="273"/>
      <c r="W2" s="273"/>
    </row>
    <row r="3" spans="1:23" x14ac:dyDescent="0.2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3"/>
      <c r="O3" s="273"/>
      <c r="P3" s="273"/>
      <c r="Q3" s="273"/>
      <c r="R3" s="273"/>
      <c r="S3" s="273"/>
      <c r="T3" s="273"/>
      <c r="U3" s="273"/>
      <c r="V3" s="273"/>
      <c r="W3" s="273"/>
    </row>
    <row r="5" spans="1:23" x14ac:dyDescent="0.2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3"/>
      <c r="O5" s="273"/>
      <c r="P5" s="273"/>
      <c r="Q5" s="273"/>
      <c r="R5" s="273"/>
      <c r="S5" s="273"/>
      <c r="T5" s="273"/>
      <c r="U5" s="273"/>
      <c r="V5" s="273"/>
      <c r="W5" s="273"/>
    </row>
    <row r="7" spans="1:23" x14ac:dyDescent="0.2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3"/>
      <c r="O7" s="273"/>
      <c r="P7" s="273"/>
      <c r="Q7" s="273"/>
      <c r="R7" s="273"/>
      <c r="S7" s="273"/>
      <c r="T7" s="273"/>
      <c r="U7" s="273"/>
      <c r="V7" s="273"/>
      <c r="W7" s="273"/>
    </row>
    <row r="8" spans="1:23" x14ac:dyDescent="0.2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3"/>
      <c r="O8" s="273"/>
      <c r="P8" s="273"/>
      <c r="Q8" s="273"/>
      <c r="R8" s="273"/>
      <c r="S8" s="273"/>
      <c r="T8" s="273"/>
      <c r="U8" s="273"/>
      <c r="V8" s="273"/>
      <c r="W8" s="273"/>
    </row>
    <row r="10" spans="1:23" x14ac:dyDescent="0.2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3"/>
      <c r="O10" s="273"/>
      <c r="P10" s="273"/>
      <c r="Q10" s="273"/>
      <c r="R10" s="273"/>
      <c r="S10" s="273"/>
      <c r="T10" s="273"/>
      <c r="U10" s="273"/>
      <c r="V10" s="273"/>
      <c r="W10" s="27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8"/>
  <sheetViews>
    <sheetView workbookViewId="0">
      <selection sqref="A1:T3"/>
    </sheetView>
  </sheetViews>
  <sheetFormatPr defaultRowHeight="15" x14ac:dyDescent="0.25"/>
  <cols>
    <col min="2" max="2" width="8.7109375" bestFit="1" customWidth="1"/>
    <col min="3" max="3" width="12.42578125" bestFit="1" customWidth="1"/>
    <col min="4" max="4" width="9.28515625" bestFit="1" customWidth="1"/>
    <col min="5" max="5" width="15.42578125" bestFit="1" customWidth="1"/>
    <col min="6" max="6" width="10.28515625" bestFit="1" customWidth="1"/>
    <col min="7" max="7" width="16.140625" bestFit="1" customWidth="1"/>
    <col min="8" max="8" width="10.28515625" bestFit="1" customWidth="1"/>
    <col min="9" max="9" width="20" bestFit="1" customWidth="1"/>
    <col min="10" max="10" width="14.85546875" bestFit="1" customWidth="1"/>
    <col min="11" max="11" width="20.7109375" bestFit="1" customWidth="1"/>
    <col min="12" max="12" width="14.7109375" bestFit="1" customWidth="1"/>
    <col min="13" max="13" width="26.5703125" bestFit="1" customWidth="1"/>
    <col min="14" max="14" width="21.42578125" bestFit="1" customWidth="1"/>
    <col min="15" max="15" width="27.28515625" bestFit="1" customWidth="1"/>
    <col min="16" max="16" width="13.140625" customWidth="1"/>
    <col min="17" max="17" width="17" customWidth="1"/>
    <col min="19" max="19" width="16.7109375" customWidth="1"/>
  </cols>
  <sheetData>
    <row r="1" spans="1:20" ht="15.75" thickBot="1" x14ac:dyDescent="0.3">
      <c r="A1" s="192" t="s">
        <v>194</v>
      </c>
      <c r="B1" s="192" t="s">
        <v>195</v>
      </c>
      <c r="C1" s="192" t="s">
        <v>460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461</v>
      </c>
      <c r="J1" s="192" t="s">
        <v>462</v>
      </c>
      <c r="K1" s="192" t="s">
        <v>463</v>
      </c>
      <c r="L1" s="192" t="s">
        <v>464</v>
      </c>
      <c r="M1" s="192" t="s">
        <v>465</v>
      </c>
      <c r="N1" s="192" t="s">
        <v>466</v>
      </c>
      <c r="O1" s="192" t="s">
        <v>467</v>
      </c>
      <c r="P1" s="192" t="s">
        <v>468</v>
      </c>
      <c r="Q1" s="192" t="s">
        <v>464</v>
      </c>
      <c r="R1" s="192"/>
      <c r="S1" s="192"/>
    </row>
    <row r="2" spans="1:20" ht="15.75" thickBot="1" x14ac:dyDescent="0.3">
      <c r="A2" s="197" t="s">
        <v>51</v>
      </c>
      <c r="B2" s="197">
        <v>2023</v>
      </c>
      <c r="C2" s="198">
        <v>2023</v>
      </c>
      <c r="D2" s="197" t="s">
        <v>50</v>
      </c>
      <c r="E2" s="197">
        <v>34379</v>
      </c>
      <c r="F2" s="197">
        <v>27757</v>
      </c>
      <c r="G2" s="197">
        <v>34353</v>
      </c>
      <c r="H2" s="197">
        <v>25595</v>
      </c>
      <c r="I2" s="197">
        <v>17221</v>
      </c>
      <c r="J2" s="197">
        <v>13912</v>
      </c>
      <c r="K2" s="197">
        <v>17199</v>
      </c>
      <c r="L2" s="197">
        <v>12838</v>
      </c>
      <c r="M2" s="197">
        <v>19636</v>
      </c>
      <c r="N2" s="197">
        <v>15843</v>
      </c>
      <c r="O2" s="197">
        <v>19632</v>
      </c>
      <c r="P2" s="197">
        <v>14599</v>
      </c>
      <c r="Q2" s="197">
        <v>15191</v>
      </c>
      <c r="R2" s="197"/>
      <c r="S2" s="197"/>
    </row>
    <row r="3" spans="1:20" ht="15.75" thickBot="1" x14ac:dyDescent="0.3">
      <c r="A3" s="199" t="s">
        <v>52</v>
      </c>
      <c r="B3" s="199">
        <v>2023</v>
      </c>
      <c r="C3" s="200">
        <v>2023</v>
      </c>
      <c r="D3" s="199" t="s">
        <v>50</v>
      </c>
      <c r="E3" s="199">
        <v>20445</v>
      </c>
      <c r="F3" s="199">
        <v>17267</v>
      </c>
      <c r="G3" s="199">
        <v>20445</v>
      </c>
      <c r="H3" s="199">
        <v>17079</v>
      </c>
      <c r="I3" s="199">
        <v>10207</v>
      </c>
      <c r="J3" s="199">
        <v>8666</v>
      </c>
      <c r="K3" s="199">
        <v>10207</v>
      </c>
      <c r="L3" s="199">
        <v>8576</v>
      </c>
      <c r="M3" s="199">
        <v>11698</v>
      </c>
      <c r="N3" s="199">
        <v>9819</v>
      </c>
      <c r="O3" s="199">
        <v>11698</v>
      </c>
      <c r="P3" s="199">
        <v>9718</v>
      </c>
      <c r="Q3" s="199">
        <v>9454</v>
      </c>
      <c r="R3" s="199"/>
      <c r="S3" s="199"/>
    </row>
    <row r="5" spans="1:20" x14ac:dyDescent="0.25">
      <c r="G5" s="50"/>
    </row>
    <row r="6" spans="1:20" x14ac:dyDescent="0.25">
      <c r="G6" s="50"/>
      <c r="T6" s="191"/>
    </row>
    <row r="7" spans="1:20" ht="15.75" thickBot="1" x14ac:dyDescent="0.3">
      <c r="T7" s="193"/>
    </row>
    <row r="8" spans="1:20" ht="15.75" thickBot="1" x14ac:dyDescent="0.3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7"/>
  <sheetViews>
    <sheetView workbookViewId="0">
      <selection activeCell="E5" sqref="E5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A2" t="s">
        <v>62</v>
      </c>
      <c r="B2" s="53">
        <v>45273</v>
      </c>
      <c r="C2" t="s">
        <v>454</v>
      </c>
      <c r="D2" t="s">
        <v>61</v>
      </c>
      <c r="E2" t="s">
        <v>63</v>
      </c>
      <c r="F2">
        <v>3</v>
      </c>
    </row>
    <row r="3" spans="1:6" x14ac:dyDescent="0.25">
      <c r="A3" t="s">
        <v>55</v>
      </c>
      <c r="B3" s="53">
        <v>45273</v>
      </c>
      <c r="C3" t="s">
        <v>454</v>
      </c>
      <c r="D3" t="s">
        <v>56</v>
      </c>
      <c r="E3" t="s">
        <v>455</v>
      </c>
      <c r="F3">
        <v>3</v>
      </c>
    </row>
    <row r="4" spans="1:6" x14ac:dyDescent="0.25">
      <c r="A4" t="s">
        <v>62</v>
      </c>
      <c r="B4" s="53">
        <v>45272</v>
      </c>
      <c r="C4" t="s">
        <v>454</v>
      </c>
      <c r="D4" t="s">
        <v>61</v>
      </c>
      <c r="E4" t="s">
        <v>60</v>
      </c>
      <c r="F4">
        <v>4</v>
      </c>
    </row>
    <row r="5" spans="1:6" x14ac:dyDescent="0.25">
      <c r="A5" t="s">
        <v>55</v>
      </c>
      <c r="B5" s="53">
        <v>45274</v>
      </c>
      <c r="C5" t="s">
        <v>454</v>
      </c>
      <c r="D5" t="s">
        <v>56</v>
      </c>
      <c r="E5" t="s">
        <v>455</v>
      </c>
      <c r="F5">
        <v>5</v>
      </c>
    </row>
    <row r="6" spans="1:6" x14ac:dyDescent="0.25">
      <c r="A6" t="s">
        <v>62</v>
      </c>
      <c r="B6" s="53">
        <v>45272</v>
      </c>
      <c r="C6" t="s">
        <v>454</v>
      </c>
      <c r="D6" t="s">
        <v>61</v>
      </c>
      <c r="E6" t="s">
        <v>63</v>
      </c>
      <c r="F6">
        <v>2</v>
      </c>
    </row>
    <row r="7" spans="1:6" x14ac:dyDescent="0.25">
      <c r="A7" t="s">
        <v>60</v>
      </c>
      <c r="B7" s="53">
        <v>45273</v>
      </c>
      <c r="C7" t="s">
        <v>454</v>
      </c>
      <c r="D7" t="s">
        <v>56</v>
      </c>
      <c r="E7" t="s">
        <v>455</v>
      </c>
      <c r="F7">
        <v>5</v>
      </c>
    </row>
    <row r="8" spans="1:6" x14ac:dyDescent="0.25">
      <c r="A8" t="s">
        <v>60</v>
      </c>
      <c r="B8" s="53">
        <v>45273</v>
      </c>
      <c r="C8" t="s">
        <v>454</v>
      </c>
      <c r="E8" t="s">
        <v>455</v>
      </c>
      <c r="F8">
        <v>2</v>
      </c>
    </row>
    <row r="9" spans="1:6" x14ac:dyDescent="0.25">
      <c r="A9" t="s">
        <v>60</v>
      </c>
      <c r="B9" s="53">
        <v>45274</v>
      </c>
      <c r="C9" t="s">
        <v>454</v>
      </c>
      <c r="D9" t="s">
        <v>56</v>
      </c>
      <c r="E9" t="s">
        <v>455</v>
      </c>
      <c r="F9">
        <v>15</v>
      </c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  <row r="18" spans="2:2" x14ac:dyDescent="0.25">
      <c r="B18" s="53"/>
    </row>
    <row r="19" spans="2:2" x14ac:dyDescent="0.25">
      <c r="B19" s="53"/>
    </row>
    <row r="20" spans="2:2" x14ac:dyDescent="0.25">
      <c r="B20" s="53"/>
    </row>
    <row r="21" spans="2:2" x14ac:dyDescent="0.25">
      <c r="B21" s="53"/>
    </row>
    <row r="22" spans="2:2" x14ac:dyDescent="0.25">
      <c r="B22" s="53"/>
    </row>
    <row r="23" spans="2:2" x14ac:dyDescent="0.25">
      <c r="B23" s="53"/>
    </row>
    <row r="24" spans="2:2" x14ac:dyDescent="0.25">
      <c r="B24" s="53"/>
    </row>
    <row r="25" spans="2:2" x14ac:dyDescent="0.25">
      <c r="B25" s="53"/>
    </row>
    <row r="26" spans="2:2" x14ac:dyDescent="0.25">
      <c r="B26" s="53"/>
    </row>
    <row r="27" spans="2:2" x14ac:dyDescent="0.25">
      <c r="B27" s="53"/>
    </row>
    <row r="28" spans="2:2" x14ac:dyDescent="0.25">
      <c r="B28" s="53"/>
    </row>
    <row r="29" spans="2:2" x14ac:dyDescent="0.25">
      <c r="B29" s="53"/>
    </row>
    <row r="30" spans="2:2" x14ac:dyDescent="0.25">
      <c r="B30" s="53"/>
    </row>
    <row r="31" spans="2:2" x14ac:dyDescent="0.25">
      <c r="B31" s="53"/>
    </row>
    <row r="32" spans="2:2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"/>
  <sheetViews>
    <sheetView workbookViewId="0">
      <selection activeCell="E8" sqref="E8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A2" t="s">
        <v>62</v>
      </c>
      <c r="B2" s="53">
        <v>45278</v>
      </c>
      <c r="C2" t="s">
        <v>454</v>
      </c>
      <c r="D2" t="s">
        <v>58</v>
      </c>
      <c r="F2">
        <v>1</v>
      </c>
    </row>
    <row r="3" spans="1:6" x14ac:dyDescent="0.25">
      <c r="B3" s="53"/>
    </row>
    <row r="4" spans="1:6" x14ac:dyDescent="0.25">
      <c r="B4" s="53"/>
    </row>
    <row r="5" spans="1:6" x14ac:dyDescent="0.25">
      <c r="B5" s="53"/>
    </row>
    <row r="6" spans="1:6" x14ac:dyDescent="0.25">
      <c r="B6" s="53"/>
    </row>
    <row r="7" spans="1:6" x14ac:dyDescent="0.25">
      <c r="B7" s="53"/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9"/>
  <sheetViews>
    <sheetView workbookViewId="0">
      <selection activeCell="A2" sqref="A2:A7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5.28515625" bestFit="1" customWidth="1"/>
    <col min="4" max="4" width="10" bestFit="1" customWidth="1"/>
    <col min="5" max="5" width="15.42578125" bestFit="1" customWidth="1"/>
  </cols>
  <sheetData>
    <row r="1" spans="1:5" x14ac:dyDescent="0.25">
      <c r="A1" t="s">
        <v>495</v>
      </c>
      <c r="B1" t="s">
        <v>474</v>
      </c>
      <c r="C1" t="s">
        <v>196</v>
      </c>
      <c r="D1" t="s">
        <v>197</v>
      </c>
      <c r="E1" t="s">
        <v>476</v>
      </c>
    </row>
    <row r="2" spans="1:5" x14ac:dyDescent="0.25">
      <c r="A2" t="s">
        <v>62</v>
      </c>
      <c r="B2" s="3">
        <v>2023</v>
      </c>
      <c r="C2">
        <v>12</v>
      </c>
      <c r="D2" t="s">
        <v>50</v>
      </c>
      <c r="E2">
        <v>1683</v>
      </c>
    </row>
    <row r="3" spans="1:5" x14ac:dyDescent="0.25">
      <c r="A3" t="s">
        <v>55</v>
      </c>
      <c r="B3" s="3">
        <v>2023</v>
      </c>
      <c r="C3">
        <v>12</v>
      </c>
      <c r="D3" t="s">
        <v>50</v>
      </c>
      <c r="E3">
        <v>1119</v>
      </c>
    </row>
    <row r="4" spans="1:5" x14ac:dyDescent="0.25">
      <c r="A4" t="s">
        <v>63</v>
      </c>
      <c r="B4" s="3">
        <v>2023</v>
      </c>
      <c r="C4">
        <v>12</v>
      </c>
      <c r="D4" t="s">
        <v>50</v>
      </c>
      <c r="E4">
        <v>1376</v>
      </c>
    </row>
    <row r="5" spans="1:5" x14ac:dyDescent="0.25">
      <c r="A5" t="s">
        <v>65</v>
      </c>
      <c r="B5" s="3">
        <v>2023</v>
      </c>
      <c r="C5">
        <v>12</v>
      </c>
      <c r="D5" t="s">
        <v>50</v>
      </c>
      <c r="E5">
        <v>817</v>
      </c>
    </row>
    <row r="6" spans="1:5" x14ac:dyDescent="0.25">
      <c r="A6" t="s">
        <v>60</v>
      </c>
      <c r="B6" s="3">
        <v>2023</v>
      </c>
      <c r="C6">
        <v>12</v>
      </c>
      <c r="D6" t="s">
        <v>50</v>
      </c>
      <c r="E6">
        <v>4531</v>
      </c>
    </row>
    <row r="7" spans="1:5" x14ac:dyDescent="0.25">
      <c r="B7" s="3"/>
    </row>
    <row r="8" spans="1:5" x14ac:dyDescent="0.25">
      <c r="B8" s="3"/>
    </row>
    <row r="9" spans="1:5" x14ac:dyDescent="0.25">
      <c r="B9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201</v>
      </c>
      <c r="B1" t="s">
        <v>202</v>
      </c>
    </row>
    <row r="2" spans="1:2" x14ac:dyDescent="0.25">
      <c r="A2">
        <v>2019</v>
      </c>
      <c r="B2">
        <v>134</v>
      </c>
    </row>
    <row r="3" spans="1:2" x14ac:dyDescent="0.2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11.7109375" bestFit="1" customWidth="1"/>
  </cols>
  <sheetData>
    <row r="1" spans="1:2" x14ac:dyDescent="0.25">
      <c r="A1" t="s">
        <v>500</v>
      </c>
      <c r="B1" t="s">
        <v>501</v>
      </c>
    </row>
    <row r="2" spans="1:2" x14ac:dyDescent="0.25">
      <c r="A2" t="s">
        <v>203</v>
      </c>
      <c r="B2">
        <v>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33"/>
  <sheetViews>
    <sheetView zoomScale="85" zoomScaleNormal="85" workbookViewId="0">
      <selection activeCell="F13" sqref="F13"/>
    </sheetView>
  </sheetViews>
  <sheetFormatPr defaultRowHeight="15" x14ac:dyDescent="0.25"/>
  <cols>
    <col min="2" max="2" width="20.42578125" customWidth="1"/>
    <col min="6" max="6" width="20.5703125" customWidth="1"/>
    <col min="7" max="7" width="22.85546875" customWidth="1"/>
    <col min="9" max="9" width="16.5703125" customWidth="1"/>
    <col min="10" max="10" width="15" customWidth="1"/>
    <col min="11" max="11" width="12" customWidth="1"/>
    <col min="12" max="12" width="19.140625" bestFit="1" customWidth="1"/>
    <col min="13" max="13" width="19" bestFit="1" customWidth="1"/>
  </cols>
  <sheetData>
    <row r="1" spans="1:26" x14ac:dyDescent="0.25">
      <c r="A1" s="266" t="s">
        <v>502</v>
      </c>
      <c r="B1" s="266" t="s">
        <v>503</v>
      </c>
      <c r="C1" s="266" t="s">
        <v>504</v>
      </c>
      <c r="D1" s="266" t="s">
        <v>194</v>
      </c>
      <c r="E1" s="266" t="s">
        <v>197</v>
      </c>
      <c r="F1" s="266" t="s">
        <v>505</v>
      </c>
      <c r="G1" s="266" t="s">
        <v>481</v>
      </c>
      <c r="H1" s="266" t="s">
        <v>506</v>
      </c>
      <c r="I1" s="266" t="s">
        <v>507</v>
      </c>
      <c r="J1" s="266" t="s">
        <v>508</v>
      </c>
      <c r="K1" s="266" t="s">
        <v>509</v>
      </c>
      <c r="L1" s="266" t="s">
        <v>510</v>
      </c>
      <c r="M1" s="266" t="s">
        <v>511</v>
      </c>
      <c r="N1" s="266" t="s">
        <v>512</v>
      </c>
      <c r="O1" s="266" t="s">
        <v>513</v>
      </c>
      <c r="P1" s="266" t="s">
        <v>514</v>
      </c>
      <c r="Q1" s="266" t="s">
        <v>515</v>
      </c>
      <c r="R1" s="266" t="s">
        <v>211</v>
      </c>
      <c r="S1" s="266" t="s">
        <v>446</v>
      </c>
      <c r="T1" s="266" t="s">
        <v>212</v>
      </c>
      <c r="U1" s="266" t="s">
        <v>213</v>
      </c>
      <c r="V1" s="266" t="s">
        <v>214</v>
      </c>
      <c r="W1" s="266" t="s">
        <v>215</v>
      </c>
      <c r="X1" s="266" t="s">
        <v>516</v>
      </c>
      <c r="Y1" s="266" t="s">
        <v>217</v>
      </c>
    </row>
    <row r="2" spans="1:26" x14ac:dyDescent="0.25">
      <c r="A2" s="268" t="s">
        <v>551</v>
      </c>
      <c r="B2" s="266" t="s">
        <v>108</v>
      </c>
      <c r="C2" s="266" t="s">
        <v>94</v>
      </c>
      <c r="D2" s="266" t="s">
        <v>49</v>
      </c>
      <c r="E2" s="266" t="s">
        <v>50</v>
      </c>
      <c r="F2" s="266">
        <v>1029</v>
      </c>
      <c r="G2" s="266">
        <v>1</v>
      </c>
      <c r="H2" s="266">
        <v>777</v>
      </c>
      <c r="I2" s="266">
        <v>875</v>
      </c>
      <c r="J2" s="266">
        <v>672</v>
      </c>
      <c r="K2" s="266">
        <v>821</v>
      </c>
      <c r="L2" s="266">
        <v>1385</v>
      </c>
      <c r="M2" s="266">
        <v>0</v>
      </c>
      <c r="N2" s="266">
        <v>1093</v>
      </c>
      <c r="O2" s="266">
        <v>1235</v>
      </c>
      <c r="P2" s="267">
        <v>988</v>
      </c>
      <c r="Q2" s="267">
        <v>1041</v>
      </c>
      <c r="R2" s="267">
        <v>2755</v>
      </c>
      <c r="S2" s="267">
        <v>2</v>
      </c>
      <c r="T2" s="267">
        <v>2067</v>
      </c>
      <c r="U2" s="267">
        <v>2356</v>
      </c>
      <c r="V2" s="267">
        <v>1837</v>
      </c>
      <c r="W2" s="267">
        <v>1949</v>
      </c>
      <c r="X2" s="267">
        <v>1029</v>
      </c>
      <c r="Y2" s="267">
        <v>2755</v>
      </c>
    </row>
    <row r="3" spans="1:26" x14ac:dyDescent="0.25">
      <c r="A3" s="268" t="s">
        <v>551</v>
      </c>
      <c r="B3" s="266" t="s">
        <v>105</v>
      </c>
      <c r="C3" s="266" t="s">
        <v>95</v>
      </c>
      <c r="D3" s="266" t="s">
        <v>49</v>
      </c>
      <c r="E3" s="266" t="s">
        <v>50</v>
      </c>
      <c r="F3" s="266">
        <v>150</v>
      </c>
      <c r="G3" s="266">
        <v>0</v>
      </c>
      <c r="H3" s="266">
        <v>113</v>
      </c>
      <c r="I3" s="266">
        <v>137</v>
      </c>
      <c r="J3" s="266">
        <v>122</v>
      </c>
      <c r="K3" s="266">
        <v>147</v>
      </c>
      <c r="L3" s="266">
        <v>193</v>
      </c>
      <c r="M3" s="266">
        <v>0</v>
      </c>
      <c r="N3" s="266">
        <v>155</v>
      </c>
      <c r="O3" s="266">
        <v>180</v>
      </c>
      <c r="P3" s="267">
        <v>162</v>
      </c>
      <c r="Q3" s="267">
        <v>169</v>
      </c>
      <c r="R3" s="267">
        <v>391</v>
      </c>
      <c r="S3" s="267">
        <v>0</v>
      </c>
      <c r="T3" s="267">
        <v>310</v>
      </c>
      <c r="U3" s="267">
        <v>362</v>
      </c>
      <c r="V3" s="267">
        <v>327</v>
      </c>
      <c r="W3" s="267">
        <v>340</v>
      </c>
      <c r="X3" s="267">
        <v>150</v>
      </c>
      <c r="Y3" s="267">
        <v>391</v>
      </c>
    </row>
    <row r="4" spans="1:26" x14ac:dyDescent="0.25">
      <c r="A4" s="268" t="s">
        <v>551</v>
      </c>
      <c r="B4" s="266" t="s">
        <v>109</v>
      </c>
      <c r="C4" s="266" t="s">
        <v>218</v>
      </c>
      <c r="D4" s="266" t="s">
        <v>49</v>
      </c>
      <c r="E4" s="266" t="s">
        <v>50</v>
      </c>
      <c r="F4" s="266">
        <v>66</v>
      </c>
      <c r="G4" s="266">
        <v>0</v>
      </c>
      <c r="H4" s="266">
        <v>51</v>
      </c>
      <c r="I4" s="266">
        <v>56</v>
      </c>
      <c r="J4" s="266">
        <v>50</v>
      </c>
      <c r="K4" s="266">
        <v>50</v>
      </c>
      <c r="L4" s="266">
        <v>83</v>
      </c>
      <c r="M4" s="266">
        <v>0</v>
      </c>
      <c r="N4" s="266">
        <v>54</v>
      </c>
      <c r="O4" s="266">
        <v>63</v>
      </c>
      <c r="P4" s="266">
        <v>58</v>
      </c>
      <c r="Q4" s="266">
        <v>58</v>
      </c>
      <c r="R4" s="266">
        <v>168</v>
      </c>
      <c r="S4" s="266">
        <v>0</v>
      </c>
      <c r="T4" s="266">
        <v>117</v>
      </c>
      <c r="U4" s="266">
        <v>135</v>
      </c>
      <c r="V4" s="266">
        <v>122</v>
      </c>
      <c r="W4" s="266">
        <v>122</v>
      </c>
      <c r="X4" s="266">
        <v>66</v>
      </c>
      <c r="Y4" s="266">
        <v>168</v>
      </c>
    </row>
    <row r="5" spans="1:26" x14ac:dyDescent="0.25">
      <c r="A5" s="268" t="s">
        <v>551</v>
      </c>
      <c r="B5" s="266" t="s">
        <v>103</v>
      </c>
      <c r="C5" s="266" t="s">
        <v>93</v>
      </c>
      <c r="D5" s="266" t="s">
        <v>49</v>
      </c>
      <c r="E5" s="266" t="s">
        <v>50</v>
      </c>
      <c r="F5" s="266">
        <v>1055</v>
      </c>
      <c r="G5" s="266">
        <v>0</v>
      </c>
      <c r="H5" s="266">
        <v>827</v>
      </c>
      <c r="I5" s="266">
        <v>955</v>
      </c>
      <c r="J5" s="266">
        <v>825</v>
      </c>
      <c r="K5" s="266">
        <v>982</v>
      </c>
      <c r="L5" s="266">
        <v>1393</v>
      </c>
      <c r="M5" s="266">
        <v>1</v>
      </c>
      <c r="N5" s="266">
        <v>1028</v>
      </c>
      <c r="O5" s="266">
        <v>1218</v>
      </c>
      <c r="P5" s="267">
        <v>1078</v>
      </c>
      <c r="Q5" s="267">
        <v>1139</v>
      </c>
      <c r="R5" s="267">
        <v>2790</v>
      </c>
      <c r="S5" s="267">
        <v>3</v>
      </c>
      <c r="T5" s="267">
        <v>2090</v>
      </c>
      <c r="U5" s="267">
        <v>2469</v>
      </c>
      <c r="V5" s="267">
        <v>2162</v>
      </c>
      <c r="W5" s="267">
        <v>2261</v>
      </c>
      <c r="X5" s="267">
        <v>1055</v>
      </c>
      <c r="Y5" s="267">
        <v>2792</v>
      </c>
    </row>
    <row r="6" spans="1:26" x14ac:dyDescent="0.25">
      <c r="A6" s="268" t="s">
        <v>551</v>
      </c>
      <c r="B6" s="266" t="s">
        <v>107</v>
      </c>
      <c r="C6" s="266" t="s">
        <v>96</v>
      </c>
      <c r="D6" s="266" t="s">
        <v>49</v>
      </c>
      <c r="E6" s="266" t="s">
        <v>50</v>
      </c>
      <c r="F6" s="266">
        <v>347</v>
      </c>
      <c r="G6" s="266">
        <v>0</v>
      </c>
      <c r="H6" s="266">
        <v>281</v>
      </c>
      <c r="I6" s="266">
        <v>310</v>
      </c>
      <c r="J6" s="266">
        <v>258</v>
      </c>
      <c r="K6" s="266">
        <v>314</v>
      </c>
      <c r="L6" s="266">
        <v>447</v>
      </c>
      <c r="M6" s="266">
        <v>0</v>
      </c>
      <c r="N6" s="266">
        <v>320</v>
      </c>
      <c r="O6" s="266">
        <v>368</v>
      </c>
      <c r="P6" s="266">
        <v>331</v>
      </c>
      <c r="Q6" s="266">
        <v>357</v>
      </c>
      <c r="R6" s="266">
        <v>906</v>
      </c>
      <c r="S6" s="266">
        <v>0</v>
      </c>
      <c r="T6" s="266">
        <v>683</v>
      </c>
      <c r="U6" s="266">
        <v>767</v>
      </c>
      <c r="V6" s="266">
        <v>674</v>
      </c>
      <c r="W6" s="266">
        <v>716</v>
      </c>
      <c r="X6" s="266">
        <v>350</v>
      </c>
      <c r="Y6" s="266">
        <v>909</v>
      </c>
    </row>
    <row r="7" spans="1:26" x14ac:dyDescent="0.25">
      <c r="A7" s="268" t="s">
        <v>551</v>
      </c>
      <c r="B7" s="266" t="s">
        <v>109</v>
      </c>
      <c r="C7" s="266" t="s">
        <v>453</v>
      </c>
      <c r="D7" s="266" t="s">
        <v>49</v>
      </c>
      <c r="E7" s="266" t="s">
        <v>50</v>
      </c>
      <c r="F7" s="266">
        <v>1</v>
      </c>
      <c r="G7" s="266">
        <v>0</v>
      </c>
      <c r="H7" s="266">
        <v>0</v>
      </c>
      <c r="I7" s="266">
        <v>1</v>
      </c>
      <c r="J7" s="266">
        <v>1</v>
      </c>
      <c r="K7" s="266">
        <v>1</v>
      </c>
      <c r="L7" s="266">
        <v>0</v>
      </c>
      <c r="M7" s="266">
        <v>0</v>
      </c>
      <c r="N7" s="266">
        <v>0</v>
      </c>
      <c r="O7" s="266">
        <v>0</v>
      </c>
      <c r="P7" s="267">
        <v>0</v>
      </c>
      <c r="Q7" s="267">
        <v>0</v>
      </c>
      <c r="R7" s="267">
        <v>1</v>
      </c>
      <c r="S7" s="267">
        <v>0</v>
      </c>
      <c r="T7" s="267">
        <v>0</v>
      </c>
      <c r="U7" s="267">
        <v>1</v>
      </c>
      <c r="V7" s="267">
        <v>1</v>
      </c>
      <c r="W7" s="267">
        <v>1</v>
      </c>
      <c r="X7" s="267">
        <v>1</v>
      </c>
      <c r="Y7" s="267">
        <v>1</v>
      </c>
      <c r="Z7" s="3"/>
    </row>
    <row r="8" spans="1:26" x14ac:dyDescent="0.25">
      <c r="A8" s="268" t="s">
        <v>551</v>
      </c>
      <c r="B8" s="266" t="s">
        <v>106</v>
      </c>
      <c r="C8" s="266" t="s">
        <v>91</v>
      </c>
      <c r="D8" s="266" t="s">
        <v>49</v>
      </c>
      <c r="E8" s="266" t="s">
        <v>50</v>
      </c>
      <c r="F8" s="266">
        <v>655</v>
      </c>
      <c r="G8" s="266">
        <v>0</v>
      </c>
      <c r="H8" s="266">
        <v>536</v>
      </c>
      <c r="I8" s="266">
        <v>600</v>
      </c>
      <c r="J8" s="266">
        <v>544</v>
      </c>
      <c r="K8" s="266">
        <v>646</v>
      </c>
      <c r="L8" s="266">
        <v>974</v>
      </c>
      <c r="M8" s="266">
        <v>0</v>
      </c>
      <c r="N8" s="266">
        <v>753</v>
      </c>
      <c r="O8" s="266">
        <v>834</v>
      </c>
      <c r="P8" s="267">
        <v>778</v>
      </c>
      <c r="Q8" s="267">
        <v>800</v>
      </c>
      <c r="R8" s="267">
        <v>1869</v>
      </c>
      <c r="S8" s="267">
        <v>2</v>
      </c>
      <c r="T8" s="267">
        <v>1496</v>
      </c>
      <c r="U8" s="267">
        <v>1656</v>
      </c>
      <c r="V8" s="267">
        <v>1527</v>
      </c>
      <c r="W8" s="267">
        <v>1579</v>
      </c>
      <c r="X8" s="267">
        <v>655</v>
      </c>
      <c r="Y8" s="267">
        <v>1867</v>
      </c>
    </row>
    <row r="9" spans="1:26" x14ac:dyDescent="0.25">
      <c r="A9" s="268" t="s">
        <v>551</v>
      </c>
      <c r="B9" s="266" t="s">
        <v>109</v>
      </c>
      <c r="C9" s="266" t="s">
        <v>92</v>
      </c>
      <c r="D9" s="266" t="s">
        <v>49</v>
      </c>
      <c r="E9" s="266" t="s">
        <v>50</v>
      </c>
      <c r="F9" s="266">
        <v>550</v>
      </c>
      <c r="G9" s="266">
        <v>0</v>
      </c>
      <c r="H9" s="266">
        <v>389</v>
      </c>
      <c r="I9" s="266">
        <v>476</v>
      </c>
      <c r="J9" s="266">
        <v>402</v>
      </c>
      <c r="K9" s="266">
        <v>498</v>
      </c>
      <c r="L9" s="266">
        <v>739</v>
      </c>
      <c r="M9" s="266">
        <v>0</v>
      </c>
      <c r="N9" s="266">
        <v>547</v>
      </c>
      <c r="O9" s="266">
        <v>639</v>
      </c>
      <c r="P9" s="266">
        <v>566</v>
      </c>
      <c r="Q9" s="266">
        <v>603</v>
      </c>
      <c r="R9" s="266">
        <v>1476</v>
      </c>
      <c r="S9" s="266">
        <v>2</v>
      </c>
      <c r="T9" s="266">
        <v>1059</v>
      </c>
      <c r="U9" s="266">
        <v>1269</v>
      </c>
      <c r="V9" s="266">
        <v>1092</v>
      </c>
      <c r="W9" s="266">
        <v>1170</v>
      </c>
      <c r="X9" s="266">
        <v>550</v>
      </c>
      <c r="Y9" s="266">
        <v>1477</v>
      </c>
      <c r="Z9" s="3"/>
    </row>
    <row r="10" spans="1:26" x14ac:dyDescent="0.25">
      <c r="A10" s="268" t="s">
        <v>551</v>
      </c>
      <c r="B10" s="266" t="s">
        <v>106</v>
      </c>
      <c r="C10" s="266" t="s">
        <v>219</v>
      </c>
      <c r="D10" s="266" t="s">
        <v>49</v>
      </c>
      <c r="E10" s="266" t="s">
        <v>50</v>
      </c>
      <c r="F10" s="266">
        <v>60</v>
      </c>
      <c r="G10" s="266">
        <v>0</v>
      </c>
      <c r="H10" s="266">
        <v>34</v>
      </c>
      <c r="I10" s="266">
        <v>45</v>
      </c>
      <c r="J10" s="266">
        <v>35</v>
      </c>
      <c r="K10" s="266">
        <v>41</v>
      </c>
      <c r="L10" s="266">
        <v>82</v>
      </c>
      <c r="M10" s="266">
        <v>0</v>
      </c>
      <c r="N10" s="266">
        <v>56</v>
      </c>
      <c r="O10" s="266">
        <v>68</v>
      </c>
      <c r="P10" s="267">
        <v>56</v>
      </c>
      <c r="Q10" s="267">
        <v>56</v>
      </c>
      <c r="R10" s="267">
        <v>158</v>
      </c>
      <c r="S10" s="267">
        <v>0</v>
      </c>
      <c r="T10" s="267">
        <v>102</v>
      </c>
      <c r="U10" s="267">
        <v>127</v>
      </c>
      <c r="V10" s="267">
        <v>98</v>
      </c>
      <c r="W10" s="267">
        <v>99</v>
      </c>
      <c r="X10" s="267">
        <v>60</v>
      </c>
      <c r="Y10" s="267">
        <v>158</v>
      </c>
      <c r="Z10" s="3"/>
    </row>
    <row r="11" spans="1:26" x14ac:dyDescent="0.25">
      <c r="A11" s="268" t="s">
        <v>551</v>
      </c>
      <c r="B11" s="266" t="s">
        <v>104</v>
      </c>
      <c r="C11" s="266" t="s">
        <v>90</v>
      </c>
      <c r="D11" s="266" t="s">
        <v>49</v>
      </c>
      <c r="E11" s="266" t="s">
        <v>50</v>
      </c>
      <c r="F11" s="266">
        <v>960</v>
      </c>
      <c r="G11" s="266">
        <v>11</v>
      </c>
      <c r="H11" s="266">
        <v>660</v>
      </c>
      <c r="I11" s="266">
        <v>798</v>
      </c>
      <c r="J11" s="266">
        <v>682</v>
      </c>
      <c r="K11" s="266">
        <v>836</v>
      </c>
      <c r="L11" s="266">
        <v>1287</v>
      </c>
      <c r="M11" s="266">
        <v>5</v>
      </c>
      <c r="N11" s="266">
        <v>923</v>
      </c>
      <c r="O11" s="266">
        <v>1105</v>
      </c>
      <c r="P11" s="266">
        <v>939</v>
      </c>
      <c r="Q11" s="266">
        <v>988</v>
      </c>
      <c r="R11" s="266">
        <v>2571</v>
      </c>
      <c r="S11" s="266">
        <v>26</v>
      </c>
      <c r="T11" s="266">
        <v>1825</v>
      </c>
      <c r="U11" s="266">
        <v>2178</v>
      </c>
      <c r="V11" s="266">
        <v>1857</v>
      </c>
      <c r="W11" s="266">
        <v>1940</v>
      </c>
      <c r="X11" s="266">
        <v>958</v>
      </c>
      <c r="Y11" s="266">
        <v>2567</v>
      </c>
    </row>
    <row r="12" spans="1:26" x14ac:dyDescent="0.25">
      <c r="A12" s="107" t="s">
        <v>551</v>
      </c>
      <c r="B12" t="s">
        <v>124</v>
      </c>
      <c r="C12" t="s">
        <v>124</v>
      </c>
      <c r="D12" t="s">
        <v>49</v>
      </c>
      <c r="E12" t="s">
        <v>50</v>
      </c>
      <c r="F12">
        <v>4780</v>
      </c>
      <c r="G12">
        <v>16</v>
      </c>
      <c r="H12">
        <v>3583</v>
      </c>
      <c r="I12">
        <v>4151</v>
      </c>
      <c r="J12">
        <v>3914</v>
      </c>
      <c r="K12">
        <v>4502</v>
      </c>
      <c r="L12" s="115">
        <v>6468</v>
      </c>
      <c r="M12" s="115">
        <v>9</v>
      </c>
      <c r="N12">
        <v>4819</v>
      </c>
      <c r="O12">
        <v>5579</v>
      </c>
      <c r="P12" s="3">
        <v>5276</v>
      </c>
      <c r="Q12" s="3">
        <v>5278</v>
      </c>
      <c r="R12" s="3">
        <v>12847</v>
      </c>
      <c r="S12" s="3">
        <v>51</v>
      </c>
      <c r="T12">
        <v>9530</v>
      </c>
      <c r="U12">
        <v>11057</v>
      </c>
      <c r="V12" s="3">
        <v>10437</v>
      </c>
      <c r="W12" s="3">
        <v>10441</v>
      </c>
      <c r="X12">
        <v>4747</v>
      </c>
      <c r="Y12">
        <v>12758</v>
      </c>
    </row>
    <row r="13" spans="1:26" x14ac:dyDescent="0.2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2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2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2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2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2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2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2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25">
      <c r="A24" s="107"/>
    </row>
    <row r="25" spans="1:26" x14ac:dyDescent="0.25">
      <c r="A25" s="107"/>
      <c r="R25" s="3"/>
      <c r="S25" s="3"/>
      <c r="T25" s="3"/>
      <c r="U25" s="3"/>
      <c r="V25" s="3"/>
      <c r="W25" s="3"/>
      <c r="Y25" s="3"/>
    </row>
    <row r="26" spans="1:26" x14ac:dyDescent="0.25">
      <c r="A26" s="107"/>
      <c r="R26" s="3"/>
      <c r="S26" s="3"/>
      <c r="T26" s="3"/>
      <c r="U26" s="3"/>
      <c r="V26" s="3"/>
      <c r="W26" s="3"/>
      <c r="Y26" s="3"/>
    </row>
    <row r="27" spans="1:26" x14ac:dyDescent="0.25">
      <c r="A27" s="107"/>
    </row>
    <row r="28" spans="1:26" x14ac:dyDescent="0.25">
      <c r="A28" s="107"/>
      <c r="R28" s="3"/>
      <c r="S28" s="3"/>
      <c r="T28" s="3"/>
      <c r="U28" s="3"/>
      <c r="V28" s="3"/>
      <c r="W28" s="3"/>
      <c r="Y28" s="3"/>
    </row>
    <row r="29" spans="1:26" x14ac:dyDescent="0.25">
      <c r="A29" s="107"/>
      <c r="R29" s="3"/>
      <c r="S29" s="3"/>
      <c r="T29" s="3"/>
      <c r="U29" s="3"/>
      <c r="V29" s="3"/>
      <c r="W29" s="3"/>
      <c r="Y29" s="3"/>
    </row>
    <row r="30" spans="1:26" x14ac:dyDescent="0.25">
      <c r="A30" s="107"/>
      <c r="R30" s="3"/>
      <c r="S30" s="3"/>
      <c r="T30" s="3"/>
      <c r="U30" s="3"/>
      <c r="V30" s="3"/>
      <c r="W30" s="3"/>
      <c r="Y30" s="3"/>
    </row>
    <row r="31" spans="1:26" x14ac:dyDescent="0.25">
      <c r="A31" s="107"/>
      <c r="R31" s="3"/>
      <c r="S31" s="3"/>
      <c r="T31" s="3"/>
      <c r="U31" s="3"/>
      <c r="V31" s="3"/>
      <c r="W31" s="3"/>
      <c r="Y31" s="3"/>
    </row>
    <row r="32" spans="1:26" x14ac:dyDescent="0.25">
      <c r="A32" s="107"/>
    </row>
    <row r="33" spans="1:25" x14ac:dyDescent="0.2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K2" sqref="K2:K7"/>
    </sheetView>
  </sheetViews>
  <sheetFormatPr defaultRowHeight="15" x14ac:dyDescent="0.25"/>
  <cols>
    <col min="1" max="1" width="16" customWidth="1"/>
    <col min="2" max="2" width="17.5703125" customWidth="1"/>
    <col min="4" max="4" width="9.140625" customWidth="1"/>
  </cols>
  <sheetData>
    <row r="1" spans="1:12" x14ac:dyDescent="0.25">
      <c r="A1" s="299" t="s">
        <v>495</v>
      </c>
      <c r="B1" s="299" t="s">
        <v>540</v>
      </c>
      <c r="C1" s="299" t="s">
        <v>534</v>
      </c>
      <c r="D1" s="299" t="s">
        <v>526</v>
      </c>
      <c r="E1" s="299" t="s">
        <v>527</v>
      </c>
      <c r="F1" s="299" t="s">
        <v>541</v>
      </c>
      <c r="G1" s="299" t="s">
        <v>542</v>
      </c>
      <c r="H1" s="299" t="s">
        <v>543</v>
      </c>
      <c r="I1" s="299" t="s">
        <v>544</v>
      </c>
      <c r="J1" s="299" t="s">
        <v>457</v>
      </c>
      <c r="K1" s="299" t="s">
        <v>176</v>
      </c>
      <c r="L1" s="299" t="s">
        <v>545</v>
      </c>
    </row>
    <row r="2" spans="1:12" x14ac:dyDescent="0.25">
      <c r="A2" s="299" t="s">
        <v>55</v>
      </c>
      <c r="B2" s="299">
        <v>8</v>
      </c>
      <c r="C2" s="299">
        <v>57</v>
      </c>
      <c r="D2" s="299">
        <v>30</v>
      </c>
      <c r="E2" s="299">
        <v>8</v>
      </c>
      <c r="F2" s="299">
        <v>63</v>
      </c>
      <c r="G2" s="299">
        <v>0</v>
      </c>
      <c r="H2" s="299">
        <v>1</v>
      </c>
      <c r="I2" s="299">
        <v>0</v>
      </c>
      <c r="J2" s="299">
        <v>227</v>
      </c>
      <c r="K2" s="303">
        <v>1119</v>
      </c>
      <c r="L2" s="299">
        <v>20</v>
      </c>
    </row>
    <row r="3" spans="1:12" x14ac:dyDescent="0.25">
      <c r="A3" s="299" t="s">
        <v>65</v>
      </c>
      <c r="B3" s="299">
        <v>1</v>
      </c>
      <c r="C3" s="299">
        <v>25</v>
      </c>
      <c r="D3" s="299">
        <v>9</v>
      </c>
      <c r="E3" s="299">
        <v>11</v>
      </c>
      <c r="F3" s="299">
        <v>54</v>
      </c>
      <c r="G3" s="299">
        <v>0</v>
      </c>
      <c r="H3" s="299">
        <v>0</v>
      </c>
      <c r="I3" s="299">
        <v>0</v>
      </c>
      <c r="J3" s="299">
        <v>134</v>
      </c>
      <c r="K3" s="299">
        <v>817</v>
      </c>
      <c r="L3" s="299">
        <v>6</v>
      </c>
    </row>
    <row r="4" spans="1:12" x14ac:dyDescent="0.25">
      <c r="A4" s="299" t="s">
        <v>60</v>
      </c>
      <c r="B4" s="299">
        <v>55</v>
      </c>
      <c r="C4" s="299">
        <v>145</v>
      </c>
      <c r="D4" s="299">
        <v>98</v>
      </c>
      <c r="E4" s="299">
        <v>32</v>
      </c>
      <c r="F4" s="299">
        <v>308</v>
      </c>
      <c r="G4" s="299">
        <v>0</v>
      </c>
      <c r="H4" s="299">
        <v>7</v>
      </c>
      <c r="I4" s="299">
        <v>2</v>
      </c>
      <c r="J4" s="303">
        <v>967</v>
      </c>
      <c r="K4" s="303">
        <v>4531</v>
      </c>
      <c r="L4" s="299">
        <v>61</v>
      </c>
    </row>
    <row r="5" spans="1:12" x14ac:dyDescent="0.25">
      <c r="A5" s="299" t="s">
        <v>62</v>
      </c>
      <c r="B5" s="299">
        <v>23</v>
      </c>
      <c r="C5" s="299">
        <v>92</v>
      </c>
      <c r="D5" s="299">
        <v>86</v>
      </c>
      <c r="E5" s="299">
        <v>15</v>
      </c>
      <c r="F5" s="299">
        <v>161</v>
      </c>
      <c r="G5" s="299">
        <v>0</v>
      </c>
      <c r="H5" s="299">
        <v>1</v>
      </c>
      <c r="I5" s="299">
        <v>2</v>
      </c>
      <c r="J5" s="299">
        <v>567</v>
      </c>
      <c r="K5" s="303">
        <v>1683</v>
      </c>
      <c r="L5" s="299">
        <v>42</v>
      </c>
    </row>
    <row r="6" spans="1:12" x14ac:dyDescent="0.25">
      <c r="A6" s="299" t="s">
        <v>63</v>
      </c>
      <c r="B6" s="299">
        <v>4</v>
      </c>
      <c r="C6" s="299">
        <v>34</v>
      </c>
      <c r="D6" s="299">
        <v>15</v>
      </c>
      <c r="E6" s="299">
        <v>14</v>
      </c>
      <c r="F6" s="299">
        <v>64</v>
      </c>
      <c r="G6" s="299">
        <v>0</v>
      </c>
      <c r="H6" s="299">
        <v>1</v>
      </c>
      <c r="I6" s="299">
        <v>1</v>
      </c>
      <c r="J6" s="299">
        <v>182</v>
      </c>
      <c r="K6" s="303">
        <v>1376</v>
      </c>
      <c r="L6" s="299">
        <v>14</v>
      </c>
    </row>
    <row r="7" spans="1:12" x14ac:dyDescent="0.25">
      <c r="A7" s="299"/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</row>
    <row r="8" spans="1:12" x14ac:dyDescent="0.25">
      <c r="K8" s="293"/>
    </row>
    <row r="9" spans="1:12" x14ac:dyDescent="0.25">
      <c r="B9" s="29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5" x14ac:dyDescent="0.25"/>
  <cols>
    <col min="1" max="1" width="20.28515625" bestFit="1" customWidth="1"/>
    <col min="2" max="2" width="20.42578125" bestFit="1" customWidth="1"/>
    <col min="3" max="3" width="18.5703125" bestFit="1" customWidth="1"/>
  </cols>
  <sheetData>
    <row r="1" spans="1:3" x14ac:dyDescent="0.25">
      <c r="A1" t="s">
        <v>520</v>
      </c>
      <c r="B1" t="s">
        <v>521</v>
      </c>
      <c r="C1" t="s">
        <v>522</v>
      </c>
    </row>
    <row r="2" spans="1:3" x14ac:dyDescent="0.25">
      <c r="A2">
        <v>5.5111676808953696E-3</v>
      </c>
      <c r="C2">
        <v>4.5845697737417097E-3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201</v>
      </c>
      <c r="B1" t="s">
        <v>204</v>
      </c>
      <c r="C1" t="s">
        <v>205</v>
      </c>
    </row>
    <row r="2" spans="1:3" x14ac:dyDescent="0.25">
      <c r="A2">
        <v>2019</v>
      </c>
      <c r="B2">
        <v>47</v>
      </c>
      <c r="C2">
        <v>87</v>
      </c>
    </row>
    <row r="3" spans="1:3" x14ac:dyDescent="0.2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7"/>
  <sheetViews>
    <sheetView workbookViewId="0">
      <selection activeCell="L1" sqref="L1:L1048576"/>
    </sheetView>
  </sheetViews>
  <sheetFormatPr defaultRowHeight="15" x14ac:dyDescent="0.25"/>
  <cols>
    <col min="1" max="1" width="13.5703125" bestFit="1" customWidth="1"/>
    <col min="4" max="4" width="12.42578125" bestFit="1" customWidth="1"/>
    <col min="6" max="6" width="17.42578125" bestFit="1" customWidth="1"/>
    <col min="7" max="7" width="11.140625" bestFit="1" customWidth="1"/>
    <col min="8" max="8" width="16.140625" customWidth="1"/>
    <col min="9" max="9" width="10.28515625" customWidth="1"/>
    <col min="10" max="10" width="20" bestFit="1" customWidth="1"/>
    <col min="11" max="11" width="14.85546875" bestFit="1" customWidth="1"/>
    <col min="12" max="12" width="20.7109375" bestFit="1" customWidth="1"/>
    <col min="13" max="13" width="14.7109375" bestFit="1" customWidth="1"/>
    <col min="14" max="14" width="26.5703125" bestFit="1" customWidth="1"/>
    <col min="15" max="15" width="21.42578125" bestFit="1" customWidth="1"/>
    <col min="16" max="16" width="27.28515625" bestFit="1" customWidth="1"/>
    <col min="17" max="17" width="21.28515625" bestFit="1" customWidth="1"/>
  </cols>
  <sheetData>
    <row r="1" spans="1:17" x14ac:dyDescent="0.2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461</v>
      </c>
      <c r="K1" t="s">
        <v>462</v>
      </c>
      <c r="L1" t="s">
        <v>463</v>
      </c>
      <c r="M1" t="s">
        <v>464</v>
      </c>
      <c r="N1" t="s">
        <v>465</v>
      </c>
      <c r="O1" t="s">
        <v>466</v>
      </c>
      <c r="P1" t="s">
        <v>467</v>
      </c>
      <c r="Q1" t="s">
        <v>468</v>
      </c>
    </row>
    <row r="2" spans="1:17" x14ac:dyDescent="0.25">
      <c r="A2" t="s">
        <v>104</v>
      </c>
      <c r="B2" t="s">
        <v>51</v>
      </c>
      <c r="C2">
        <v>2023</v>
      </c>
      <c r="D2">
        <v>0</v>
      </c>
      <c r="E2" t="s">
        <v>50</v>
      </c>
      <c r="F2">
        <v>38</v>
      </c>
      <c r="G2">
        <v>32</v>
      </c>
      <c r="H2">
        <v>38</v>
      </c>
      <c r="I2">
        <v>28</v>
      </c>
      <c r="J2">
        <v>19</v>
      </c>
      <c r="K2">
        <v>15</v>
      </c>
      <c r="L2">
        <v>19</v>
      </c>
      <c r="M2">
        <v>12</v>
      </c>
      <c r="N2">
        <v>22</v>
      </c>
      <c r="O2">
        <v>18</v>
      </c>
      <c r="P2">
        <v>22</v>
      </c>
      <c r="Q2">
        <v>17</v>
      </c>
    </row>
    <row r="3" spans="1:17" x14ac:dyDescent="0.25">
      <c r="A3" t="s">
        <v>103</v>
      </c>
      <c r="B3" t="s">
        <v>51</v>
      </c>
      <c r="C3">
        <v>2023</v>
      </c>
      <c r="D3">
        <v>0</v>
      </c>
      <c r="E3" t="s">
        <v>50</v>
      </c>
      <c r="F3">
        <v>2338</v>
      </c>
      <c r="G3">
        <v>1636</v>
      </c>
      <c r="H3">
        <v>2322</v>
      </c>
      <c r="I3">
        <v>1463</v>
      </c>
      <c r="J3">
        <v>1190</v>
      </c>
      <c r="K3">
        <v>720</v>
      </c>
      <c r="L3">
        <v>1177</v>
      </c>
      <c r="M3">
        <v>610</v>
      </c>
      <c r="N3">
        <v>1318</v>
      </c>
      <c r="O3">
        <v>1010</v>
      </c>
      <c r="P3">
        <v>1315</v>
      </c>
      <c r="Q3">
        <v>921</v>
      </c>
    </row>
    <row r="4" spans="1:17" x14ac:dyDescent="0.25">
      <c r="A4" t="s">
        <v>105</v>
      </c>
      <c r="B4" t="s">
        <v>51</v>
      </c>
      <c r="C4">
        <v>2023</v>
      </c>
      <c r="D4">
        <v>0</v>
      </c>
      <c r="E4" t="s">
        <v>50</v>
      </c>
      <c r="F4">
        <v>1071</v>
      </c>
      <c r="G4">
        <v>936</v>
      </c>
      <c r="H4">
        <v>1071</v>
      </c>
      <c r="I4">
        <v>807</v>
      </c>
      <c r="J4">
        <v>539</v>
      </c>
      <c r="K4">
        <v>473</v>
      </c>
      <c r="L4">
        <v>539</v>
      </c>
      <c r="M4">
        <v>412</v>
      </c>
      <c r="N4">
        <v>611</v>
      </c>
      <c r="O4">
        <v>534</v>
      </c>
      <c r="P4">
        <v>611</v>
      </c>
      <c r="Q4">
        <v>461</v>
      </c>
    </row>
    <row r="5" spans="1:17" x14ac:dyDescent="0.25">
      <c r="A5" t="s">
        <v>71</v>
      </c>
      <c r="B5" t="s">
        <v>51</v>
      </c>
      <c r="C5">
        <v>2023</v>
      </c>
      <c r="D5">
        <v>0</v>
      </c>
      <c r="E5" t="s">
        <v>50</v>
      </c>
      <c r="F5">
        <v>42838</v>
      </c>
      <c r="G5">
        <v>33632</v>
      </c>
      <c r="H5">
        <v>42587</v>
      </c>
      <c r="I5">
        <v>30657</v>
      </c>
      <c r="J5">
        <v>21454</v>
      </c>
      <c r="K5">
        <v>16188</v>
      </c>
      <c r="L5">
        <v>21288</v>
      </c>
      <c r="M5">
        <v>14671</v>
      </c>
      <c r="N5">
        <v>24475</v>
      </c>
      <c r="O5">
        <v>19607</v>
      </c>
      <c r="P5">
        <v>24360</v>
      </c>
      <c r="Q5">
        <v>17931</v>
      </c>
    </row>
    <row r="6" spans="1:17" x14ac:dyDescent="0.25">
      <c r="A6" t="s">
        <v>106</v>
      </c>
      <c r="B6" t="s">
        <v>51</v>
      </c>
      <c r="C6">
        <v>2023</v>
      </c>
      <c r="D6">
        <v>0</v>
      </c>
      <c r="E6" t="s">
        <v>50</v>
      </c>
      <c r="F6">
        <v>5339</v>
      </c>
      <c r="G6">
        <v>4018</v>
      </c>
      <c r="H6">
        <v>5265</v>
      </c>
      <c r="I6">
        <v>3996</v>
      </c>
      <c r="J6">
        <v>2669</v>
      </c>
      <c r="K6">
        <v>1881</v>
      </c>
      <c r="L6">
        <v>2628</v>
      </c>
      <c r="M6">
        <v>1813</v>
      </c>
      <c r="N6">
        <v>3021</v>
      </c>
      <c r="O6">
        <v>2333</v>
      </c>
      <c r="P6">
        <v>2985</v>
      </c>
      <c r="Q6">
        <v>2400</v>
      </c>
    </row>
    <row r="7" spans="1:17" x14ac:dyDescent="0.25">
      <c r="A7" t="s">
        <v>109</v>
      </c>
      <c r="B7" t="s">
        <v>51</v>
      </c>
      <c r="C7">
        <v>2023</v>
      </c>
      <c r="D7">
        <v>0</v>
      </c>
      <c r="E7" t="s">
        <v>50</v>
      </c>
      <c r="F7">
        <v>2976</v>
      </c>
      <c r="G7">
        <v>2235</v>
      </c>
      <c r="H7">
        <v>2941</v>
      </c>
      <c r="I7">
        <v>2175</v>
      </c>
      <c r="J7">
        <v>1488</v>
      </c>
      <c r="K7">
        <v>1061</v>
      </c>
      <c r="L7">
        <v>1464</v>
      </c>
      <c r="M7">
        <v>1012</v>
      </c>
      <c r="N7">
        <v>1693</v>
      </c>
      <c r="O7">
        <v>1303</v>
      </c>
      <c r="P7">
        <v>1680</v>
      </c>
      <c r="Q7">
        <v>1282</v>
      </c>
    </row>
    <row r="8" spans="1:17" x14ac:dyDescent="0.25">
      <c r="A8" t="s">
        <v>108</v>
      </c>
      <c r="B8" t="s">
        <v>51</v>
      </c>
      <c r="C8">
        <v>2023</v>
      </c>
      <c r="D8">
        <v>0</v>
      </c>
      <c r="E8" t="s">
        <v>50</v>
      </c>
      <c r="F8">
        <v>3448</v>
      </c>
      <c r="G8">
        <v>2802</v>
      </c>
      <c r="H8">
        <v>3398</v>
      </c>
      <c r="I8">
        <v>2507</v>
      </c>
      <c r="J8">
        <v>1747</v>
      </c>
      <c r="K8">
        <v>1334</v>
      </c>
      <c r="L8">
        <v>1700</v>
      </c>
      <c r="M8">
        <v>1198</v>
      </c>
      <c r="N8">
        <v>1955</v>
      </c>
      <c r="O8">
        <v>1687</v>
      </c>
      <c r="P8">
        <v>1952</v>
      </c>
      <c r="Q8">
        <v>1499</v>
      </c>
    </row>
    <row r="9" spans="1:17" x14ac:dyDescent="0.25">
      <c r="A9" t="s">
        <v>107</v>
      </c>
      <c r="B9" t="s">
        <v>117</v>
      </c>
      <c r="C9">
        <v>2023</v>
      </c>
      <c r="D9">
        <v>0</v>
      </c>
      <c r="E9" t="s">
        <v>50</v>
      </c>
      <c r="F9">
        <v>633</v>
      </c>
      <c r="G9">
        <v>504</v>
      </c>
      <c r="H9">
        <v>631</v>
      </c>
      <c r="I9">
        <v>386</v>
      </c>
      <c r="J9">
        <v>314</v>
      </c>
      <c r="K9">
        <v>247</v>
      </c>
      <c r="L9">
        <v>314</v>
      </c>
      <c r="M9">
        <v>200</v>
      </c>
      <c r="N9">
        <v>367</v>
      </c>
      <c r="O9">
        <v>292</v>
      </c>
      <c r="P9">
        <v>365</v>
      </c>
      <c r="Q9">
        <v>215</v>
      </c>
    </row>
    <row r="10" spans="1:17" x14ac:dyDescent="0.25">
      <c r="B10" t="s">
        <v>51</v>
      </c>
      <c r="C10">
        <v>2023</v>
      </c>
      <c r="D10">
        <v>0</v>
      </c>
      <c r="E10" t="s">
        <v>50</v>
      </c>
      <c r="F10">
        <v>26263</v>
      </c>
      <c r="G10">
        <v>20392</v>
      </c>
      <c r="H10">
        <v>26110</v>
      </c>
      <c r="I10">
        <v>18569</v>
      </c>
      <c r="J10">
        <v>13159</v>
      </c>
      <c r="K10">
        <v>9783</v>
      </c>
      <c r="L10">
        <v>13055</v>
      </c>
      <c r="M10">
        <v>8750</v>
      </c>
      <c r="N10">
        <v>14990</v>
      </c>
      <c r="O10">
        <v>11936</v>
      </c>
      <c r="P10">
        <v>14935</v>
      </c>
      <c r="Q10">
        <v>10967</v>
      </c>
    </row>
    <row r="11" spans="1:17" x14ac:dyDescent="0.25">
      <c r="A11" t="s">
        <v>124</v>
      </c>
      <c r="B11" t="s">
        <v>51</v>
      </c>
      <c r="C11">
        <v>2023</v>
      </c>
      <c r="D11">
        <v>0</v>
      </c>
      <c r="E11" t="s">
        <v>50</v>
      </c>
      <c r="F11">
        <v>32418</v>
      </c>
      <c r="G11">
        <v>25403</v>
      </c>
      <c r="H11">
        <v>32143</v>
      </c>
      <c r="I11">
        <v>23450</v>
      </c>
      <c r="J11">
        <v>16261</v>
      </c>
      <c r="K11">
        <v>12136</v>
      </c>
      <c r="L11">
        <v>16074</v>
      </c>
      <c r="M11">
        <v>11178</v>
      </c>
      <c r="N11">
        <v>18472</v>
      </c>
      <c r="O11">
        <v>14848</v>
      </c>
      <c r="P11">
        <v>18355</v>
      </c>
      <c r="Q11">
        <v>13759</v>
      </c>
    </row>
    <row r="12" spans="1:17" x14ac:dyDescent="0.25">
      <c r="A12" t="s">
        <v>71</v>
      </c>
      <c r="B12" t="s">
        <v>51</v>
      </c>
      <c r="C12">
        <v>2023</v>
      </c>
      <c r="D12">
        <v>3</v>
      </c>
      <c r="E12" t="s">
        <v>50</v>
      </c>
      <c r="F12">
        <v>31074</v>
      </c>
      <c r="G12">
        <v>22831</v>
      </c>
      <c r="H12">
        <v>30519</v>
      </c>
      <c r="I12">
        <v>19788</v>
      </c>
      <c r="J12">
        <v>1645</v>
      </c>
      <c r="K12">
        <v>1296</v>
      </c>
      <c r="L12">
        <v>1643</v>
      </c>
      <c r="M12">
        <v>1181</v>
      </c>
      <c r="N12">
        <v>1611</v>
      </c>
      <c r="O12">
        <v>1140</v>
      </c>
      <c r="P12">
        <v>1611</v>
      </c>
      <c r="Q12">
        <v>986</v>
      </c>
    </row>
    <row r="13" spans="1:17" x14ac:dyDescent="0.25">
      <c r="A13" t="s">
        <v>107</v>
      </c>
      <c r="B13" t="s">
        <v>51</v>
      </c>
      <c r="C13">
        <v>2023</v>
      </c>
      <c r="D13">
        <v>3</v>
      </c>
      <c r="E13" t="s">
        <v>50</v>
      </c>
      <c r="F13">
        <v>35</v>
      </c>
      <c r="G13">
        <v>18</v>
      </c>
      <c r="H13">
        <v>34</v>
      </c>
      <c r="I13">
        <v>18</v>
      </c>
      <c r="J13">
        <v>2</v>
      </c>
      <c r="K13">
        <v>0</v>
      </c>
      <c r="L13">
        <v>2</v>
      </c>
      <c r="M13">
        <v>1</v>
      </c>
      <c r="N13">
        <v>1</v>
      </c>
      <c r="O13">
        <v>1</v>
      </c>
      <c r="P13">
        <v>1</v>
      </c>
      <c r="Q13">
        <v>0</v>
      </c>
    </row>
    <row r="14" spans="1:17" x14ac:dyDescent="0.25">
      <c r="A14" t="s">
        <v>105</v>
      </c>
      <c r="B14" t="s">
        <v>52</v>
      </c>
      <c r="C14">
        <v>2023</v>
      </c>
      <c r="D14">
        <v>3</v>
      </c>
      <c r="E14" t="s">
        <v>50</v>
      </c>
      <c r="F14">
        <v>545</v>
      </c>
      <c r="G14">
        <v>400</v>
      </c>
      <c r="H14">
        <v>544</v>
      </c>
      <c r="I14">
        <v>355</v>
      </c>
      <c r="J14">
        <v>30</v>
      </c>
      <c r="K14">
        <v>22</v>
      </c>
      <c r="L14">
        <v>30</v>
      </c>
      <c r="M14">
        <v>16</v>
      </c>
      <c r="N14">
        <v>27</v>
      </c>
      <c r="O14">
        <v>19</v>
      </c>
      <c r="P14">
        <v>27</v>
      </c>
      <c r="Q14">
        <v>18</v>
      </c>
    </row>
    <row r="15" spans="1:17" x14ac:dyDescent="0.25">
      <c r="A15" t="s">
        <v>105</v>
      </c>
      <c r="B15" t="s">
        <v>51</v>
      </c>
      <c r="C15">
        <v>2023</v>
      </c>
      <c r="D15">
        <v>3</v>
      </c>
      <c r="E15" t="s">
        <v>50</v>
      </c>
      <c r="F15">
        <v>548</v>
      </c>
      <c r="G15">
        <v>431</v>
      </c>
      <c r="H15">
        <v>546</v>
      </c>
      <c r="I15">
        <v>404</v>
      </c>
      <c r="J15">
        <v>29</v>
      </c>
      <c r="K15">
        <v>23</v>
      </c>
      <c r="L15">
        <v>28</v>
      </c>
      <c r="M15">
        <v>22</v>
      </c>
      <c r="N15">
        <v>28</v>
      </c>
      <c r="O15">
        <v>25</v>
      </c>
      <c r="P15">
        <v>28</v>
      </c>
      <c r="Q15">
        <v>22</v>
      </c>
    </row>
    <row r="16" spans="1:17" x14ac:dyDescent="0.25">
      <c r="A16" t="s">
        <v>71</v>
      </c>
      <c r="B16" t="s">
        <v>117</v>
      </c>
      <c r="C16">
        <v>2023</v>
      </c>
      <c r="D16">
        <v>3</v>
      </c>
      <c r="E16" t="s">
        <v>50</v>
      </c>
      <c r="F16">
        <v>5805</v>
      </c>
      <c r="G16">
        <v>4184</v>
      </c>
      <c r="H16">
        <v>5775</v>
      </c>
      <c r="I16">
        <v>3501</v>
      </c>
      <c r="J16">
        <v>339</v>
      </c>
      <c r="K16">
        <v>241</v>
      </c>
      <c r="L16">
        <v>339</v>
      </c>
      <c r="M16">
        <v>209</v>
      </c>
      <c r="N16">
        <v>288</v>
      </c>
      <c r="O16">
        <v>245</v>
      </c>
      <c r="P16">
        <v>287</v>
      </c>
      <c r="Q16">
        <v>233</v>
      </c>
    </row>
    <row r="17" spans="1:17" x14ac:dyDescent="0.25">
      <c r="A17" t="s">
        <v>109</v>
      </c>
      <c r="B17" t="s">
        <v>52</v>
      </c>
      <c r="C17">
        <v>2023</v>
      </c>
      <c r="D17">
        <v>3</v>
      </c>
      <c r="E17" t="s">
        <v>50</v>
      </c>
      <c r="F17">
        <v>927</v>
      </c>
      <c r="G17">
        <v>722</v>
      </c>
      <c r="H17">
        <v>902</v>
      </c>
      <c r="I17">
        <v>638</v>
      </c>
      <c r="J17">
        <v>48</v>
      </c>
      <c r="K17">
        <v>33</v>
      </c>
      <c r="L17">
        <v>48</v>
      </c>
      <c r="M17">
        <v>35</v>
      </c>
      <c r="N17">
        <v>32</v>
      </c>
      <c r="O17">
        <v>30</v>
      </c>
      <c r="P17">
        <v>32</v>
      </c>
      <c r="Q17">
        <v>27</v>
      </c>
    </row>
    <row r="18" spans="1:17" x14ac:dyDescent="0.25">
      <c r="A18" t="s">
        <v>108</v>
      </c>
      <c r="B18" t="s">
        <v>51</v>
      </c>
      <c r="C18">
        <v>2023</v>
      </c>
      <c r="D18">
        <v>3</v>
      </c>
      <c r="E18" t="s">
        <v>50</v>
      </c>
      <c r="F18">
        <v>4473</v>
      </c>
      <c r="G18">
        <v>3223</v>
      </c>
      <c r="H18">
        <v>4282</v>
      </c>
      <c r="I18">
        <v>2780</v>
      </c>
      <c r="J18">
        <v>244</v>
      </c>
      <c r="K18">
        <v>212</v>
      </c>
      <c r="L18">
        <v>244</v>
      </c>
      <c r="M18">
        <v>184</v>
      </c>
      <c r="N18">
        <v>239</v>
      </c>
      <c r="O18">
        <v>188</v>
      </c>
      <c r="P18">
        <v>239</v>
      </c>
      <c r="Q18">
        <v>165</v>
      </c>
    </row>
    <row r="19" spans="1:17" x14ac:dyDescent="0.25">
      <c r="A19" t="s">
        <v>71</v>
      </c>
      <c r="B19" t="s">
        <v>52</v>
      </c>
      <c r="C19">
        <v>2023</v>
      </c>
      <c r="D19">
        <v>3</v>
      </c>
      <c r="E19" t="s">
        <v>50</v>
      </c>
      <c r="F19">
        <v>21438</v>
      </c>
      <c r="G19">
        <v>15936</v>
      </c>
      <c r="H19">
        <v>21062</v>
      </c>
      <c r="I19">
        <v>14643</v>
      </c>
      <c r="J19">
        <v>1141</v>
      </c>
      <c r="K19">
        <v>889</v>
      </c>
      <c r="L19">
        <v>1141</v>
      </c>
      <c r="M19">
        <v>874</v>
      </c>
      <c r="N19">
        <v>933</v>
      </c>
      <c r="O19">
        <v>708</v>
      </c>
      <c r="P19">
        <v>933</v>
      </c>
      <c r="Q19">
        <v>647</v>
      </c>
    </row>
    <row r="20" spans="1:17" x14ac:dyDescent="0.25">
      <c r="A20" t="s">
        <v>106</v>
      </c>
      <c r="B20" t="s">
        <v>51</v>
      </c>
      <c r="C20">
        <v>2023</v>
      </c>
      <c r="D20">
        <v>3</v>
      </c>
      <c r="E20" t="s">
        <v>50</v>
      </c>
      <c r="F20">
        <v>1990</v>
      </c>
      <c r="G20">
        <v>1558</v>
      </c>
      <c r="H20">
        <v>1949</v>
      </c>
      <c r="I20">
        <v>1318</v>
      </c>
      <c r="J20">
        <v>96</v>
      </c>
      <c r="K20">
        <v>87</v>
      </c>
      <c r="L20">
        <v>96</v>
      </c>
      <c r="M20">
        <v>74</v>
      </c>
      <c r="N20">
        <v>82</v>
      </c>
      <c r="O20">
        <v>73</v>
      </c>
      <c r="P20">
        <v>82</v>
      </c>
      <c r="Q20">
        <v>61</v>
      </c>
    </row>
    <row r="21" spans="1:17" x14ac:dyDescent="0.25">
      <c r="A21" t="s">
        <v>103</v>
      </c>
      <c r="B21" t="s">
        <v>52</v>
      </c>
      <c r="C21">
        <v>2023</v>
      </c>
      <c r="D21">
        <v>3</v>
      </c>
      <c r="E21" t="s">
        <v>50</v>
      </c>
      <c r="F21">
        <v>118</v>
      </c>
      <c r="G21">
        <v>58</v>
      </c>
      <c r="H21">
        <v>114</v>
      </c>
      <c r="I21">
        <v>54</v>
      </c>
      <c r="J21">
        <v>5</v>
      </c>
      <c r="K21">
        <v>3</v>
      </c>
      <c r="L21">
        <v>5</v>
      </c>
      <c r="M21">
        <v>2</v>
      </c>
      <c r="N21">
        <v>9</v>
      </c>
      <c r="O21">
        <v>6</v>
      </c>
      <c r="P21">
        <v>9</v>
      </c>
      <c r="Q21">
        <v>7</v>
      </c>
    </row>
    <row r="22" spans="1:17" x14ac:dyDescent="0.25">
      <c r="A22" t="s">
        <v>124</v>
      </c>
      <c r="B22" t="s">
        <v>52</v>
      </c>
      <c r="C22">
        <v>2023</v>
      </c>
      <c r="D22">
        <v>3</v>
      </c>
      <c r="E22" t="s">
        <v>50</v>
      </c>
      <c r="F22">
        <v>15089</v>
      </c>
      <c r="G22">
        <v>11323</v>
      </c>
      <c r="H22">
        <v>14759</v>
      </c>
      <c r="I22">
        <v>10428</v>
      </c>
      <c r="J22">
        <v>798</v>
      </c>
      <c r="K22">
        <v>633</v>
      </c>
      <c r="L22">
        <v>798</v>
      </c>
      <c r="M22">
        <v>613</v>
      </c>
      <c r="N22">
        <v>624</v>
      </c>
      <c r="O22">
        <v>484</v>
      </c>
      <c r="P22">
        <v>624</v>
      </c>
      <c r="Q22">
        <v>451</v>
      </c>
    </row>
    <row r="23" spans="1:17" x14ac:dyDescent="0.25">
      <c r="B23" t="s">
        <v>51</v>
      </c>
      <c r="C23">
        <v>2023</v>
      </c>
      <c r="D23">
        <v>3</v>
      </c>
      <c r="E23" t="s">
        <v>50</v>
      </c>
      <c r="F23">
        <v>18969</v>
      </c>
      <c r="G23">
        <v>14008</v>
      </c>
      <c r="H23">
        <v>18608</v>
      </c>
      <c r="I23">
        <v>12105</v>
      </c>
      <c r="J23">
        <v>1009</v>
      </c>
      <c r="K23">
        <v>849</v>
      </c>
      <c r="L23">
        <v>1009</v>
      </c>
      <c r="M23">
        <v>721</v>
      </c>
      <c r="N23">
        <v>992</v>
      </c>
      <c r="O23">
        <v>713</v>
      </c>
      <c r="P23">
        <v>992</v>
      </c>
      <c r="Q23">
        <v>589</v>
      </c>
    </row>
    <row r="24" spans="1:17" x14ac:dyDescent="0.25">
      <c r="B24" t="s">
        <v>52</v>
      </c>
      <c r="C24">
        <v>2023</v>
      </c>
      <c r="D24">
        <v>3</v>
      </c>
      <c r="E24" t="s">
        <v>50</v>
      </c>
      <c r="F24">
        <v>13124</v>
      </c>
      <c r="G24">
        <v>9427</v>
      </c>
      <c r="H24">
        <v>12886</v>
      </c>
      <c r="I24">
        <v>8546</v>
      </c>
      <c r="J24">
        <v>685</v>
      </c>
      <c r="K24">
        <v>491</v>
      </c>
      <c r="L24">
        <v>685</v>
      </c>
      <c r="M24">
        <v>479</v>
      </c>
      <c r="N24">
        <v>554</v>
      </c>
      <c r="O24">
        <v>417</v>
      </c>
      <c r="P24">
        <v>554</v>
      </c>
      <c r="Q24">
        <v>353</v>
      </c>
    </row>
    <row r="25" spans="1:17" x14ac:dyDescent="0.25">
      <c r="A25" t="s">
        <v>124</v>
      </c>
      <c r="B25" t="s">
        <v>117</v>
      </c>
      <c r="C25">
        <v>2023</v>
      </c>
      <c r="D25">
        <v>3</v>
      </c>
      <c r="E25" t="s">
        <v>50</v>
      </c>
      <c r="F25">
        <v>3555</v>
      </c>
      <c r="G25">
        <v>2529</v>
      </c>
      <c r="H25">
        <v>3531</v>
      </c>
      <c r="I25">
        <v>2034</v>
      </c>
      <c r="J25">
        <v>207</v>
      </c>
      <c r="K25">
        <v>146</v>
      </c>
      <c r="L25">
        <v>207</v>
      </c>
      <c r="M25">
        <v>123</v>
      </c>
      <c r="N25">
        <v>168</v>
      </c>
      <c r="O25">
        <v>144</v>
      </c>
      <c r="P25">
        <v>167</v>
      </c>
      <c r="Q25">
        <v>135</v>
      </c>
    </row>
    <row r="26" spans="1:17" x14ac:dyDescent="0.25">
      <c r="A26" t="s">
        <v>124</v>
      </c>
      <c r="B26" t="s">
        <v>51</v>
      </c>
      <c r="C26">
        <v>2023</v>
      </c>
      <c r="D26">
        <v>3</v>
      </c>
      <c r="E26" t="s">
        <v>50</v>
      </c>
      <c r="F26">
        <v>25191</v>
      </c>
      <c r="G26">
        <v>18451</v>
      </c>
      <c r="H26">
        <v>24695</v>
      </c>
      <c r="I26">
        <v>16031</v>
      </c>
      <c r="J26">
        <v>1327</v>
      </c>
      <c r="K26">
        <v>1034</v>
      </c>
      <c r="L26">
        <v>1324</v>
      </c>
      <c r="M26">
        <v>963</v>
      </c>
      <c r="N26">
        <v>1246</v>
      </c>
      <c r="O26">
        <v>900</v>
      </c>
      <c r="P26">
        <v>1246</v>
      </c>
      <c r="Q26">
        <v>794</v>
      </c>
    </row>
    <row r="27" spans="1:17" x14ac:dyDescent="0.25">
      <c r="B27" t="s">
        <v>117</v>
      </c>
      <c r="C27">
        <v>2023</v>
      </c>
      <c r="D27">
        <v>3</v>
      </c>
      <c r="E27" t="s">
        <v>50</v>
      </c>
      <c r="F27">
        <v>3411</v>
      </c>
      <c r="G27">
        <v>2309</v>
      </c>
      <c r="H27">
        <v>3377</v>
      </c>
      <c r="I27">
        <v>2034</v>
      </c>
      <c r="J27">
        <v>196</v>
      </c>
      <c r="K27">
        <v>120</v>
      </c>
      <c r="L27">
        <v>195</v>
      </c>
      <c r="M27">
        <v>104</v>
      </c>
      <c r="N27">
        <v>173</v>
      </c>
      <c r="O27">
        <v>148</v>
      </c>
      <c r="P27">
        <v>173</v>
      </c>
      <c r="Q27">
        <v>143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276" t="s">
        <v>111</v>
      </c>
      <c r="B1" s="276" t="s">
        <v>450</v>
      </c>
    </row>
    <row r="2" spans="1:3" x14ac:dyDescent="0.25">
      <c r="A2" s="291" t="s">
        <v>451</v>
      </c>
      <c r="B2" s="291">
        <v>1.87484707989353E-2</v>
      </c>
      <c r="C2" s="128"/>
    </row>
    <row r="3" spans="1:3" x14ac:dyDescent="0.25">
      <c r="A3" s="291" t="s">
        <v>452</v>
      </c>
      <c r="B3" s="291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7" bestFit="1" customWidth="1"/>
    <col min="3" max="3" width="15" bestFit="1" customWidth="1"/>
  </cols>
  <sheetData>
    <row r="1" spans="1:3" x14ac:dyDescent="0.25">
      <c r="A1" t="s">
        <v>500</v>
      </c>
      <c r="B1" t="s">
        <v>204</v>
      </c>
      <c r="C1" t="s">
        <v>205</v>
      </c>
    </row>
    <row r="2" spans="1:3" x14ac:dyDescent="0.25">
      <c r="A2" t="s">
        <v>203</v>
      </c>
      <c r="B2">
        <v>1</v>
      </c>
      <c r="C2">
        <v>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>
        <v>15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255"/>
  <sheetViews>
    <sheetView zoomScaleNormal="100" workbookViewId="0">
      <selection activeCell="B159" sqref="B159"/>
    </sheetView>
  </sheetViews>
  <sheetFormatPr defaultRowHeight="15" x14ac:dyDescent="0.25"/>
  <sheetData>
    <row r="1" spans="1:26" x14ac:dyDescent="0.25">
      <c r="A1" s="269" t="s">
        <v>502</v>
      </c>
      <c r="B1" s="269" t="s">
        <v>503</v>
      </c>
      <c r="C1" s="269" t="s">
        <v>504</v>
      </c>
      <c r="D1" s="269" t="s">
        <v>194</v>
      </c>
      <c r="E1" s="269" t="s">
        <v>197</v>
      </c>
      <c r="F1" s="269" t="s">
        <v>206</v>
      </c>
      <c r="G1" s="269" t="s">
        <v>448</v>
      </c>
      <c r="H1" s="269" t="s">
        <v>207</v>
      </c>
      <c r="I1" s="269" t="s">
        <v>208</v>
      </c>
      <c r="J1" s="269" t="s">
        <v>209</v>
      </c>
      <c r="K1" s="269" t="s">
        <v>210</v>
      </c>
      <c r="L1" s="269" t="s">
        <v>211</v>
      </c>
      <c r="M1" s="269" t="s">
        <v>446</v>
      </c>
      <c r="N1" s="269" t="s">
        <v>212</v>
      </c>
      <c r="O1" s="269" t="s">
        <v>213</v>
      </c>
      <c r="P1" s="269" t="s">
        <v>214</v>
      </c>
      <c r="Q1" s="269" t="s">
        <v>215</v>
      </c>
      <c r="R1" s="269" t="s">
        <v>221</v>
      </c>
      <c r="S1" s="269" t="s">
        <v>222</v>
      </c>
      <c r="T1" s="269" t="s">
        <v>223</v>
      </c>
      <c r="U1" s="269" t="s">
        <v>224</v>
      </c>
      <c r="V1" s="269" t="s">
        <v>225</v>
      </c>
      <c r="W1" s="269" t="s">
        <v>226</v>
      </c>
      <c r="X1" s="269" t="s">
        <v>216</v>
      </c>
      <c r="Y1" s="269" t="s">
        <v>217</v>
      </c>
      <c r="Z1" s="269" t="s">
        <v>227</v>
      </c>
    </row>
    <row r="2" spans="1:26" x14ac:dyDescent="0.25">
      <c r="A2" s="271" t="s">
        <v>551</v>
      </c>
      <c r="B2" s="269" t="s">
        <v>168</v>
      </c>
      <c r="C2" s="269" t="s">
        <v>321</v>
      </c>
      <c r="D2" s="269" t="s">
        <v>49</v>
      </c>
      <c r="E2" s="269" t="s">
        <v>50</v>
      </c>
      <c r="F2" s="269">
        <v>24</v>
      </c>
      <c r="G2" s="269">
        <v>0</v>
      </c>
      <c r="H2" s="269">
        <v>18</v>
      </c>
      <c r="I2" s="269">
        <v>24</v>
      </c>
      <c r="J2" s="269">
        <v>23</v>
      </c>
      <c r="K2" s="269">
        <v>23</v>
      </c>
      <c r="L2" s="269">
        <v>64</v>
      </c>
      <c r="M2" s="269">
        <v>0</v>
      </c>
      <c r="N2" s="269">
        <v>41</v>
      </c>
      <c r="O2" s="270">
        <v>55</v>
      </c>
      <c r="P2" s="270">
        <v>56</v>
      </c>
      <c r="Q2" s="270">
        <v>56</v>
      </c>
      <c r="R2" s="270">
        <v>1278</v>
      </c>
      <c r="S2" s="270">
        <v>1268</v>
      </c>
      <c r="T2" s="270">
        <v>780</v>
      </c>
      <c r="U2" s="270">
        <v>1060</v>
      </c>
      <c r="V2" s="270">
        <v>1027</v>
      </c>
      <c r="W2" s="270">
        <v>1027</v>
      </c>
      <c r="X2" s="270">
        <v>24</v>
      </c>
      <c r="Y2" s="269">
        <v>64</v>
      </c>
      <c r="Z2" s="269">
        <v>1279</v>
      </c>
    </row>
    <row r="3" spans="1:26" x14ac:dyDescent="0.25">
      <c r="A3" s="271" t="s">
        <v>551</v>
      </c>
      <c r="B3" s="269" t="s">
        <v>168</v>
      </c>
      <c r="C3" s="269" t="s">
        <v>247</v>
      </c>
      <c r="D3" s="269" t="s">
        <v>49</v>
      </c>
      <c r="E3" s="269" t="s">
        <v>50</v>
      </c>
      <c r="F3" s="269">
        <v>0</v>
      </c>
      <c r="G3" s="269">
        <v>0</v>
      </c>
      <c r="H3" s="269">
        <v>0</v>
      </c>
      <c r="I3" s="269">
        <v>0</v>
      </c>
      <c r="J3" s="269">
        <v>0</v>
      </c>
      <c r="K3" s="269">
        <v>0</v>
      </c>
      <c r="L3" s="269">
        <v>0</v>
      </c>
      <c r="M3" s="269">
        <v>0</v>
      </c>
      <c r="N3" s="269">
        <v>0</v>
      </c>
      <c r="O3" s="270">
        <v>0</v>
      </c>
      <c r="P3" s="270">
        <v>0</v>
      </c>
      <c r="Q3" s="270">
        <v>0</v>
      </c>
      <c r="R3" s="270">
        <v>513</v>
      </c>
      <c r="S3" s="270">
        <v>503</v>
      </c>
      <c r="T3" s="270">
        <v>257</v>
      </c>
      <c r="U3" s="270">
        <v>363</v>
      </c>
      <c r="V3" s="270">
        <v>338</v>
      </c>
      <c r="W3" s="270">
        <v>338</v>
      </c>
      <c r="X3" s="270">
        <v>0</v>
      </c>
      <c r="Y3" s="269">
        <v>0</v>
      </c>
      <c r="Z3" s="269">
        <v>512</v>
      </c>
    </row>
    <row r="4" spans="1:26" x14ac:dyDescent="0.25">
      <c r="A4" s="271" t="s">
        <v>551</v>
      </c>
      <c r="B4" s="269" t="s">
        <v>168</v>
      </c>
      <c r="C4" s="269" t="s">
        <v>312</v>
      </c>
      <c r="D4" s="269" t="s">
        <v>49</v>
      </c>
      <c r="E4" s="269" t="s">
        <v>50</v>
      </c>
      <c r="F4" s="269">
        <v>29</v>
      </c>
      <c r="G4" s="269">
        <v>0</v>
      </c>
      <c r="H4" s="269">
        <v>20</v>
      </c>
      <c r="I4" s="269">
        <v>24</v>
      </c>
      <c r="J4" s="269">
        <v>25</v>
      </c>
      <c r="K4" s="269">
        <v>25</v>
      </c>
      <c r="L4" s="269">
        <v>75</v>
      </c>
      <c r="M4" s="269">
        <v>0</v>
      </c>
      <c r="N4" s="269">
        <v>55</v>
      </c>
      <c r="O4" s="269">
        <v>66</v>
      </c>
      <c r="P4" s="269">
        <v>68</v>
      </c>
      <c r="Q4" s="269">
        <v>68</v>
      </c>
      <c r="R4" s="269">
        <v>1507</v>
      </c>
      <c r="S4" s="269">
        <v>1489</v>
      </c>
      <c r="T4" s="269">
        <v>926</v>
      </c>
      <c r="U4" s="269">
        <v>1164</v>
      </c>
      <c r="V4" s="269">
        <v>1185</v>
      </c>
      <c r="W4" s="269">
        <v>1185</v>
      </c>
      <c r="X4" s="269">
        <v>28</v>
      </c>
      <c r="Y4" s="269">
        <v>74</v>
      </c>
      <c r="Z4" s="269">
        <v>1507</v>
      </c>
    </row>
    <row r="5" spans="1:26" x14ac:dyDescent="0.25">
      <c r="A5" s="271" t="s">
        <v>551</v>
      </c>
      <c r="B5" s="269" t="s">
        <v>167</v>
      </c>
      <c r="C5" s="269" t="s">
        <v>438</v>
      </c>
      <c r="D5" s="269" t="s">
        <v>49</v>
      </c>
      <c r="E5" s="269" t="s">
        <v>50</v>
      </c>
      <c r="F5" s="269">
        <v>1</v>
      </c>
      <c r="G5" s="269">
        <v>0</v>
      </c>
      <c r="H5" s="269">
        <v>0</v>
      </c>
      <c r="I5" s="269">
        <v>1</v>
      </c>
      <c r="J5" s="269">
        <v>1</v>
      </c>
      <c r="K5" s="269">
        <v>1</v>
      </c>
      <c r="L5" s="269">
        <v>3</v>
      </c>
      <c r="M5" s="269">
        <v>0</v>
      </c>
      <c r="N5" s="269">
        <v>0</v>
      </c>
      <c r="O5" s="270">
        <v>3</v>
      </c>
      <c r="P5" s="270">
        <v>3</v>
      </c>
      <c r="Q5" s="270">
        <v>3</v>
      </c>
      <c r="R5" s="270">
        <v>24</v>
      </c>
      <c r="S5" s="270">
        <v>24</v>
      </c>
      <c r="T5" s="270">
        <v>7</v>
      </c>
      <c r="U5" s="270">
        <v>19</v>
      </c>
      <c r="V5" s="270">
        <v>21</v>
      </c>
      <c r="W5" s="270">
        <v>21</v>
      </c>
      <c r="X5" s="270">
        <v>1</v>
      </c>
      <c r="Y5" s="269">
        <v>3</v>
      </c>
      <c r="Z5" s="269">
        <v>24</v>
      </c>
    </row>
    <row r="6" spans="1:26" x14ac:dyDescent="0.25">
      <c r="A6" s="271" t="s">
        <v>551</v>
      </c>
      <c r="B6" s="269" t="s">
        <v>168</v>
      </c>
      <c r="C6" s="269" t="s">
        <v>284</v>
      </c>
      <c r="D6" s="269" t="s">
        <v>49</v>
      </c>
      <c r="E6" s="269" t="s">
        <v>50</v>
      </c>
      <c r="F6" s="269">
        <v>12</v>
      </c>
      <c r="G6" s="269">
        <v>0</v>
      </c>
      <c r="H6" s="269">
        <v>8</v>
      </c>
      <c r="I6" s="269">
        <v>11</v>
      </c>
      <c r="J6" s="269">
        <v>11</v>
      </c>
      <c r="K6" s="269">
        <v>11</v>
      </c>
      <c r="L6" s="269">
        <v>32</v>
      </c>
      <c r="M6" s="269">
        <v>0</v>
      </c>
      <c r="N6" s="269">
        <v>20</v>
      </c>
      <c r="O6" s="269">
        <v>26</v>
      </c>
      <c r="P6" s="269">
        <v>26</v>
      </c>
      <c r="Q6" s="269">
        <v>26</v>
      </c>
      <c r="R6" s="269">
        <v>832</v>
      </c>
      <c r="S6" s="269">
        <v>817</v>
      </c>
      <c r="T6" s="269">
        <v>560</v>
      </c>
      <c r="U6" s="269">
        <v>687</v>
      </c>
      <c r="V6" s="269">
        <v>714</v>
      </c>
      <c r="W6" s="269">
        <v>714</v>
      </c>
      <c r="X6" s="269">
        <v>12</v>
      </c>
      <c r="Y6" s="269">
        <v>32</v>
      </c>
      <c r="Z6" s="269">
        <v>833</v>
      </c>
    </row>
    <row r="7" spans="1:26" x14ac:dyDescent="0.25">
      <c r="A7" s="271" t="s">
        <v>551</v>
      </c>
      <c r="B7" s="269" t="s">
        <v>168</v>
      </c>
      <c r="C7" s="269" t="s">
        <v>267</v>
      </c>
      <c r="D7" s="269" t="s">
        <v>49</v>
      </c>
      <c r="E7" s="269" t="s">
        <v>50</v>
      </c>
      <c r="F7" s="269">
        <v>12</v>
      </c>
      <c r="G7" s="269">
        <v>3</v>
      </c>
      <c r="H7" s="269">
        <v>5</v>
      </c>
      <c r="I7" s="269">
        <v>6</v>
      </c>
      <c r="J7" s="269">
        <v>8</v>
      </c>
      <c r="K7" s="269">
        <v>8</v>
      </c>
      <c r="L7" s="269">
        <v>32</v>
      </c>
      <c r="M7" s="269">
        <v>3</v>
      </c>
      <c r="N7" s="269">
        <v>20</v>
      </c>
      <c r="O7" s="270">
        <v>25</v>
      </c>
      <c r="P7" s="270">
        <v>26</v>
      </c>
      <c r="Q7" s="270">
        <v>26</v>
      </c>
      <c r="R7" s="270">
        <v>580</v>
      </c>
      <c r="S7" s="270">
        <v>569</v>
      </c>
      <c r="T7" s="270">
        <v>367</v>
      </c>
      <c r="U7" s="270">
        <v>459</v>
      </c>
      <c r="V7" s="270">
        <v>478</v>
      </c>
      <c r="W7" s="270">
        <v>478</v>
      </c>
      <c r="X7" s="270">
        <v>12</v>
      </c>
      <c r="Y7" s="269">
        <v>32</v>
      </c>
      <c r="Z7" s="269">
        <v>580</v>
      </c>
    </row>
    <row r="8" spans="1:26" x14ac:dyDescent="0.25">
      <c r="A8" s="271" t="s">
        <v>551</v>
      </c>
      <c r="B8" s="269" t="s">
        <v>168</v>
      </c>
      <c r="C8" s="269" t="s">
        <v>365</v>
      </c>
      <c r="D8" s="269" t="s">
        <v>49</v>
      </c>
      <c r="E8" s="269" t="s">
        <v>50</v>
      </c>
      <c r="F8" s="269">
        <v>18</v>
      </c>
      <c r="G8" s="269">
        <v>0</v>
      </c>
      <c r="H8" s="269">
        <v>16</v>
      </c>
      <c r="I8" s="269">
        <v>17</v>
      </c>
      <c r="J8" s="269">
        <v>16</v>
      </c>
      <c r="K8" s="269">
        <v>16</v>
      </c>
      <c r="L8" s="269">
        <v>48</v>
      </c>
      <c r="M8" s="269">
        <v>0</v>
      </c>
      <c r="N8" s="269">
        <v>39</v>
      </c>
      <c r="O8" s="270">
        <v>45</v>
      </c>
      <c r="P8" s="270">
        <v>43</v>
      </c>
      <c r="Q8" s="270">
        <v>43</v>
      </c>
      <c r="R8" s="270">
        <v>1019</v>
      </c>
      <c r="S8" s="270">
        <v>1015</v>
      </c>
      <c r="T8" s="270">
        <v>732</v>
      </c>
      <c r="U8" s="270">
        <v>895</v>
      </c>
      <c r="V8" s="270">
        <v>870</v>
      </c>
      <c r="W8" s="270">
        <v>870</v>
      </c>
      <c r="X8" s="270">
        <v>18</v>
      </c>
      <c r="Y8" s="269">
        <v>48</v>
      </c>
      <c r="Z8" s="269">
        <v>1019</v>
      </c>
    </row>
    <row r="9" spans="1:26" x14ac:dyDescent="0.25">
      <c r="A9" s="271" t="s">
        <v>551</v>
      </c>
      <c r="B9" s="269" t="s">
        <v>168</v>
      </c>
      <c r="C9" s="269" t="s">
        <v>313</v>
      </c>
      <c r="D9" s="269" t="s">
        <v>49</v>
      </c>
      <c r="E9" s="269" t="s">
        <v>50</v>
      </c>
      <c r="F9" s="269">
        <v>10</v>
      </c>
      <c r="G9" s="269">
        <v>0</v>
      </c>
      <c r="H9" s="269">
        <v>7</v>
      </c>
      <c r="I9" s="269">
        <v>8</v>
      </c>
      <c r="J9" s="269">
        <v>9</v>
      </c>
      <c r="K9" s="269">
        <v>9</v>
      </c>
      <c r="L9" s="269">
        <v>27</v>
      </c>
      <c r="M9" s="269">
        <v>0</v>
      </c>
      <c r="N9" s="269">
        <v>22</v>
      </c>
      <c r="O9" s="269">
        <v>24</v>
      </c>
      <c r="P9" s="269">
        <v>23</v>
      </c>
      <c r="Q9" s="269">
        <v>23</v>
      </c>
      <c r="R9" s="269">
        <v>659</v>
      </c>
      <c r="S9" s="269">
        <v>653</v>
      </c>
      <c r="T9" s="269">
        <v>498</v>
      </c>
      <c r="U9" s="269">
        <v>535</v>
      </c>
      <c r="V9" s="269">
        <v>514</v>
      </c>
      <c r="W9" s="269">
        <v>514</v>
      </c>
      <c r="X9" s="269">
        <v>10</v>
      </c>
      <c r="Y9" s="269">
        <v>27</v>
      </c>
      <c r="Z9" s="269">
        <v>660</v>
      </c>
    </row>
    <row r="10" spans="1:26" x14ac:dyDescent="0.25">
      <c r="A10" s="271" t="s">
        <v>551</v>
      </c>
      <c r="B10" s="269" t="s">
        <v>168</v>
      </c>
      <c r="C10" s="269" t="s">
        <v>412</v>
      </c>
      <c r="D10" s="269" t="s">
        <v>49</v>
      </c>
      <c r="E10" s="269" t="s">
        <v>50</v>
      </c>
      <c r="F10" s="269">
        <v>8</v>
      </c>
      <c r="G10" s="269">
        <v>0</v>
      </c>
      <c r="H10" s="269">
        <v>6</v>
      </c>
      <c r="I10" s="269">
        <v>8</v>
      </c>
      <c r="J10" s="269">
        <v>7</v>
      </c>
      <c r="K10" s="269">
        <v>7</v>
      </c>
      <c r="L10" s="269">
        <v>21</v>
      </c>
      <c r="M10" s="269">
        <v>0</v>
      </c>
      <c r="N10" s="269">
        <v>13</v>
      </c>
      <c r="O10" s="270">
        <v>19</v>
      </c>
      <c r="P10" s="270">
        <v>18</v>
      </c>
      <c r="Q10" s="270">
        <v>18</v>
      </c>
      <c r="R10" s="270">
        <v>414</v>
      </c>
      <c r="S10" s="270">
        <v>403</v>
      </c>
      <c r="T10" s="270">
        <v>273</v>
      </c>
      <c r="U10" s="270">
        <v>338</v>
      </c>
      <c r="V10" s="270">
        <v>354</v>
      </c>
      <c r="W10" s="270">
        <v>354</v>
      </c>
      <c r="X10" s="270">
        <v>8</v>
      </c>
      <c r="Y10" s="269">
        <v>21</v>
      </c>
      <c r="Z10" s="269">
        <v>414</v>
      </c>
    </row>
    <row r="11" spans="1:26" x14ac:dyDescent="0.25">
      <c r="A11" s="271" t="s">
        <v>551</v>
      </c>
      <c r="B11" s="269" t="s">
        <v>168</v>
      </c>
      <c r="C11" s="269" t="s">
        <v>238</v>
      </c>
      <c r="D11" s="269" t="s">
        <v>49</v>
      </c>
      <c r="E11" s="269" t="s">
        <v>50</v>
      </c>
      <c r="F11" s="269">
        <v>21</v>
      </c>
      <c r="G11" s="269">
        <v>0</v>
      </c>
      <c r="H11" s="269">
        <v>15</v>
      </c>
      <c r="I11" s="269">
        <v>18</v>
      </c>
      <c r="J11" s="269">
        <v>17</v>
      </c>
      <c r="K11" s="269">
        <v>17</v>
      </c>
      <c r="L11" s="269">
        <v>57</v>
      </c>
      <c r="M11" s="269">
        <v>0</v>
      </c>
      <c r="N11" s="269">
        <v>46</v>
      </c>
      <c r="O11" s="269">
        <v>51</v>
      </c>
      <c r="P11" s="269">
        <v>47</v>
      </c>
      <c r="Q11" s="269">
        <v>47</v>
      </c>
      <c r="R11" s="269">
        <v>1187</v>
      </c>
      <c r="S11" s="269">
        <v>1166</v>
      </c>
      <c r="T11" s="269">
        <v>717</v>
      </c>
      <c r="U11" s="269">
        <v>912</v>
      </c>
      <c r="V11" s="269">
        <v>905</v>
      </c>
      <c r="W11" s="269">
        <v>905</v>
      </c>
      <c r="X11" s="269">
        <v>21</v>
      </c>
      <c r="Y11" s="269">
        <v>57</v>
      </c>
      <c r="Z11" s="269">
        <v>1187</v>
      </c>
    </row>
    <row r="12" spans="1:26" x14ac:dyDescent="0.25">
      <c r="A12" s="271" t="s">
        <v>551</v>
      </c>
      <c r="B12" s="269" t="s">
        <v>168</v>
      </c>
      <c r="C12" s="269" t="s">
        <v>407</v>
      </c>
      <c r="D12" s="269" t="s">
        <v>49</v>
      </c>
      <c r="E12" s="269" t="s">
        <v>50</v>
      </c>
      <c r="F12" s="269">
        <v>6</v>
      </c>
      <c r="G12" s="269">
        <v>0</v>
      </c>
      <c r="H12" s="269">
        <v>5</v>
      </c>
      <c r="I12" s="269">
        <v>5</v>
      </c>
      <c r="J12" s="269">
        <v>6</v>
      </c>
      <c r="K12" s="269">
        <v>6</v>
      </c>
      <c r="L12" s="269">
        <v>16</v>
      </c>
      <c r="M12" s="269">
        <v>0</v>
      </c>
      <c r="N12" s="269">
        <v>14</v>
      </c>
      <c r="O12" s="269">
        <v>14</v>
      </c>
      <c r="P12" s="269">
        <v>15</v>
      </c>
      <c r="Q12" s="269">
        <v>15</v>
      </c>
      <c r="R12" s="269">
        <v>398</v>
      </c>
      <c r="S12" s="269">
        <v>388</v>
      </c>
      <c r="T12" s="269">
        <v>236</v>
      </c>
      <c r="U12" s="269">
        <v>313</v>
      </c>
      <c r="V12" s="269">
        <v>303</v>
      </c>
      <c r="W12" s="269">
        <v>303</v>
      </c>
      <c r="X12" s="269">
        <v>6</v>
      </c>
      <c r="Y12" s="269">
        <v>16</v>
      </c>
      <c r="Z12" s="269">
        <v>397</v>
      </c>
    </row>
    <row r="13" spans="1:26" x14ac:dyDescent="0.25">
      <c r="A13" s="271" t="s">
        <v>551</v>
      </c>
      <c r="B13" s="269" t="s">
        <v>168</v>
      </c>
      <c r="C13" s="269" t="s">
        <v>413</v>
      </c>
      <c r="D13" s="269" t="s">
        <v>49</v>
      </c>
      <c r="E13" s="269" t="s">
        <v>50</v>
      </c>
      <c r="F13" s="269">
        <v>17</v>
      </c>
      <c r="G13" s="269">
        <v>0</v>
      </c>
      <c r="H13" s="269">
        <v>16</v>
      </c>
      <c r="I13" s="269">
        <v>17</v>
      </c>
      <c r="J13" s="269">
        <v>17</v>
      </c>
      <c r="K13" s="269">
        <v>17</v>
      </c>
      <c r="L13" s="269">
        <v>51</v>
      </c>
      <c r="M13" s="269">
        <v>0</v>
      </c>
      <c r="N13" s="269">
        <v>41</v>
      </c>
      <c r="O13" s="269">
        <v>45</v>
      </c>
      <c r="P13" s="269">
        <v>41</v>
      </c>
      <c r="Q13" s="269">
        <v>41</v>
      </c>
      <c r="R13" s="269">
        <v>1234</v>
      </c>
      <c r="S13" s="269">
        <v>1204</v>
      </c>
      <c r="T13" s="269">
        <v>875</v>
      </c>
      <c r="U13" s="269">
        <v>1026</v>
      </c>
      <c r="V13" s="269">
        <v>937</v>
      </c>
      <c r="W13" s="269">
        <v>937</v>
      </c>
      <c r="X13" s="269">
        <v>17</v>
      </c>
      <c r="Y13" s="269">
        <v>51</v>
      </c>
      <c r="Z13" s="269">
        <v>1233</v>
      </c>
    </row>
    <row r="14" spans="1:26" x14ac:dyDescent="0.25">
      <c r="A14" s="271" t="s">
        <v>551</v>
      </c>
      <c r="B14" s="269" t="s">
        <v>167</v>
      </c>
      <c r="C14" s="269" t="s">
        <v>355</v>
      </c>
      <c r="D14" s="269" t="s">
        <v>49</v>
      </c>
      <c r="E14" s="269" t="s">
        <v>50</v>
      </c>
      <c r="F14" s="269">
        <v>12</v>
      </c>
      <c r="G14" s="269">
        <v>0</v>
      </c>
      <c r="H14" s="269">
        <v>9</v>
      </c>
      <c r="I14" s="269">
        <v>11</v>
      </c>
      <c r="J14" s="269">
        <v>10</v>
      </c>
      <c r="K14" s="269">
        <v>10</v>
      </c>
      <c r="L14" s="269">
        <v>32</v>
      </c>
      <c r="M14" s="269">
        <v>0</v>
      </c>
      <c r="N14" s="269">
        <v>17</v>
      </c>
      <c r="O14" s="269">
        <v>25</v>
      </c>
      <c r="P14" s="269">
        <v>26</v>
      </c>
      <c r="Q14" s="269">
        <v>26</v>
      </c>
      <c r="R14" s="269">
        <v>575</v>
      </c>
      <c r="S14" s="269">
        <v>571</v>
      </c>
      <c r="T14" s="269">
        <v>252</v>
      </c>
      <c r="U14" s="269">
        <v>392</v>
      </c>
      <c r="V14" s="269">
        <v>375</v>
      </c>
      <c r="W14" s="269">
        <v>375</v>
      </c>
      <c r="X14" s="269">
        <v>12</v>
      </c>
      <c r="Y14" s="269">
        <v>32</v>
      </c>
      <c r="Z14" s="269">
        <v>576</v>
      </c>
    </row>
    <row r="15" spans="1:26" x14ac:dyDescent="0.25">
      <c r="A15" s="271" t="s">
        <v>551</v>
      </c>
      <c r="B15" s="269" t="s">
        <v>168</v>
      </c>
      <c r="C15" s="269" t="s">
        <v>282</v>
      </c>
      <c r="D15" s="269" t="s">
        <v>49</v>
      </c>
      <c r="E15" s="269" t="s">
        <v>50</v>
      </c>
      <c r="F15" s="269">
        <v>25</v>
      </c>
      <c r="G15" s="269">
        <v>0</v>
      </c>
      <c r="H15" s="269">
        <v>21</v>
      </c>
      <c r="I15" s="269">
        <v>23</v>
      </c>
      <c r="J15" s="269">
        <v>22</v>
      </c>
      <c r="K15" s="269">
        <v>22</v>
      </c>
      <c r="L15" s="269">
        <v>65</v>
      </c>
      <c r="M15" s="269">
        <v>0</v>
      </c>
      <c r="N15" s="269">
        <v>53</v>
      </c>
      <c r="O15" s="269">
        <v>59</v>
      </c>
      <c r="P15" s="269">
        <v>58</v>
      </c>
      <c r="Q15" s="269">
        <v>58</v>
      </c>
      <c r="R15" s="269">
        <v>2018</v>
      </c>
      <c r="S15" s="269">
        <v>1965</v>
      </c>
      <c r="T15" s="269">
        <v>1384</v>
      </c>
      <c r="U15" s="269">
        <v>1635</v>
      </c>
      <c r="V15" s="269">
        <v>1645</v>
      </c>
      <c r="W15" s="269">
        <v>1645</v>
      </c>
      <c r="X15" s="269">
        <v>25</v>
      </c>
      <c r="Y15" s="269">
        <v>65</v>
      </c>
      <c r="Z15" s="269">
        <v>2018</v>
      </c>
    </row>
    <row r="16" spans="1:26" x14ac:dyDescent="0.25">
      <c r="A16" s="271" t="s">
        <v>551</v>
      </c>
      <c r="B16" s="269" t="s">
        <v>168</v>
      </c>
      <c r="C16" s="269" t="s">
        <v>363</v>
      </c>
      <c r="D16" s="269" t="s">
        <v>49</v>
      </c>
      <c r="E16" s="269" t="s">
        <v>50</v>
      </c>
      <c r="F16" s="269">
        <v>24</v>
      </c>
      <c r="G16" s="269">
        <v>0</v>
      </c>
      <c r="H16" s="269">
        <v>18</v>
      </c>
      <c r="I16" s="269">
        <v>21</v>
      </c>
      <c r="J16" s="269">
        <v>20</v>
      </c>
      <c r="K16" s="269">
        <v>20</v>
      </c>
      <c r="L16" s="269">
        <v>64</v>
      </c>
      <c r="M16" s="269">
        <v>0</v>
      </c>
      <c r="N16" s="269">
        <v>48</v>
      </c>
      <c r="O16" s="269">
        <v>59</v>
      </c>
      <c r="P16" s="269">
        <v>55</v>
      </c>
      <c r="Q16" s="269">
        <v>55</v>
      </c>
      <c r="R16" s="269">
        <v>1451</v>
      </c>
      <c r="S16" s="269">
        <v>1423</v>
      </c>
      <c r="T16" s="269">
        <v>881</v>
      </c>
      <c r="U16" s="269">
        <v>1145</v>
      </c>
      <c r="V16" s="269">
        <v>1119</v>
      </c>
      <c r="W16" s="269">
        <v>1119</v>
      </c>
      <c r="X16" s="269">
        <v>24</v>
      </c>
      <c r="Y16" s="269">
        <v>64</v>
      </c>
      <c r="Z16" s="269">
        <v>1450</v>
      </c>
    </row>
    <row r="17" spans="1:26" x14ac:dyDescent="0.25">
      <c r="A17" s="271" t="s">
        <v>551</v>
      </c>
      <c r="B17" s="269" t="s">
        <v>168</v>
      </c>
      <c r="C17" s="269" t="s">
        <v>230</v>
      </c>
      <c r="D17" s="269" t="s">
        <v>49</v>
      </c>
      <c r="E17" s="269" t="s">
        <v>50</v>
      </c>
      <c r="F17" s="269">
        <v>24</v>
      </c>
      <c r="G17" s="269">
        <v>0</v>
      </c>
      <c r="H17" s="269">
        <v>19</v>
      </c>
      <c r="I17" s="269">
        <v>21</v>
      </c>
      <c r="J17" s="269">
        <v>20</v>
      </c>
      <c r="K17" s="269">
        <v>20</v>
      </c>
      <c r="L17" s="269">
        <v>72</v>
      </c>
      <c r="M17" s="269">
        <v>0</v>
      </c>
      <c r="N17" s="269">
        <v>57</v>
      </c>
      <c r="O17" s="269">
        <v>64</v>
      </c>
      <c r="P17" s="269">
        <v>59</v>
      </c>
      <c r="Q17" s="269">
        <v>59</v>
      </c>
      <c r="R17" s="269">
        <v>879</v>
      </c>
      <c r="S17" s="269">
        <v>871</v>
      </c>
      <c r="T17" s="269">
        <v>565</v>
      </c>
      <c r="U17" s="269">
        <v>696</v>
      </c>
      <c r="V17" s="269">
        <v>622</v>
      </c>
      <c r="W17" s="269">
        <v>623</v>
      </c>
      <c r="X17" s="269">
        <v>24</v>
      </c>
      <c r="Y17" s="269">
        <v>72</v>
      </c>
      <c r="Z17" s="269">
        <v>880</v>
      </c>
    </row>
    <row r="18" spans="1:26" x14ac:dyDescent="0.25">
      <c r="A18" s="271" t="s">
        <v>551</v>
      </c>
      <c r="B18" s="269" t="s">
        <v>168</v>
      </c>
      <c r="C18" s="269" t="s">
        <v>316</v>
      </c>
      <c r="D18" s="269" t="s">
        <v>49</v>
      </c>
      <c r="E18" s="269" t="s">
        <v>50</v>
      </c>
      <c r="F18" s="269">
        <v>65</v>
      </c>
      <c r="G18" s="269">
        <v>0</v>
      </c>
      <c r="H18" s="269">
        <v>50</v>
      </c>
      <c r="I18" s="269">
        <v>59</v>
      </c>
      <c r="J18" s="269">
        <v>49</v>
      </c>
      <c r="K18" s="269">
        <v>50</v>
      </c>
      <c r="L18" s="269">
        <v>170</v>
      </c>
      <c r="M18" s="269">
        <v>0</v>
      </c>
      <c r="N18" s="269">
        <v>128</v>
      </c>
      <c r="O18" s="269">
        <v>148</v>
      </c>
      <c r="P18" s="269">
        <v>127</v>
      </c>
      <c r="Q18" s="269">
        <v>128</v>
      </c>
      <c r="R18" s="269">
        <v>3614</v>
      </c>
      <c r="S18" s="269">
        <v>3582</v>
      </c>
      <c r="T18" s="269">
        <v>2299</v>
      </c>
      <c r="U18" s="269">
        <v>2855</v>
      </c>
      <c r="V18" s="269">
        <v>2637</v>
      </c>
      <c r="W18" s="269">
        <v>2639</v>
      </c>
      <c r="X18" s="269">
        <v>65</v>
      </c>
      <c r="Y18" s="269">
        <v>170</v>
      </c>
      <c r="Z18" s="269">
        <v>3616</v>
      </c>
    </row>
    <row r="19" spans="1:26" x14ac:dyDescent="0.25">
      <c r="A19" s="271" t="s">
        <v>551</v>
      </c>
      <c r="B19" s="269" t="s">
        <v>168</v>
      </c>
      <c r="C19" s="269" t="s">
        <v>323</v>
      </c>
      <c r="D19" s="269" t="s">
        <v>49</v>
      </c>
      <c r="E19" s="269" t="s">
        <v>50</v>
      </c>
      <c r="F19" s="269">
        <v>39</v>
      </c>
      <c r="G19" s="269">
        <v>0</v>
      </c>
      <c r="H19" s="269">
        <v>26</v>
      </c>
      <c r="I19" s="269">
        <v>33</v>
      </c>
      <c r="J19" s="269">
        <v>33</v>
      </c>
      <c r="K19" s="269">
        <v>33</v>
      </c>
      <c r="L19" s="269">
        <v>105</v>
      </c>
      <c r="M19" s="269">
        <v>0</v>
      </c>
      <c r="N19" s="269">
        <v>73</v>
      </c>
      <c r="O19" s="269">
        <v>90</v>
      </c>
      <c r="P19" s="269">
        <v>87</v>
      </c>
      <c r="Q19" s="269">
        <v>87</v>
      </c>
      <c r="R19" s="269">
        <v>2303</v>
      </c>
      <c r="S19" s="269">
        <v>2276</v>
      </c>
      <c r="T19" s="269">
        <v>1477</v>
      </c>
      <c r="U19" s="269">
        <v>1812</v>
      </c>
      <c r="V19" s="269">
        <v>1722</v>
      </c>
      <c r="W19" s="269">
        <v>1722</v>
      </c>
      <c r="X19" s="269">
        <v>39</v>
      </c>
      <c r="Y19" s="269">
        <v>105</v>
      </c>
      <c r="Z19" s="269">
        <v>2303</v>
      </c>
    </row>
    <row r="20" spans="1:26" x14ac:dyDescent="0.25">
      <c r="A20" s="271" t="s">
        <v>551</v>
      </c>
      <c r="B20" s="269" t="s">
        <v>168</v>
      </c>
      <c r="C20" s="269" t="s">
        <v>296</v>
      </c>
      <c r="D20" s="269" t="s">
        <v>49</v>
      </c>
      <c r="E20" s="269" t="s">
        <v>50</v>
      </c>
      <c r="F20" s="269">
        <v>73</v>
      </c>
      <c r="G20" s="269">
        <v>0</v>
      </c>
      <c r="H20" s="269">
        <v>57</v>
      </c>
      <c r="I20" s="269">
        <v>69</v>
      </c>
      <c r="J20" s="269">
        <v>63</v>
      </c>
      <c r="K20" s="269">
        <v>63</v>
      </c>
      <c r="L20" s="269">
        <v>191</v>
      </c>
      <c r="M20" s="269">
        <v>0</v>
      </c>
      <c r="N20" s="269">
        <v>157</v>
      </c>
      <c r="O20" s="269">
        <v>178</v>
      </c>
      <c r="P20" s="269">
        <v>161</v>
      </c>
      <c r="Q20" s="269">
        <v>161</v>
      </c>
      <c r="R20" s="269">
        <v>3454</v>
      </c>
      <c r="S20" s="269">
        <v>3357</v>
      </c>
      <c r="T20" s="269">
        <v>2233</v>
      </c>
      <c r="U20" s="269">
        <v>2727</v>
      </c>
      <c r="V20" s="269">
        <v>2633</v>
      </c>
      <c r="W20" s="269">
        <v>2637</v>
      </c>
      <c r="X20" s="269">
        <v>74</v>
      </c>
      <c r="Y20" s="269">
        <v>192</v>
      </c>
      <c r="Z20" s="269">
        <v>3451</v>
      </c>
    </row>
    <row r="21" spans="1:26" x14ac:dyDescent="0.25">
      <c r="A21" s="271" t="s">
        <v>551</v>
      </c>
      <c r="B21" s="269" t="s">
        <v>168</v>
      </c>
      <c r="C21" s="269" t="s">
        <v>404</v>
      </c>
      <c r="D21" s="269" t="s">
        <v>49</v>
      </c>
      <c r="E21" s="269" t="s">
        <v>50</v>
      </c>
      <c r="F21" s="269">
        <v>0</v>
      </c>
      <c r="G21" s="269">
        <v>0</v>
      </c>
      <c r="H21" s="269">
        <v>0</v>
      </c>
      <c r="I21" s="269">
        <v>0</v>
      </c>
      <c r="J21" s="269">
        <v>0</v>
      </c>
      <c r="K21" s="269">
        <v>0</v>
      </c>
      <c r="L21" s="269">
        <v>0</v>
      </c>
      <c r="M21" s="269">
        <v>0</v>
      </c>
      <c r="N21" s="269">
        <v>0</v>
      </c>
      <c r="O21" s="269">
        <v>0</v>
      </c>
      <c r="P21" s="269">
        <v>0</v>
      </c>
      <c r="Q21" s="269">
        <v>0</v>
      </c>
      <c r="R21" s="269">
        <v>435</v>
      </c>
      <c r="S21" s="269">
        <v>432</v>
      </c>
      <c r="T21" s="269">
        <v>293</v>
      </c>
      <c r="U21" s="269">
        <v>369</v>
      </c>
      <c r="V21" s="269">
        <v>363</v>
      </c>
      <c r="W21" s="269">
        <v>363</v>
      </c>
      <c r="X21" s="269">
        <v>0</v>
      </c>
      <c r="Y21" s="269">
        <v>0</v>
      </c>
      <c r="Z21" s="269">
        <v>435</v>
      </c>
    </row>
    <row r="22" spans="1:26" x14ac:dyDescent="0.25">
      <c r="A22" s="271" t="s">
        <v>551</v>
      </c>
      <c r="B22" s="269" t="s">
        <v>168</v>
      </c>
      <c r="C22" s="269" t="s">
        <v>395</v>
      </c>
      <c r="D22" s="269" t="s">
        <v>49</v>
      </c>
      <c r="E22" s="269" t="s">
        <v>50</v>
      </c>
      <c r="F22" s="269">
        <v>34</v>
      </c>
      <c r="G22" s="269">
        <v>0</v>
      </c>
      <c r="H22" s="269">
        <v>25</v>
      </c>
      <c r="I22" s="269">
        <v>28</v>
      </c>
      <c r="J22" s="269">
        <v>25</v>
      </c>
      <c r="K22" s="269">
        <v>25</v>
      </c>
      <c r="L22" s="269">
        <v>101</v>
      </c>
      <c r="M22" s="269">
        <v>0</v>
      </c>
      <c r="N22" s="269">
        <v>71</v>
      </c>
      <c r="O22" s="269">
        <v>82</v>
      </c>
      <c r="P22" s="269">
        <v>74</v>
      </c>
      <c r="Q22" s="269">
        <v>74</v>
      </c>
      <c r="R22" s="269">
        <v>1977</v>
      </c>
      <c r="S22" s="269">
        <v>1942</v>
      </c>
      <c r="T22" s="269">
        <v>1253</v>
      </c>
      <c r="U22" s="269">
        <v>1509</v>
      </c>
      <c r="V22" s="269">
        <v>1280</v>
      </c>
      <c r="W22" s="269">
        <v>1280</v>
      </c>
      <c r="X22" s="269">
        <v>34</v>
      </c>
      <c r="Y22" s="269">
        <v>100</v>
      </c>
      <c r="Z22" s="269">
        <v>1975</v>
      </c>
    </row>
    <row r="23" spans="1:26" x14ac:dyDescent="0.25">
      <c r="A23" s="271" t="s">
        <v>551</v>
      </c>
      <c r="B23" s="269" t="s">
        <v>168</v>
      </c>
      <c r="C23" s="269" t="s">
        <v>303</v>
      </c>
      <c r="D23" s="269" t="s">
        <v>49</v>
      </c>
      <c r="E23" s="269" t="s">
        <v>50</v>
      </c>
      <c r="F23" s="269">
        <v>31</v>
      </c>
      <c r="G23" s="269">
        <v>0</v>
      </c>
      <c r="H23" s="269">
        <v>24</v>
      </c>
      <c r="I23" s="269">
        <v>28</v>
      </c>
      <c r="J23" s="269">
        <v>24</v>
      </c>
      <c r="K23" s="269">
        <v>24</v>
      </c>
      <c r="L23" s="269">
        <v>81</v>
      </c>
      <c r="M23" s="269">
        <v>0</v>
      </c>
      <c r="N23" s="269">
        <v>65</v>
      </c>
      <c r="O23" s="269">
        <v>76</v>
      </c>
      <c r="P23" s="269">
        <v>70</v>
      </c>
      <c r="Q23" s="269">
        <v>70</v>
      </c>
      <c r="R23" s="269">
        <v>1537</v>
      </c>
      <c r="S23" s="269">
        <v>1512</v>
      </c>
      <c r="T23" s="269">
        <v>987</v>
      </c>
      <c r="U23" s="269">
        <v>1262</v>
      </c>
      <c r="V23" s="269">
        <v>1189</v>
      </c>
      <c r="W23" s="269">
        <v>1192</v>
      </c>
      <c r="X23" s="269">
        <v>31</v>
      </c>
      <c r="Y23" s="269">
        <v>81</v>
      </c>
      <c r="Z23" s="269">
        <v>1538</v>
      </c>
    </row>
    <row r="24" spans="1:26" x14ac:dyDescent="0.25">
      <c r="A24" s="271" t="s">
        <v>551</v>
      </c>
      <c r="B24" s="269" t="s">
        <v>168</v>
      </c>
      <c r="C24" s="269" t="s">
        <v>383</v>
      </c>
      <c r="D24" s="269" t="s">
        <v>49</v>
      </c>
      <c r="E24" s="269" t="s">
        <v>50</v>
      </c>
      <c r="F24" s="269">
        <v>10</v>
      </c>
      <c r="G24" s="269">
        <v>0</v>
      </c>
      <c r="H24" s="269">
        <v>10</v>
      </c>
      <c r="I24" s="269">
        <v>10</v>
      </c>
      <c r="J24" s="269">
        <v>9</v>
      </c>
      <c r="K24" s="269">
        <v>9</v>
      </c>
      <c r="L24" s="269">
        <v>34</v>
      </c>
      <c r="M24" s="269">
        <v>1</v>
      </c>
      <c r="N24" s="269">
        <v>32</v>
      </c>
      <c r="O24" s="269">
        <v>32</v>
      </c>
      <c r="P24" s="269">
        <v>27</v>
      </c>
      <c r="Q24" s="269">
        <v>27</v>
      </c>
      <c r="R24" s="269">
        <v>669</v>
      </c>
      <c r="S24" s="269">
        <v>654</v>
      </c>
      <c r="T24" s="269">
        <v>469</v>
      </c>
      <c r="U24" s="269">
        <v>543</v>
      </c>
      <c r="V24" s="269">
        <v>532</v>
      </c>
      <c r="W24" s="269">
        <v>533</v>
      </c>
      <c r="X24" s="269">
        <v>10</v>
      </c>
      <c r="Y24" s="269">
        <v>34</v>
      </c>
      <c r="Z24" s="269">
        <v>668</v>
      </c>
    </row>
    <row r="25" spans="1:26" x14ac:dyDescent="0.25">
      <c r="A25" s="271" t="s">
        <v>551</v>
      </c>
      <c r="B25" s="269" t="s">
        <v>168</v>
      </c>
      <c r="C25" s="269" t="s">
        <v>453</v>
      </c>
      <c r="D25" s="269" t="s">
        <v>49</v>
      </c>
      <c r="E25" s="269" t="s">
        <v>50</v>
      </c>
      <c r="F25" s="269">
        <v>1</v>
      </c>
      <c r="G25" s="269">
        <v>0</v>
      </c>
      <c r="H25" s="269">
        <v>0</v>
      </c>
      <c r="I25" s="269">
        <v>1</v>
      </c>
      <c r="J25" s="269">
        <v>1</v>
      </c>
      <c r="K25" s="269">
        <v>1</v>
      </c>
      <c r="L25" s="269">
        <v>1</v>
      </c>
      <c r="M25" s="269">
        <v>0</v>
      </c>
      <c r="N25" s="269">
        <v>0</v>
      </c>
      <c r="O25" s="269">
        <v>1</v>
      </c>
      <c r="P25" s="269">
        <v>1</v>
      </c>
      <c r="Q25" s="269">
        <v>1</v>
      </c>
      <c r="R25" s="269">
        <v>28</v>
      </c>
      <c r="S25" s="269">
        <v>28</v>
      </c>
      <c r="T25" s="269">
        <v>15</v>
      </c>
      <c r="U25" s="269">
        <v>21</v>
      </c>
      <c r="V25" s="269">
        <v>16</v>
      </c>
      <c r="W25" s="269">
        <v>16</v>
      </c>
      <c r="X25" s="269">
        <v>1</v>
      </c>
      <c r="Y25" s="269">
        <v>1</v>
      </c>
      <c r="Z25" s="269">
        <v>28</v>
      </c>
    </row>
    <row r="26" spans="1:26" x14ac:dyDescent="0.25">
      <c r="A26" s="271" t="s">
        <v>551</v>
      </c>
      <c r="B26" s="269" t="s">
        <v>168</v>
      </c>
      <c r="C26" s="269" t="s">
        <v>367</v>
      </c>
      <c r="D26" s="269" t="s">
        <v>49</v>
      </c>
      <c r="E26" s="269" t="s">
        <v>50</v>
      </c>
      <c r="F26" s="269">
        <v>78</v>
      </c>
      <c r="G26" s="269">
        <v>0</v>
      </c>
      <c r="H26" s="269">
        <v>66</v>
      </c>
      <c r="I26" s="269">
        <v>75</v>
      </c>
      <c r="J26" s="269">
        <v>68</v>
      </c>
      <c r="K26" s="269">
        <v>68</v>
      </c>
      <c r="L26" s="269">
        <v>212</v>
      </c>
      <c r="M26" s="269">
        <v>0</v>
      </c>
      <c r="N26" s="269">
        <v>175</v>
      </c>
      <c r="O26" s="269">
        <v>198</v>
      </c>
      <c r="P26" s="269">
        <v>186</v>
      </c>
      <c r="Q26" s="269">
        <v>186</v>
      </c>
      <c r="R26" s="269">
        <v>4810</v>
      </c>
      <c r="S26" s="269">
        <v>4712</v>
      </c>
      <c r="T26" s="269">
        <v>3487</v>
      </c>
      <c r="U26" s="269">
        <v>4033</v>
      </c>
      <c r="V26" s="269">
        <v>3873</v>
      </c>
      <c r="W26" s="269">
        <v>3873</v>
      </c>
      <c r="X26" s="269">
        <v>78</v>
      </c>
      <c r="Y26" s="269">
        <v>212</v>
      </c>
      <c r="Z26" s="269">
        <v>4811</v>
      </c>
    </row>
    <row r="27" spans="1:26" x14ac:dyDescent="0.25">
      <c r="A27" s="271" t="s">
        <v>551</v>
      </c>
      <c r="B27" s="269" t="s">
        <v>168</v>
      </c>
      <c r="C27" s="269" t="s">
        <v>339</v>
      </c>
      <c r="D27" s="269" t="s">
        <v>49</v>
      </c>
      <c r="E27" s="269" t="s">
        <v>50</v>
      </c>
      <c r="F27" s="269">
        <v>11</v>
      </c>
      <c r="G27" s="269">
        <v>0</v>
      </c>
      <c r="H27" s="269">
        <v>9</v>
      </c>
      <c r="I27" s="269">
        <v>10</v>
      </c>
      <c r="J27" s="269">
        <v>9</v>
      </c>
      <c r="K27" s="269">
        <v>9</v>
      </c>
      <c r="L27" s="269">
        <v>30</v>
      </c>
      <c r="M27" s="269">
        <v>0</v>
      </c>
      <c r="N27" s="269">
        <v>22</v>
      </c>
      <c r="O27" s="269">
        <v>26</v>
      </c>
      <c r="P27" s="269">
        <v>24</v>
      </c>
      <c r="Q27" s="269">
        <v>24</v>
      </c>
      <c r="R27" s="269">
        <v>648</v>
      </c>
      <c r="S27" s="269">
        <v>609</v>
      </c>
      <c r="T27" s="269">
        <v>474</v>
      </c>
      <c r="U27" s="269">
        <v>542</v>
      </c>
      <c r="V27" s="269">
        <v>479</v>
      </c>
      <c r="W27" s="269">
        <v>480</v>
      </c>
      <c r="X27" s="269">
        <v>11</v>
      </c>
      <c r="Y27" s="269">
        <v>30</v>
      </c>
      <c r="Z27" s="269">
        <v>648</v>
      </c>
    </row>
    <row r="28" spans="1:26" x14ac:dyDescent="0.25">
      <c r="A28" s="271" t="s">
        <v>551</v>
      </c>
      <c r="B28" s="269" t="s">
        <v>168</v>
      </c>
      <c r="C28" s="269" t="s">
        <v>386</v>
      </c>
      <c r="D28" s="269" t="s">
        <v>49</v>
      </c>
      <c r="E28" s="269" t="s">
        <v>50</v>
      </c>
      <c r="F28" s="269">
        <v>28</v>
      </c>
      <c r="G28" s="269">
        <v>0</v>
      </c>
      <c r="H28" s="269">
        <v>19</v>
      </c>
      <c r="I28" s="269">
        <v>23</v>
      </c>
      <c r="J28" s="269">
        <v>20</v>
      </c>
      <c r="K28" s="269">
        <v>20</v>
      </c>
      <c r="L28" s="269">
        <v>88</v>
      </c>
      <c r="M28" s="269">
        <v>0</v>
      </c>
      <c r="N28" s="269">
        <v>68</v>
      </c>
      <c r="O28" s="269">
        <v>79</v>
      </c>
      <c r="P28" s="269">
        <v>72</v>
      </c>
      <c r="Q28" s="269">
        <v>72</v>
      </c>
      <c r="R28" s="269">
        <v>1171</v>
      </c>
      <c r="S28" s="269">
        <v>1134</v>
      </c>
      <c r="T28" s="269">
        <v>802</v>
      </c>
      <c r="U28" s="269">
        <v>961</v>
      </c>
      <c r="V28" s="269">
        <v>833</v>
      </c>
      <c r="W28" s="269">
        <v>833</v>
      </c>
      <c r="X28" s="269">
        <v>26</v>
      </c>
      <c r="Y28" s="269">
        <v>87</v>
      </c>
      <c r="Z28" s="269">
        <v>1171</v>
      </c>
    </row>
    <row r="29" spans="1:26" x14ac:dyDescent="0.25">
      <c r="A29" s="271" t="s">
        <v>551</v>
      </c>
      <c r="B29" s="269" t="s">
        <v>168</v>
      </c>
      <c r="C29" s="269" t="s">
        <v>389</v>
      </c>
      <c r="D29" s="269" t="s">
        <v>49</v>
      </c>
      <c r="E29" s="269" t="s">
        <v>50</v>
      </c>
      <c r="F29" s="269">
        <v>65</v>
      </c>
      <c r="G29" s="269">
        <v>0</v>
      </c>
      <c r="H29" s="269">
        <v>63</v>
      </c>
      <c r="I29" s="269">
        <v>64</v>
      </c>
      <c r="J29" s="269">
        <v>53</v>
      </c>
      <c r="K29" s="269">
        <v>53</v>
      </c>
      <c r="L29" s="269">
        <v>176</v>
      </c>
      <c r="M29" s="269">
        <v>0</v>
      </c>
      <c r="N29" s="269">
        <v>154</v>
      </c>
      <c r="O29" s="269">
        <v>163</v>
      </c>
      <c r="P29" s="269">
        <v>147</v>
      </c>
      <c r="Q29" s="269">
        <v>147</v>
      </c>
      <c r="R29" s="269">
        <v>3952</v>
      </c>
      <c r="S29" s="269">
        <v>3851</v>
      </c>
      <c r="T29" s="269">
        <v>2813</v>
      </c>
      <c r="U29" s="269">
        <v>3257</v>
      </c>
      <c r="V29" s="269">
        <v>3111</v>
      </c>
      <c r="W29" s="269">
        <v>3112</v>
      </c>
      <c r="X29" s="269">
        <v>66</v>
      </c>
      <c r="Y29" s="269">
        <v>177</v>
      </c>
      <c r="Z29" s="269">
        <v>3954</v>
      </c>
    </row>
    <row r="30" spans="1:26" x14ac:dyDescent="0.25">
      <c r="A30" s="271" t="s">
        <v>551</v>
      </c>
      <c r="B30" s="269" t="s">
        <v>168</v>
      </c>
      <c r="C30" s="269" t="s">
        <v>275</v>
      </c>
      <c r="D30" s="269" t="s">
        <v>49</v>
      </c>
      <c r="E30" s="269" t="s">
        <v>50</v>
      </c>
      <c r="F30" s="269">
        <v>16</v>
      </c>
      <c r="G30" s="269">
        <v>0</v>
      </c>
      <c r="H30" s="269">
        <v>11</v>
      </c>
      <c r="I30" s="269">
        <v>15</v>
      </c>
      <c r="J30" s="269">
        <v>15</v>
      </c>
      <c r="K30" s="269">
        <v>15</v>
      </c>
      <c r="L30" s="269">
        <v>44</v>
      </c>
      <c r="M30" s="269">
        <v>0</v>
      </c>
      <c r="N30" s="269">
        <v>31</v>
      </c>
      <c r="O30" s="269">
        <v>38</v>
      </c>
      <c r="P30" s="269">
        <v>36</v>
      </c>
      <c r="Q30" s="269">
        <v>36</v>
      </c>
      <c r="R30" s="269">
        <v>972</v>
      </c>
      <c r="S30" s="269">
        <v>960</v>
      </c>
      <c r="T30" s="269">
        <v>639</v>
      </c>
      <c r="U30" s="269">
        <v>813</v>
      </c>
      <c r="V30" s="269">
        <v>759</v>
      </c>
      <c r="W30" s="269">
        <v>760</v>
      </c>
      <c r="X30" s="269">
        <v>16</v>
      </c>
      <c r="Y30" s="269">
        <v>44</v>
      </c>
      <c r="Z30" s="269">
        <v>973</v>
      </c>
    </row>
    <row r="31" spans="1:26" x14ac:dyDescent="0.25">
      <c r="A31" s="271" t="s">
        <v>551</v>
      </c>
      <c r="B31" s="269" t="s">
        <v>168</v>
      </c>
      <c r="C31" s="269" t="s">
        <v>300</v>
      </c>
      <c r="D31" s="269" t="s">
        <v>49</v>
      </c>
      <c r="E31" s="269" t="s">
        <v>50</v>
      </c>
      <c r="F31" s="269">
        <v>12</v>
      </c>
      <c r="G31" s="269">
        <v>0</v>
      </c>
      <c r="H31" s="269">
        <v>7</v>
      </c>
      <c r="I31" s="269">
        <v>8</v>
      </c>
      <c r="J31" s="269">
        <v>8</v>
      </c>
      <c r="K31" s="269">
        <v>8</v>
      </c>
      <c r="L31" s="269">
        <v>32</v>
      </c>
      <c r="M31" s="269">
        <v>0</v>
      </c>
      <c r="N31" s="269">
        <v>21</v>
      </c>
      <c r="O31" s="269">
        <v>24</v>
      </c>
      <c r="P31" s="269">
        <v>24</v>
      </c>
      <c r="Q31" s="269">
        <v>24</v>
      </c>
      <c r="R31" s="269">
        <v>692</v>
      </c>
      <c r="S31" s="269">
        <v>684</v>
      </c>
      <c r="T31" s="269">
        <v>355</v>
      </c>
      <c r="U31" s="269">
        <v>496</v>
      </c>
      <c r="V31" s="269">
        <v>469</v>
      </c>
      <c r="W31" s="269">
        <v>469</v>
      </c>
      <c r="X31" s="269">
        <v>12</v>
      </c>
      <c r="Y31" s="269">
        <v>32</v>
      </c>
      <c r="Z31" s="269">
        <v>693</v>
      </c>
    </row>
    <row r="32" spans="1:26" x14ac:dyDescent="0.25">
      <c r="A32" s="271" t="s">
        <v>551</v>
      </c>
      <c r="B32" s="269" t="s">
        <v>168</v>
      </c>
      <c r="C32" s="269" t="s">
        <v>249</v>
      </c>
      <c r="D32" s="269" t="s">
        <v>49</v>
      </c>
      <c r="E32" s="269" t="s">
        <v>50</v>
      </c>
      <c r="F32" s="269">
        <v>49</v>
      </c>
      <c r="G32" s="269">
        <v>0</v>
      </c>
      <c r="H32" s="269">
        <v>38</v>
      </c>
      <c r="I32" s="269">
        <v>39</v>
      </c>
      <c r="J32" s="269">
        <v>45</v>
      </c>
      <c r="K32" s="269">
        <v>45</v>
      </c>
      <c r="L32" s="269">
        <v>132</v>
      </c>
      <c r="M32" s="269">
        <v>0</v>
      </c>
      <c r="N32" s="269">
        <v>101</v>
      </c>
      <c r="O32" s="269">
        <v>111</v>
      </c>
      <c r="P32" s="269">
        <v>116</v>
      </c>
      <c r="Q32" s="269">
        <v>116</v>
      </c>
      <c r="R32" s="269">
        <v>3076</v>
      </c>
      <c r="S32" s="269">
        <v>3030</v>
      </c>
      <c r="T32" s="269">
        <v>2064</v>
      </c>
      <c r="U32" s="269">
        <v>2480</v>
      </c>
      <c r="V32" s="269">
        <v>2455</v>
      </c>
      <c r="W32" s="269">
        <v>2455</v>
      </c>
      <c r="X32" s="269">
        <v>49</v>
      </c>
      <c r="Y32" s="269">
        <v>132</v>
      </c>
      <c r="Z32" s="269">
        <v>3076</v>
      </c>
    </row>
    <row r="33" spans="1:26" x14ac:dyDescent="0.25">
      <c r="A33" s="271" t="s">
        <v>551</v>
      </c>
      <c r="B33" s="269" t="s">
        <v>168</v>
      </c>
      <c r="C33" s="269" t="s">
        <v>329</v>
      </c>
      <c r="D33" s="269" t="s">
        <v>49</v>
      </c>
      <c r="E33" s="269" t="s">
        <v>50</v>
      </c>
      <c r="F33" s="269">
        <v>10</v>
      </c>
      <c r="G33" s="269">
        <v>1</v>
      </c>
      <c r="H33" s="269">
        <v>4</v>
      </c>
      <c r="I33" s="269">
        <v>5</v>
      </c>
      <c r="J33" s="269">
        <v>2</v>
      </c>
      <c r="K33" s="269">
        <v>2</v>
      </c>
      <c r="L33" s="269">
        <v>27</v>
      </c>
      <c r="M33" s="269">
        <v>1</v>
      </c>
      <c r="N33" s="269">
        <v>19</v>
      </c>
      <c r="O33" s="269">
        <v>20</v>
      </c>
      <c r="P33" s="269">
        <v>17</v>
      </c>
      <c r="Q33" s="269">
        <v>17</v>
      </c>
      <c r="R33" s="269">
        <v>598</v>
      </c>
      <c r="S33" s="269">
        <v>575</v>
      </c>
      <c r="T33" s="269">
        <v>451</v>
      </c>
      <c r="U33" s="269">
        <v>496</v>
      </c>
      <c r="V33" s="269">
        <v>447</v>
      </c>
      <c r="W33" s="269">
        <v>447</v>
      </c>
      <c r="X33" s="269">
        <v>10</v>
      </c>
      <c r="Y33" s="269">
        <v>27</v>
      </c>
      <c r="Z33" s="269">
        <v>598</v>
      </c>
    </row>
    <row r="34" spans="1:26" x14ac:dyDescent="0.25">
      <c r="A34" s="271" t="s">
        <v>551</v>
      </c>
      <c r="B34" s="269" t="s">
        <v>168</v>
      </c>
      <c r="C34" s="269" t="s">
        <v>356</v>
      </c>
      <c r="D34" s="269" t="s">
        <v>49</v>
      </c>
      <c r="E34" s="269" t="s">
        <v>50</v>
      </c>
      <c r="F34" s="269">
        <v>32</v>
      </c>
      <c r="G34" s="269">
        <v>0</v>
      </c>
      <c r="H34" s="269">
        <v>25</v>
      </c>
      <c r="I34" s="269">
        <v>27</v>
      </c>
      <c r="J34" s="269">
        <v>26</v>
      </c>
      <c r="K34" s="269">
        <v>26</v>
      </c>
      <c r="L34" s="269">
        <v>87</v>
      </c>
      <c r="M34" s="269">
        <v>0</v>
      </c>
      <c r="N34" s="269">
        <v>71</v>
      </c>
      <c r="O34" s="269">
        <v>80</v>
      </c>
      <c r="P34" s="269">
        <v>73</v>
      </c>
      <c r="Q34" s="269">
        <v>73</v>
      </c>
      <c r="R34" s="269">
        <v>2286</v>
      </c>
      <c r="S34" s="269">
        <v>2202</v>
      </c>
      <c r="T34" s="269">
        <v>1537</v>
      </c>
      <c r="U34" s="269">
        <v>1871</v>
      </c>
      <c r="V34" s="269">
        <v>1687</v>
      </c>
      <c r="W34" s="269">
        <v>1687</v>
      </c>
      <c r="X34" s="269">
        <v>31</v>
      </c>
      <c r="Y34" s="269">
        <v>87</v>
      </c>
      <c r="Z34" s="269">
        <v>2287</v>
      </c>
    </row>
    <row r="35" spans="1:26" x14ac:dyDescent="0.25">
      <c r="A35" s="271" t="s">
        <v>551</v>
      </c>
      <c r="B35" s="269" t="s">
        <v>168</v>
      </c>
      <c r="C35" s="269" t="s">
        <v>396</v>
      </c>
      <c r="D35" s="269" t="s">
        <v>49</v>
      </c>
      <c r="E35" s="269" t="s">
        <v>50</v>
      </c>
      <c r="F35" s="269">
        <v>12</v>
      </c>
      <c r="G35" s="269">
        <v>0</v>
      </c>
      <c r="H35" s="269">
        <v>8</v>
      </c>
      <c r="I35" s="269">
        <v>8</v>
      </c>
      <c r="J35" s="269">
        <v>5</v>
      </c>
      <c r="K35" s="269">
        <v>5</v>
      </c>
      <c r="L35" s="269">
        <v>32</v>
      </c>
      <c r="M35" s="269">
        <v>0</v>
      </c>
      <c r="N35" s="269">
        <v>26</v>
      </c>
      <c r="O35" s="269">
        <v>28</v>
      </c>
      <c r="P35" s="269">
        <v>22</v>
      </c>
      <c r="Q35" s="269">
        <v>22</v>
      </c>
      <c r="R35" s="269">
        <v>930</v>
      </c>
      <c r="S35" s="269">
        <v>905</v>
      </c>
      <c r="T35" s="269">
        <v>526</v>
      </c>
      <c r="U35" s="269">
        <v>685</v>
      </c>
      <c r="V35" s="269">
        <v>660</v>
      </c>
      <c r="W35" s="269">
        <v>660</v>
      </c>
      <c r="X35" s="269">
        <v>12</v>
      </c>
      <c r="Y35" s="269">
        <v>32</v>
      </c>
      <c r="Z35" s="269">
        <v>930</v>
      </c>
    </row>
    <row r="36" spans="1:26" x14ac:dyDescent="0.25">
      <c r="A36" s="271" t="s">
        <v>551</v>
      </c>
      <c r="B36" s="269" t="s">
        <v>167</v>
      </c>
      <c r="C36" s="269" t="s">
        <v>436</v>
      </c>
      <c r="D36" s="269" t="s">
        <v>49</v>
      </c>
      <c r="E36" s="269" t="s">
        <v>50</v>
      </c>
      <c r="F36" s="269">
        <v>0</v>
      </c>
      <c r="G36" s="269">
        <v>0</v>
      </c>
      <c r="H36" s="269">
        <v>0</v>
      </c>
      <c r="I36" s="269">
        <v>0</v>
      </c>
      <c r="J36" s="269">
        <v>0</v>
      </c>
      <c r="K36" s="269">
        <v>0</v>
      </c>
      <c r="L36" s="269">
        <v>0</v>
      </c>
      <c r="M36" s="269">
        <v>0</v>
      </c>
      <c r="N36" s="269">
        <v>0</v>
      </c>
      <c r="O36" s="269">
        <v>0</v>
      </c>
      <c r="P36" s="269">
        <v>0</v>
      </c>
      <c r="Q36" s="269">
        <v>0</v>
      </c>
      <c r="R36" s="269">
        <v>49</v>
      </c>
      <c r="S36" s="269">
        <v>49</v>
      </c>
      <c r="T36" s="269">
        <v>24</v>
      </c>
      <c r="U36" s="269">
        <v>35</v>
      </c>
      <c r="V36" s="269">
        <v>29</v>
      </c>
      <c r="W36" s="269">
        <v>29</v>
      </c>
      <c r="X36" s="269">
        <v>0</v>
      </c>
      <c r="Y36" s="269">
        <v>0</v>
      </c>
      <c r="Z36" s="269">
        <v>49</v>
      </c>
    </row>
    <row r="37" spans="1:26" x14ac:dyDescent="0.25">
      <c r="A37" s="271" t="s">
        <v>551</v>
      </c>
      <c r="B37" s="269" t="s">
        <v>168</v>
      </c>
      <c r="C37" s="269" t="s">
        <v>229</v>
      </c>
      <c r="D37" s="269" t="s">
        <v>49</v>
      </c>
      <c r="E37" s="269" t="s">
        <v>50</v>
      </c>
      <c r="F37" s="269">
        <v>44</v>
      </c>
      <c r="G37" s="269">
        <v>0</v>
      </c>
      <c r="H37" s="269">
        <v>26</v>
      </c>
      <c r="I37" s="269">
        <v>36</v>
      </c>
      <c r="J37" s="269">
        <v>35</v>
      </c>
      <c r="K37" s="269">
        <v>35</v>
      </c>
      <c r="L37" s="269">
        <v>127</v>
      </c>
      <c r="M37" s="269">
        <v>0</v>
      </c>
      <c r="N37" s="269">
        <v>85</v>
      </c>
      <c r="O37" s="269">
        <v>109</v>
      </c>
      <c r="P37" s="269">
        <v>107</v>
      </c>
      <c r="Q37" s="269">
        <v>107</v>
      </c>
      <c r="R37" s="269">
        <v>2721</v>
      </c>
      <c r="S37" s="269">
        <v>2666</v>
      </c>
      <c r="T37" s="269">
        <v>1573</v>
      </c>
      <c r="U37" s="269">
        <v>2063</v>
      </c>
      <c r="V37" s="269">
        <v>2047</v>
      </c>
      <c r="W37" s="269">
        <v>2048</v>
      </c>
      <c r="X37" s="269">
        <v>43</v>
      </c>
      <c r="Y37" s="269">
        <v>127</v>
      </c>
      <c r="Z37" s="269">
        <v>2723</v>
      </c>
    </row>
    <row r="38" spans="1:26" x14ac:dyDescent="0.25">
      <c r="A38" s="271" t="s">
        <v>551</v>
      </c>
      <c r="B38" s="269" t="s">
        <v>168</v>
      </c>
      <c r="C38" s="269" t="s">
        <v>310</v>
      </c>
      <c r="D38" s="269" t="s">
        <v>49</v>
      </c>
      <c r="E38" s="269" t="s">
        <v>50</v>
      </c>
      <c r="F38" s="269">
        <v>10</v>
      </c>
      <c r="G38" s="269">
        <v>0</v>
      </c>
      <c r="H38" s="269">
        <v>7</v>
      </c>
      <c r="I38" s="269">
        <v>9</v>
      </c>
      <c r="J38" s="269">
        <v>9</v>
      </c>
      <c r="K38" s="269">
        <v>9</v>
      </c>
      <c r="L38" s="269">
        <v>27</v>
      </c>
      <c r="M38" s="269">
        <v>0</v>
      </c>
      <c r="N38" s="269">
        <v>23</v>
      </c>
      <c r="O38" s="269">
        <v>25</v>
      </c>
      <c r="P38" s="269">
        <v>25</v>
      </c>
      <c r="Q38" s="269">
        <v>25</v>
      </c>
      <c r="R38" s="269">
        <v>598</v>
      </c>
      <c r="S38" s="269">
        <v>580</v>
      </c>
      <c r="T38" s="269">
        <v>444</v>
      </c>
      <c r="U38" s="269">
        <v>491</v>
      </c>
      <c r="V38" s="269">
        <v>452</v>
      </c>
      <c r="W38" s="269">
        <v>452</v>
      </c>
      <c r="X38" s="269">
        <v>10</v>
      </c>
      <c r="Y38" s="269">
        <v>27</v>
      </c>
      <c r="Z38" s="269">
        <v>598</v>
      </c>
    </row>
    <row r="39" spans="1:26" x14ac:dyDescent="0.25">
      <c r="A39" s="271" t="s">
        <v>551</v>
      </c>
      <c r="B39" s="269" t="s">
        <v>168</v>
      </c>
      <c r="C39" s="269" t="s">
        <v>271</v>
      </c>
      <c r="D39" s="269" t="s">
        <v>49</v>
      </c>
      <c r="E39" s="269" t="s">
        <v>50</v>
      </c>
      <c r="F39" s="269">
        <v>17</v>
      </c>
      <c r="G39" s="269">
        <v>0</v>
      </c>
      <c r="H39" s="269">
        <v>15</v>
      </c>
      <c r="I39" s="269">
        <v>16</v>
      </c>
      <c r="J39" s="269">
        <v>16</v>
      </c>
      <c r="K39" s="269">
        <v>16</v>
      </c>
      <c r="L39" s="269">
        <v>43</v>
      </c>
      <c r="M39" s="269">
        <v>0</v>
      </c>
      <c r="N39" s="269">
        <v>36</v>
      </c>
      <c r="O39" s="269">
        <v>39</v>
      </c>
      <c r="P39" s="269">
        <v>38</v>
      </c>
      <c r="Q39" s="269">
        <v>38</v>
      </c>
      <c r="R39" s="269">
        <v>994</v>
      </c>
      <c r="S39" s="269">
        <v>969</v>
      </c>
      <c r="T39" s="269">
        <v>690</v>
      </c>
      <c r="U39" s="269">
        <v>807</v>
      </c>
      <c r="V39" s="269">
        <v>740</v>
      </c>
      <c r="W39" s="269">
        <v>740</v>
      </c>
      <c r="X39" s="269">
        <v>17</v>
      </c>
      <c r="Y39" s="269">
        <v>43</v>
      </c>
      <c r="Z39" s="269">
        <v>993</v>
      </c>
    </row>
    <row r="40" spans="1:26" x14ac:dyDescent="0.25">
      <c r="A40" s="271" t="s">
        <v>551</v>
      </c>
      <c r="B40" s="269" t="s">
        <v>168</v>
      </c>
      <c r="C40" s="269" t="s">
        <v>317</v>
      </c>
      <c r="D40" s="269" t="s">
        <v>49</v>
      </c>
      <c r="E40" s="269" t="s">
        <v>50</v>
      </c>
      <c r="F40" s="269">
        <v>20</v>
      </c>
      <c r="G40" s="269">
        <v>0</v>
      </c>
      <c r="H40" s="269">
        <v>14</v>
      </c>
      <c r="I40" s="269">
        <v>19</v>
      </c>
      <c r="J40" s="269">
        <v>17</v>
      </c>
      <c r="K40" s="269">
        <v>17</v>
      </c>
      <c r="L40" s="269">
        <v>50</v>
      </c>
      <c r="M40" s="269">
        <v>0</v>
      </c>
      <c r="N40" s="269">
        <v>30</v>
      </c>
      <c r="O40" s="269">
        <v>43</v>
      </c>
      <c r="P40" s="269">
        <v>38</v>
      </c>
      <c r="Q40" s="269">
        <v>38</v>
      </c>
      <c r="R40" s="269">
        <v>1234</v>
      </c>
      <c r="S40" s="269">
        <v>1217</v>
      </c>
      <c r="T40" s="269">
        <v>739</v>
      </c>
      <c r="U40" s="269">
        <v>989</v>
      </c>
      <c r="V40" s="269">
        <v>904</v>
      </c>
      <c r="W40" s="269">
        <v>904</v>
      </c>
      <c r="X40" s="269">
        <v>21</v>
      </c>
      <c r="Y40" s="269">
        <v>51</v>
      </c>
      <c r="Z40" s="269">
        <v>1234</v>
      </c>
    </row>
    <row r="41" spans="1:26" x14ac:dyDescent="0.25">
      <c r="A41" s="271" t="s">
        <v>551</v>
      </c>
      <c r="B41" s="269" t="s">
        <v>168</v>
      </c>
      <c r="C41" s="269" t="s">
        <v>304</v>
      </c>
      <c r="D41" s="269" t="s">
        <v>49</v>
      </c>
      <c r="E41" s="269" t="s">
        <v>50</v>
      </c>
      <c r="F41" s="269">
        <v>16</v>
      </c>
      <c r="G41" s="269">
        <v>0</v>
      </c>
      <c r="H41" s="269">
        <v>11</v>
      </c>
      <c r="I41" s="269">
        <v>12</v>
      </c>
      <c r="J41" s="269">
        <v>13</v>
      </c>
      <c r="K41" s="269">
        <v>13</v>
      </c>
      <c r="L41" s="269">
        <v>40</v>
      </c>
      <c r="M41" s="269">
        <v>0</v>
      </c>
      <c r="N41" s="269">
        <v>29</v>
      </c>
      <c r="O41" s="269">
        <v>34</v>
      </c>
      <c r="P41" s="269">
        <v>33</v>
      </c>
      <c r="Q41" s="269">
        <v>33</v>
      </c>
      <c r="R41" s="269">
        <v>892</v>
      </c>
      <c r="S41" s="269">
        <v>888</v>
      </c>
      <c r="T41" s="269">
        <v>551</v>
      </c>
      <c r="U41" s="269">
        <v>722</v>
      </c>
      <c r="V41" s="269">
        <v>712</v>
      </c>
      <c r="W41" s="269">
        <v>712</v>
      </c>
      <c r="X41" s="269">
        <v>16</v>
      </c>
      <c r="Y41" s="269">
        <v>40</v>
      </c>
      <c r="Z41" s="269">
        <v>892</v>
      </c>
    </row>
    <row r="42" spans="1:26" x14ac:dyDescent="0.25">
      <c r="A42" s="271" t="s">
        <v>551</v>
      </c>
      <c r="B42" s="269" t="s">
        <v>168</v>
      </c>
      <c r="C42" s="269" t="s">
        <v>320</v>
      </c>
      <c r="D42" s="269" t="s">
        <v>49</v>
      </c>
      <c r="E42" s="269" t="s">
        <v>50</v>
      </c>
      <c r="F42" s="269">
        <v>12</v>
      </c>
      <c r="G42" s="269">
        <v>0</v>
      </c>
      <c r="H42" s="269">
        <v>9</v>
      </c>
      <c r="I42" s="269">
        <v>12</v>
      </c>
      <c r="J42" s="269">
        <v>11</v>
      </c>
      <c r="K42" s="269">
        <v>11</v>
      </c>
      <c r="L42" s="269">
        <v>32</v>
      </c>
      <c r="M42" s="269">
        <v>0</v>
      </c>
      <c r="N42" s="269">
        <v>23</v>
      </c>
      <c r="O42" s="269">
        <v>28</v>
      </c>
      <c r="P42" s="269">
        <v>30</v>
      </c>
      <c r="Q42" s="269">
        <v>30</v>
      </c>
      <c r="R42" s="269">
        <v>402</v>
      </c>
      <c r="S42" s="269">
        <v>395</v>
      </c>
      <c r="T42" s="269">
        <v>236</v>
      </c>
      <c r="U42" s="269">
        <v>321</v>
      </c>
      <c r="V42" s="269">
        <v>313</v>
      </c>
      <c r="W42" s="269">
        <v>313</v>
      </c>
      <c r="X42" s="269">
        <v>12</v>
      </c>
      <c r="Y42" s="269">
        <v>32</v>
      </c>
      <c r="Z42" s="269">
        <v>402</v>
      </c>
    </row>
    <row r="43" spans="1:26" x14ac:dyDescent="0.25">
      <c r="A43" s="271" t="s">
        <v>551</v>
      </c>
      <c r="B43" s="269" t="s">
        <v>168</v>
      </c>
      <c r="C43" s="269" t="s">
        <v>265</v>
      </c>
      <c r="D43" s="269" t="s">
        <v>49</v>
      </c>
      <c r="E43" s="269" t="s">
        <v>50</v>
      </c>
      <c r="F43" s="269">
        <v>12</v>
      </c>
      <c r="G43" s="269">
        <v>0</v>
      </c>
      <c r="H43" s="269">
        <v>6</v>
      </c>
      <c r="I43" s="269">
        <v>9</v>
      </c>
      <c r="J43" s="269">
        <v>8</v>
      </c>
      <c r="K43" s="269">
        <v>8</v>
      </c>
      <c r="L43" s="269">
        <v>32</v>
      </c>
      <c r="M43" s="269">
        <v>0</v>
      </c>
      <c r="N43" s="269">
        <v>19</v>
      </c>
      <c r="O43" s="269">
        <v>26</v>
      </c>
      <c r="P43" s="269">
        <v>23</v>
      </c>
      <c r="Q43" s="269">
        <v>23</v>
      </c>
      <c r="R43" s="269">
        <v>763</v>
      </c>
      <c r="S43" s="269">
        <v>754</v>
      </c>
      <c r="T43" s="269">
        <v>431</v>
      </c>
      <c r="U43" s="269">
        <v>613</v>
      </c>
      <c r="V43" s="269">
        <v>580</v>
      </c>
      <c r="W43" s="269">
        <v>580</v>
      </c>
      <c r="X43" s="269">
        <v>12</v>
      </c>
      <c r="Y43" s="269">
        <v>32</v>
      </c>
      <c r="Z43" s="269">
        <v>762</v>
      </c>
    </row>
    <row r="44" spans="1:26" x14ac:dyDescent="0.25">
      <c r="A44" s="271" t="s">
        <v>551</v>
      </c>
      <c r="B44" s="269" t="s">
        <v>168</v>
      </c>
      <c r="C44" s="269" t="s">
        <v>398</v>
      </c>
      <c r="D44" s="269" t="s">
        <v>49</v>
      </c>
      <c r="E44" s="269" t="s">
        <v>50</v>
      </c>
      <c r="F44" s="269">
        <v>33</v>
      </c>
      <c r="G44" s="269">
        <v>0</v>
      </c>
      <c r="H44" s="269">
        <v>26</v>
      </c>
      <c r="I44" s="269">
        <v>28</v>
      </c>
      <c r="J44" s="269">
        <v>32</v>
      </c>
      <c r="K44" s="269">
        <v>32</v>
      </c>
      <c r="L44" s="269">
        <v>92</v>
      </c>
      <c r="M44" s="269">
        <v>0</v>
      </c>
      <c r="N44" s="269">
        <v>66</v>
      </c>
      <c r="O44" s="269">
        <v>77</v>
      </c>
      <c r="P44" s="269">
        <v>81</v>
      </c>
      <c r="Q44" s="269">
        <v>81</v>
      </c>
      <c r="R44" s="269">
        <v>1853</v>
      </c>
      <c r="S44" s="269">
        <v>1803</v>
      </c>
      <c r="T44" s="269">
        <v>1183</v>
      </c>
      <c r="U44" s="269">
        <v>1463</v>
      </c>
      <c r="V44" s="269">
        <v>1497</v>
      </c>
      <c r="W44" s="269">
        <v>1497</v>
      </c>
      <c r="X44" s="269">
        <v>33</v>
      </c>
      <c r="Y44" s="269">
        <v>92</v>
      </c>
      <c r="Z44" s="269">
        <v>1852</v>
      </c>
    </row>
    <row r="45" spans="1:26" x14ac:dyDescent="0.25">
      <c r="A45" s="271" t="s">
        <v>551</v>
      </c>
      <c r="B45" s="269" t="s">
        <v>168</v>
      </c>
      <c r="C45" s="269" t="s">
        <v>378</v>
      </c>
      <c r="D45" s="269" t="s">
        <v>49</v>
      </c>
      <c r="E45" s="269" t="s">
        <v>50</v>
      </c>
      <c r="F45" s="269">
        <v>12</v>
      </c>
      <c r="G45" s="269">
        <v>0</v>
      </c>
      <c r="H45" s="269">
        <v>11</v>
      </c>
      <c r="I45" s="269">
        <v>12</v>
      </c>
      <c r="J45" s="269">
        <v>11</v>
      </c>
      <c r="K45" s="269">
        <v>11</v>
      </c>
      <c r="L45" s="269">
        <v>32</v>
      </c>
      <c r="M45" s="269">
        <v>1</v>
      </c>
      <c r="N45" s="269">
        <v>24</v>
      </c>
      <c r="O45" s="269">
        <v>29</v>
      </c>
      <c r="P45" s="269">
        <v>29</v>
      </c>
      <c r="Q45" s="269">
        <v>29</v>
      </c>
      <c r="R45" s="269">
        <v>697</v>
      </c>
      <c r="S45" s="269">
        <v>651</v>
      </c>
      <c r="T45" s="269">
        <v>381</v>
      </c>
      <c r="U45" s="269">
        <v>473</v>
      </c>
      <c r="V45" s="269">
        <v>531</v>
      </c>
      <c r="W45" s="269">
        <v>531</v>
      </c>
      <c r="X45" s="269">
        <v>12</v>
      </c>
      <c r="Y45" s="269">
        <v>32</v>
      </c>
      <c r="Z45" s="269">
        <v>697</v>
      </c>
    </row>
    <row r="46" spans="1:26" x14ac:dyDescent="0.25">
      <c r="A46" s="271" t="s">
        <v>551</v>
      </c>
      <c r="B46" s="269" t="s">
        <v>168</v>
      </c>
      <c r="C46" s="269" t="s">
        <v>287</v>
      </c>
      <c r="D46" s="269" t="s">
        <v>49</v>
      </c>
      <c r="E46" s="269" t="s">
        <v>50</v>
      </c>
      <c r="F46" s="269">
        <v>6</v>
      </c>
      <c r="G46" s="269">
        <v>0</v>
      </c>
      <c r="H46" s="269">
        <v>4</v>
      </c>
      <c r="I46" s="269">
        <v>5</v>
      </c>
      <c r="J46" s="269">
        <v>6</v>
      </c>
      <c r="K46" s="269">
        <v>6</v>
      </c>
      <c r="L46" s="269">
        <v>16</v>
      </c>
      <c r="M46" s="269">
        <v>0</v>
      </c>
      <c r="N46" s="269">
        <v>12</v>
      </c>
      <c r="O46" s="269">
        <v>14</v>
      </c>
      <c r="P46" s="269">
        <v>15</v>
      </c>
      <c r="Q46" s="269">
        <v>15</v>
      </c>
      <c r="R46" s="269">
        <v>851</v>
      </c>
      <c r="S46" s="269">
        <v>803</v>
      </c>
      <c r="T46" s="269">
        <v>513</v>
      </c>
      <c r="U46" s="269">
        <v>640</v>
      </c>
      <c r="V46" s="269">
        <v>624</v>
      </c>
      <c r="W46" s="269">
        <v>624</v>
      </c>
      <c r="X46" s="269">
        <v>6</v>
      </c>
      <c r="Y46" s="269">
        <v>16</v>
      </c>
      <c r="Z46" s="269">
        <v>852</v>
      </c>
    </row>
    <row r="47" spans="1:26" x14ac:dyDescent="0.25">
      <c r="A47" s="271" t="s">
        <v>551</v>
      </c>
      <c r="B47" s="269" t="s">
        <v>168</v>
      </c>
      <c r="C47" s="269" t="s">
        <v>435</v>
      </c>
      <c r="D47" s="269" t="s">
        <v>49</v>
      </c>
      <c r="E47" s="269" t="s">
        <v>50</v>
      </c>
      <c r="F47" s="269">
        <v>6</v>
      </c>
      <c r="G47" s="269">
        <v>0</v>
      </c>
      <c r="H47" s="269">
        <v>4</v>
      </c>
      <c r="I47" s="269">
        <v>4</v>
      </c>
      <c r="J47" s="269">
        <v>4</v>
      </c>
      <c r="K47" s="269">
        <v>4</v>
      </c>
      <c r="L47" s="269">
        <v>16</v>
      </c>
      <c r="M47" s="269">
        <v>0</v>
      </c>
      <c r="N47" s="269">
        <v>11</v>
      </c>
      <c r="O47" s="269">
        <v>12</v>
      </c>
      <c r="P47" s="269">
        <v>11</v>
      </c>
      <c r="Q47" s="269">
        <v>11</v>
      </c>
      <c r="R47" s="269">
        <v>478</v>
      </c>
      <c r="S47" s="269">
        <v>461</v>
      </c>
      <c r="T47" s="269">
        <v>314</v>
      </c>
      <c r="U47" s="269">
        <v>369</v>
      </c>
      <c r="V47" s="269">
        <v>351</v>
      </c>
      <c r="W47" s="269">
        <v>351</v>
      </c>
      <c r="X47" s="269">
        <v>6</v>
      </c>
      <c r="Y47" s="269">
        <v>16</v>
      </c>
      <c r="Z47" s="269">
        <v>478</v>
      </c>
    </row>
    <row r="48" spans="1:26" x14ac:dyDescent="0.25">
      <c r="A48" s="271" t="s">
        <v>551</v>
      </c>
      <c r="B48" s="269" t="s">
        <v>168</v>
      </c>
      <c r="C48" s="269" t="s">
        <v>279</v>
      </c>
      <c r="D48" s="269" t="s">
        <v>49</v>
      </c>
      <c r="E48" s="269" t="s">
        <v>50</v>
      </c>
      <c r="F48" s="269">
        <v>18</v>
      </c>
      <c r="G48" s="269">
        <v>0</v>
      </c>
      <c r="H48" s="269">
        <v>14</v>
      </c>
      <c r="I48" s="269">
        <v>16</v>
      </c>
      <c r="J48" s="269">
        <v>16</v>
      </c>
      <c r="K48" s="269">
        <v>16</v>
      </c>
      <c r="L48" s="269">
        <v>48</v>
      </c>
      <c r="M48" s="269">
        <v>0</v>
      </c>
      <c r="N48" s="269">
        <v>39</v>
      </c>
      <c r="O48" s="269">
        <v>44</v>
      </c>
      <c r="P48" s="269">
        <v>39</v>
      </c>
      <c r="Q48" s="269">
        <v>39</v>
      </c>
      <c r="R48" s="269">
        <v>1098</v>
      </c>
      <c r="S48" s="269">
        <v>1072</v>
      </c>
      <c r="T48" s="269">
        <v>697</v>
      </c>
      <c r="U48" s="269">
        <v>868</v>
      </c>
      <c r="V48" s="269">
        <v>786</v>
      </c>
      <c r="W48" s="269">
        <v>786</v>
      </c>
      <c r="X48" s="269">
        <v>18</v>
      </c>
      <c r="Y48" s="269">
        <v>48</v>
      </c>
      <c r="Z48" s="269">
        <v>1098</v>
      </c>
    </row>
    <row r="49" spans="1:26" x14ac:dyDescent="0.25">
      <c r="A49" s="271" t="s">
        <v>551</v>
      </c>
      <c r="B49" s="269" t="s">
        <v>168</v>
      </c>
      <c r="C49" s="269" t="s">
        <v>334</v>
      </c>
      <c r="D49" s="269" t="s">
        <v>49</v>
      </c>
      <c r="E49" s="269" t="s">
        <v>50</v>
      </c>
      <c r="F49" s="269">
        <v>36</v>
      </c>
      <c r="G49" s="269">
        <v>0</v>
      </c>
      <c r="H49" s="269">
        <v>30</v>
      </c>
      <c r="I49" s="269">
        <v>33</v>
      </c>
      <c r="J49" s="269">
        <v>32</v>
      </c>
      <c r="K49" s="269">
        <v>32</v>
      </c>
      <c r="L49" s="269">
        <v>96</v>
      </c>
      <c r="M49" s="269">
        <v>0</v>
      </c>
      <c r="N49" s="269">
        <v>68</v>
      </c>
      <c r="O49" s="269">
        <v>83</v>
      </c>
      <c r="P49" s="269">
        <v>87</v>
      </c>
      <c r="Q49" s="269">
        <v>87</v>
      </c>
      <c r="R49" s="269">
        <v>2203</v>
      </c>
      <c r="S49" s="269">
        <v>2177</v>
      </c>
      <c r="T49" s="269">
        <v>1146</v>
      </c>
      <c r="U49" s="269">
        <v>1667</v>
      </c>
      <c r="V49" s="269">
        <v>1668</v>
      </c>
      <c r="W49" s="269">
        <v>1672</v>
      </c>
      <c r="X49" s="269">
        <v>36</v>
      </c>
      <c r="Y49" s="269">
        <v>96</v>
      </c>
      <c r="Z49" s="269">
        <v>2203</v>
      </c>
    </row>
    <row r="50" spans="1:26" x14ac:dyDescent="0.25">
      <c r="A50" s="271" t="s">
        <v>551</v>
      </c>
      <c r="B50" s="269" t="s">
        <v>168</v>
      </c>
      <c r="C50" s="269" t="s">
        <v>268</v>
      </c>
      <c r="D50" s="269" t="s">
        <v>49</v>
      </c>
      <c r="E50" s="269" t="s">
        <v>50</v>
      </c>
      <c r="F50" s="269">
        <v>33</v>
      </c>
      <c r="G50" s="269">
        <v>0</v>
      </c>
      <c r="H50" s="269">
        <v>23</v>
      </c>
      <c r="I50" s="269">
        <v>29</v>
      </c>
      <c r="J50" s="269">
        <v>29</v>
      </c>
      <c r="K50" s="269">
        <v>29</v>
      </c>
      <c r="L50" s="269">
        <v>95</v>
      </c>
      <c r="M50" s="269">
        <v>0</v>
      </c>
      <c r="N50" s="269">
        <v>69</v>
      </c>
      <c r="O50" s="269">
        <v>85</v>
      </c>
      <c r="P50" s="269">
        <v>86</v>
      </c>
      <c r="Q50" s="269">
        <v>86</v>
      </c>
      <c r="R50" s="269">
        <v>1409</v>
      </c>
      <c r="S50" s="269">
        <v>1388</v>
      </c>
      <c r="T50" s="269">
        <v>904</v>
      </c>
      <c r="U50" s="269">
        <v>1120</v>
      </c>
      <c r="V50" s="269">
        <v>1022</v>
      </c>
      <c r="W50" s="269">
        <v>1022</v>
      </c>
      <c r="X50" s="269">
        <v>33</v>
      </c>
      <c r="Y50" s="269">
        <v>95</v>
      </c>
      <c r="Z50" s="269">
        <v>1410</v>
      </c>
    </row>
    <row r="51" spans="1:26" x14ac:dyDescent="0.25">
      <c r="A51" s="271" t="s">
        <v>551</v>
      </c>
      <c r="B51" s="269" t="s">
        <v>168</v>
      </c>
      <c r="C51" s="269" t="s">
        <v>380</v>
      </c>
      <c r="D51" s="269" t="s">
        <v>49</v>
      </c>
      <c r="E51" s="269" t="s">
        <v>50</v>
      </c>
      <c r="F51" s="269">
        <v>19</v>
      </c>
      <c r="G51" s="269">
        <v>0</v>
      </c>
      <c r="H51" s="269">
        <v>15</v>
      </c>
      <c r="I51" s="269">
        <v>17</v>
      </c>
      <c r="J51" s="269">
        <v>15</v>
      </c>
      <c r="K51" s="269">
        <v>15</v>
      </c>
      <c r="L51" s="269">
        <v>53</v>
      </c>
      <c r="M51" s="269">
        <v>0</v>
      </c>
      <c r="N51" s="269">
        <v>42</v>
      </c>
      <c r="O51" s="269">
        <v>48</v>
      </c>
      <c r="P51" s="269">
        <v>44</v>
      </c>
      <c r="Q51" s="269">
        <v>44</v>
      </c>
      <c r="R51" s="269">
        <v>712</v>
      </c>
      <c r="S51" s="269">
        <v>701</v>
      </c>
      <c r="T51" s="269">
        <v>439</v>
      </c>
      <c r="U51" s="269">
        <v>565</v>
      </c>
      <c r="V51" s="269">
        <v>496</v>
      </c>
      <c r="W51" s="269">
        <v>496</v>
      </c>
      <c r="X51" s="269">
        <v>19</v>
      </c>
      <c r="Y51" s="269">
        <v>53</v>
      </c>
      <c r="Z51" s="269">
        <v>712</v>
      </c>
    </row>
    <row r="52" spans="1:26" x14ac:dyDescent="0.25">
      <c r="A52" s="271" t="s">
        <v>551</v>
      </c>
      <c r="B52" s="269" t="s">
        <v>168</v>
      </c>
      <c r="C52" s="269" t="s">
        <v>297</v>
      </c>
      <c r="D52" s="269" t="s">
        <v>49</v>
      </c>
      <c r="E52" s="269" t="s">
        <v>50</v>
      </c>
      <c r="F52" s="269">
        <v>24</v>
      </c>
      <c r="G52" s="269">
        <v>0</v>
      </c>
      <c r="H52" s="269">
        <v>20</v>
      </c>
      <c r="I52" s="269">
        <v>22</v>
      </c>
      <c r="J52" s="269">
        <v>19</v>
      </c>
      <c r="K52" s="269">
        <v>19</v>
      </c>
      <c r="L52" s="269">
        <v>64</v>
      </c>
      <c r="M52" s="269">
        <v>0</v>
      </c>
      <c r="N52" s="269">
        <v>50</v>
      </c>
      <c r="O52" s="269">
        <v>60</v>
      </c>
      <c r="P52" s="269">
        <v>53</v>
      </c>
      <c r="Q52" s="269">
        <v>53</v>
      </c>
      <c r="R52" s="269">
        <v>1177</v>
      </c>
      <c r="S52" s="269">
        <v>1159</v>
      </c>
      <c r="T52" s="269">
        <v>759</v>
      </c>
      <c r="U52" s="269">
        <v>950</v>
      </c>
      <c r="V52" s="269">
        <v>840</v>
      </c>
      <c r="W52" s="269">
        <v>841</v>
      </c>
      <c r="X52" s="269">
        <v>24</v>
      </c>
      <c r="Y52" s="269">
        <v>64</v>
      </c>
      <c r="Z52" s="269">
        <v>1177</v>
      </c>
    </row>
    <row r="53" spans="1:26" x14ac:dyDescent="0.25">
      <c r="A53" s="271" t="s">
        <v>551</v>
      </c>
      <c r="B53" s="269" t="s">
        <v>168</v>
      </c>
      <c r="C53" s="269" t="s">
        <v>444</v>
      </c>
      <c r="D53" s="269" t="s">
        <v>49</v>
      </c>
      <c r="E53" s="269" t="s">
        <v>50</v>
      </c>
      <c r="F53" s="269">
        <v>0</v>
      </c>
      <c r="G53" s="269">
        <v>0</v>
      </c>
      <c r="H53" s="269">
        <v>0</v>
      </c>
      <c r="I53" s="269">
        <v>0</v>
      </c>
      <c r="J53" s="269">
        <v>0</v>
      </c>
      <c r="K53" s="269">
        <v>0</v>
      </c>
      <c r="L53" s="269">
        <v>0</v>
      </c>
      <c r="M53" s="269">
        <v>0</v>
      </c>
      <c r="N53" s="269">
        <v>0</v>
      </c>
      <c r="O53" s="269">
        <v>0</v>
      </c>
      <c r="P53" s="269">
        <v>0</v>
      </c>
      <c r="Q53" s="269">
        <v>0</v>
      </c>
      <c r="R53" s="269">
        <v>496</v>
      </c>
      <c r="S53" s="269">
        <v>491</v>
      </c>
      <c r="T53" s="269">
        <v>320</v>
      </c>
      <c r="U53" s="269">
        <v>401</v>
      </c>
      <c r="V53" s="269">
        <v>341</v>
      </c>
      <c r="W53" s="269">
        <v>341</v>
      </c>
      <c r="X53" s="269">
        <v>0</v>
      </c>
      <c r="Y53" s="269">
        <v>0</v>
      </c>
      <c r="Z53" s="269">
        <v>496</v>
      </c>
    </row>
    <row r="54" spans="1:26" x14ac:dyDescent="0.25">
      <c r="A54" s="271" t="s">
        <v>551</v>
      </c>
      <c r="B54" s="269" t="s">
        <v>168</v>
      </c>
      <c r="C54" s="269" t="s">
        <v>399</v>
      </c>
      <c r="D54" s="269" t="s">
        <v>49</v>
      </c>
      <c r="E54" s="269" t="s">
        <v>50</v>
      </c>
      <c r="F54" s="269">
        <v>18</v>
      </c>
      <c r="G54" s="269">
        <v>0</v>
      </c>
      <c r="H54" s="269">
        <v>14</v>
      </c>
      <c r="I54" s="269">
        <v>16</v>
      </c>
      <c r="J54" s="269">
        <v>16</v>
      </c>
      <c r="K54" s="269">
        <v>16</v>
      </c>
      <c r="L54" s="269">
        <v>48</v>
      </c>
      <c r="M54" s="269">
        <v>0</v>
      </c>
      <c r="N54" s="269">
        <v>34</v>
      </c>
      <c r="O54" s="269">
        <v>41</v>
      </c>
      <c r="P54" s="269">
        <v>37</v>
      </c>
      <c r="Q54" s="269">
        <v>37</v>
      </c>
      <c r="R54" s="269">
        <v>760</v>
      </c>
      <c r="S54" s="269">
        <v>757</v>
      </c>
      <c r="T54" s="269">
        <v>498</v>
      </c>
      <c r="U54" s="269">
        <v>633</v>
      </c>
      <c r="V54" s="269">
        <v>573</v>
      </c>
      <c r="W54" s="269">
        <v>573</v>
      </c>
      <c r="X54" s="269">
        <v>18</v>
      </c>
      <c r="Y54" s="269">
        <v>48</v>
      </c>
      <c r="Z54" s="269">
        <v>760</v>
      </c>
    </row>
    <row r="55" spans="1:26" x14ac:dyDescent="0.25">
      <c r="A55" s="271" t="s">
        <v>551</v>
      </c>
      <c r="B55" s="269" t="s">
        <v>168</v>
      </c>
      <c r="C55" s="269" t="s">
        <v>283</v>
      </c>
      <c r="D55" s="269" t="s">
        <v>49</v>
      </c>
      <c r="E55" s="269" t="s">
        <v>50</v>
      </c>
      <c r="F55" s="269">
        <v>11</v>
      </c>
      <c r="G55" s="269">
        <v>0</v>
      </c>
      <c r="H55" s="269">
        <v>6</v>
      </c>
      <c r="I55" s="269">
        <v>7</v>
      </c>
      <c r="J55" s="269">
        <v>8</v>
      </c>
      <c r="K55" s="269">
        <v>8</v>
      </c>
      <c r="L55" s="269">
        <v>31</v>
      </c>
      <c r="M55" s="269">
        <v>0</v>
      </c>
      <c r="N55" s="269">
        <v>17</v>
      </c>
      <c r="O55" s="269">
        <v>24</v>
      </c>
      <c r="P55" s="269">
        <v>25</v>
      </c>
      <c r="Q55" s="269">
        <v>25</v>
      </c>
      <c r="R55" s="269">
        <v>620</v>
      </c>
      <c r="S55" s="269">
        <v>573</v>
      </c>
      <c r="T55" s="269">
        <v>260</v>
      </c>
      <c r="U55" s="269">
        <v>369</v>
      </c>
      <c r="V55" s="269">
        <v>424</v>
      </c>
      <c r="W55" s="269">
        <v>424</v>
      </c>
      <c r="X55" s="269">
        <v>11</v>
      </c>
      <c r="Y55" s="269">
        <v>31</v>
      </c>
      <c r="Z55" s="269">
        <v>620</v>
      </c>
    </row>
    <row r="56" spans="1:26" x14ac:dyDescent="0.25">
      <c r="A56" s="271" t="s">
        <v>551</v>
      </c>
      <c r="B56" s="269" t="s">
        <v>168</v>
      </c>
      <c r="C56" s="269" t="s">
        <v>352</v>
      </c>
      <c r="D56" s="269" t="s">
        <v>49</v>
      </c>
      <c r="E56" s="269" t="s">
        <v>50</v>
      </c>
      <c r="F56" s="269">
        <v>31</v>
      </c>
      <c r="G56" s="269">
        <v>0</v>
      </c>
      <c r="H56" s="269">
        <v>12</v>
      </c>
      <c r="I56" s="269">
        <v>19</v>
      </c>
      <c r="J56" s="269">
        <v>20</v>
      </c>
      <c r="K56" s="269">
        <v>20</v>
      </c>
      <c r="L56" s="269">
        <v>83</v>
      </c>
      <c r="M56" s="269">
        <v>0</v>
      </c>
      <c r="N56" s="269">
        <v>36</v>
      </c>
      <c r="O56" s="269">
        <v>52</v>
      </c>
      <c r="P56" s="269">
        <v>63</v>
      </c>
      <c r="Q56" s="269">
        <v>63</v>
      </c>
      <c r="R56" s="269">
        <v>1832</v>
      </c>
      <c r="S56" s="269">
        <v>1793</v>
      </c>
      <c r="T56" s="269">
        <v>926</v>
      </c>
      <c r="U56" s="269">
        <v>1232</v>
      </c>
      <c r="V56" s="269">
        <v>1138</v>
      </c>
      <c r="W56" s="269">
        <v>1138</v>
      </c>
      <c r="X56" s="269">
        <v>31</v>
      </c>
      <c r="Y56" s="269">
        <v>83</v>
      </c>
      <c r="Z56" s="269">
        <v>1834</v>
      </c>
    </row>
    <row r="57" spans="1:26" x14ac:dyDescent="0.25">
      <c r="A57" s="271" t="s">
        <v>551</v>
      </c>
      <c r="B57" s="269" t="s">
        <v>168</v>
      </c>
      <c r="C57" s="269" t="s">
        <v>349</v>
      </c>
      <c r="D57" s="269" t="s">
        <v>49</v>
      </c>
      <c r="E57" s="269" t="s">
        <v>50</v>
      </c>
      <c r="F57" s="269">
        <v>22</v>
      </c>
      <c r="G57" s="269">
        <v>0</v>
      </c>
      <c r="H57" s="269">
        <v>14</v>
      </c>
      <c r="I57" s="269">
        <v>17</v>
      </c>
      <c r="J57" s="269">
        <v>17</v>
      </c>
      <c r="K57" s="269">
        <v>17</v>
      </c>
      <c r="L57" s="269">
        <v>64</v>
      </c>
      <c r="M57" s="269">
        <v>0</v>
      </c>
      <c r="N57" s="269">
        <v>47</v>
      </c>
      <c r="O57" s="269">
        <v>54</v>
      </c>
      <c r="P57" s="269">
        <v>54</v>
      </c>
      <c r="Q57" s="269">
        <v>54</v>
      </c>
      <c r="R57" s="269">
        <v>1991</v>
      </c>
      <c r="S57" s="269">
        <v>1961</v>
      </c>
      <c r="T57" s="269">
        <v>1227</v>
      </c>
      <c r="U57" s="269">
        <v>1544</v>
      </c>
      <c r="V57" s="269">
        <v>1548</v>
      </c>
      <c r="W57" s="269">
        <v>1549</v>
      </c>
      <c r="X57" s="269">
        <v>21</v>
      </c>
      <c r="Y57" s="269">
        <v>63</v>
      </c>
      <c r="Z57" s="269">
        <v>1989</v>
      </c>
    </row>
    <row r="58" spans="1:26" x14ac:dyDescent="0.25">
      <c r="A58" s="271" t="s">
        <v>551</v>
      </c>
      <c r="B58" s="269" t="s">
        <v>168</v>
      </c>
      <c r="C58" s="269" t="s">
        <v>347</v>
      </c>
      <c r="D58" s="269" t="s">
        <v>49</v>
      </c>
      <c r="E58" s="269" t="s">
        <v>50</v>
      </c>
      <c r="F58" s="269">
        <v>24</v>
      </c>
      <c r="G58" s="269">
        <v>0</v>
      </c>
      <c r="H58" s="269">
        <v>17</v>
      </c>
      <c r="I58" s="269">
        <v>22</v>
      </c>
      <c r="J58" s="269">
        <v>20</v>
      </c>
      <c r="K58" s="269">
        <v>20</v>
      </c>
      <c r="L58" s="269">
        <v>64</v>
      </c>
      <c r="M58" s="269">
        <v>0</v>
      </c>
      <c r="N58" s="269">
        <v>41</v>
      </c>
      <c r="O58" s="269">
        <v>59</v>
      </c>
      <c r="P58" s="269">
        <v>54</v>
      </c>
      <c r="Q58" s="269">
        <v>54</v>
      </c>
      <c r="R58" s="269">
        <v>1173</v>
      </c>
      <c r="S58" s="269">
        <v>1166</v>
      </c>
      <c r="T58" s="269">
        <v>729</v>
      </c>
      <c r="U58" s="269">
        <v>983</v>
      </c>
      <c r="V58" s="269">
        <v>976</v>
      </c>
      <c r="W58" s="269">
        <v>976</v>
      </c>
      <c r="X58" s="269">
        <v>24</v>
      </c>
      <c r="Y58" s="269">
        <v>64</v>
      </c>
      <c r="Z58" s="269">
        <v>1174</v>
      </c>
    </row>
    <row r="59" spans="1:26" x14ac:dyDescent="0.25">
      <c r="A59" s="271" t="s">
        <v>551</v>
      </c>
      <c r="B59" s="269" t="s">
        <v>168</v>
      </c>
      <c r="C59" s="269" t="s">
        <v>327</v>
      </c>
      <c r="D59" s="269" t="s">
        <v>49</v>
      </c>
      <c r="E59" s="269" t="s">
        <v>50</v>
      </c>
      <c r="F59" s="269">
        <v>32</v>
      </c>
      <c r="G59" s="269">
        <v>0</v>
      </c>
      <c r="H59" s="269">
        <v>28</v>
      </c>
      <c r="I59" s="269">
        <v>30</v>
      </c>
      <c r="J59" s="269">
        <v>29</v>
      </c>
      <c r="K59" s="269">
        <v>29</v>
      </c>
      <c r="L59" s="269">
        <v>91</v>
      </c>
      <c r="M59" s="269">
        <v>0</v>
      </c>
      <c r="N59" s="269">
        <v>82</v>
      </c>
      <c r="O59" s="269">
        <v>86</v>
      </c>
      <c r="P59" s="269">
        <v>85</v>
      </c>
      <c r="Q59" s="269">
        <v>85</v>
      </c>
      <c r="R59" s="269">
        <v>2135</v>
      </c>
      <c r="S59" s="269">
        <v>2062</v>
      </c>
      <c r="T59" s="269">
        <v>1507</v>
      </c>
      <c r="U59" s="269">
        <v>1745</v>
      </c>
      <c r="V59" s="269">
        <v>1700</v>
      </c>
      <c r="W59" s="269">
        <v>1700</v>
      </c>
      <c r="X59" s="269">
        <v>32</v>
      </c>
      <c r="Y59" s="269">
        <v>91</v>
      </c>
      <c r="Z59" s="269">
        <v>2135</v>
      </c>
    </row>
    <row r="60" spans="1:26" x14ac:dyDescent="0.25">
      <c r="A60" s="271" t="s">
        <v>551</v>
      </c>
      <c r="B60" s="269" t="s">
        <v>168</v>
      </c>
      <c r="C60" s="269" t="s">
        <v>422</v>
      </c>
      <c r="D60" s="269" t="s">
        <v>49</v>
      </c>
      <c r="E60" s="269" t="s">
        <v>50</v>
      </c>
      <c r="F60" s="269">
        <v>12</v>
      </c>
      <c r="G60" s="269">
        <v>0</v>
      </c>
      <c r="H60" s="269">
        <v>10</v>
      </c>
      <c r="I60" s="269">
        <v>12</v>
      </c>
      <c r="J60" s="269">
        <v>10</v>
      </c>
      <c r="K60" s="269">
        <v>10</v>
      </c>
      <c r="L60" s="269">
        <v>32</v>
      </c>
      <c r="M60" s="269">
        <v>0</v>
      </c>
      <c r="N60" s="269">
        <v>27</v>
      </c>
      <c r="O60" s="269">
        <v>30</v>
      </c>
      <c r="P60" s="269">
        <v>29</v>
      </c>
      <c r="Q60" s="269">
        <v>29</v>
      </c>
      <c r="R60" s="269">
        <v>695</v>
      </c>
      <c r="S60" s="269">
        <v>660</v>
      </c>
      <c r="T60" s="269">
        <v>462</v>
      </c>
      <c r="U60" s="269">
        <v>542</v>
      </c>
      <c r="V60" s="269">
        <v>561</v>
      </c>
      <c r="W60" s="269">
        <v>561</v>
      </c>
      <c r="X60" s="269">
        <v>12</v>
      </c>
      <c r="Y60" s="269">
        <v>32</v>
      </c>
      <c r="Z60" s="269">
        <v>695</v>
      </c>
    </row>
    <row r="61" spans="1:26" x14ac:dyDescent="0.25">
      <c r="A61" s="271" t="s">
        <v>551</v>
      </c>
      <c r="B61" s="269" t="s">
        <v>168</v>
      </c>
      <c r="C61" s="269" t="s">
        <v>261</v>
      </c>
      <c r="D61" s="269" t="s">
        <v>49</v>
      </c>
      <c r="E61" s="269" t="s">
        <v>50</v>
      </c>
      <c r="F61" s="269">
        <v>34</v>
      </c>
      <c r="G61" s="269">
        <v>0</v>
      </c>
      <c r="H61" s="269">
        <v>21</v>
      </c>
      <c r="I61" s="269">
        <v>27</v>
      </c>
      <c r="J61" s="269">
        <v>28</v>
      </c>
      <c r="K61" s="269">
        <v>28</v>
      </c>
      <c r="L61" s="269">
        <v>89</v>
      </c>
      <c r="M61" s="269">
        <v>0</v>
      </c>
      <c r="N61" s="269">
        <v>65</v>
      </c>
      <c r="O61" s="269">
        <v>75</v>
      </c>
      <c r="P61" s="269">
        <v>71</v>
      </c>
      <c r="Q61" s="269">
        <v>71</v>
      </c>
      <c r="R61" s="269">
        <v>2080</v>
      </c>
      <c r="S61" s="269">
        <v>2045</v>
      </c>
      <c r="T61" s="269">
        <v>1151</v>
      </c>
      <c r="U61" s="269">
        <v>1490</v>
      </c>
      <c r="V61" s="269">
        <v>1462</v>
      </c>
      <c r="W61" s="269">
        <v>1462</v>
      </c>
      <c r="X61" s="269">
        <v>34</v>
      </c>
      <c r="Y61" s="269">
        <v>88</v>
      </c>
      <c r="Z61" s="269">
        <v>2078</v>
      </c>
    </row>
    <row r="62" spans="1:26" x14ac:dyDescent="0.25">
      <c r="A62" s="271" t="s">
        <v>551</v>
      </c>
      <c r="B62" s="269" t="s">
        <v>168</v>
      </c>
      <c r="C62" s="269" t="s">
        <v>388</v>
      </c>
      <c r="D62" s="269" t="s">
        <v>49</v>
      </c>
      <c r="E62" s="269" t="s">
        <v>50</v>
      </c>
      <c r="F62" s="269">
        <v>6</v>
      </c>
      <c r="G62" s="269">
        <v>0</v>
      </c>
      <c r="H62" s="269">
        <v>6</v>
      </c>
      <c r="I62" s="269">
        <v>6</v>
      </c>
      <c r="J62" s="269">
        <v>4</v>
      </c>
      <c r="K62" s="269">
        <v>4</v>
      </c>
      <c r="L62" s="269">
        <v>16</v>
      </c>
      <c r="M62" s="269">
        <v>0</v>
      </c>
      <c r="N62" s="269">
        <v>13</v>
      </c>
      <c r="O62" s="269">
        <v>13</v>
      </c>
      <c r="P62" s="269">
        <v>10</v>
      </c>
      <c r="Q62" s="269">
        <v>10</v>
      </c>
      <c r="R62" s="269">
        <v>350</v>
      </c>
      <c r="S62" s="269">
        <v>345</v>
      </c>
      <c r="T62" s="269">
        <v>258</v>
      </c>
      <c r="U62" s="269">
        <v>287</v>
      </c>
      <c r="V62" s="269">
        <v>203</v>
      </c>
      <c r="W62" s="269">
        <v>203</v>
      </c>
      <c r="X62" s="269">
        <v>6</v>
      </c>
      <c r="Y62" s="269">
        <v>16</v>
      </c>
      <c r="Z62" s="269">
        <v>350</v>
      </c>
    </row>
    <row r="63" spans="1:26" x14ac:dyDescent="0.25">
      <c r="A63" s="271" t="s">
        <v>551</v>
      </c>
      <c r="B63" s="269" t="s">
        <v>168</v>
      </c>
      <c r="C63" s="269" t="s">
        <v>237</v>
      </c>
      <c r="D63" s="269" t="s">
        <v>49</v>
      </c>
      <c r="E63" s="269" t="s">
        <v>50</v>
      </c>
      <c r="F63" s="269">
        <v>0</v>
      </c>
      <c r="G63" s="269">
        <v>0</v>
      </c>
      <c r="H63" s="269">
        <v>0</v>
      </c>
      <c r="I63" s="269">
        <v>0</v>
      </c>
      <c r="J63" s="269">
        <v>0</v>
      </c>
      <c r="K63" s="269">
        <v>0</v>
      </c>
      <c r="L63" s="269">
        <v>0</v>
      </c>
      <c r="M63" s="269">
        <v>0</v>
      </c>
      <c r="N63" s="269">
        <v>0</v>
      </c>
      <c r="O63" s="269">
        <v>0</v>
      </c>
      <c r="P63" s="269">
        <v>0</v>
      </c>
      <c r="Q63" s="269">
        <v>0</v>
      </c>
      <c r="R63" s="269">
        <v>303</v>
      </c>
      <c r="S63" s="269">
        <v>301</v>
      </c>
      <c r="T63" s="269">
        <v>184</v>
      </c>
      <c r="U63" s="269">
        <v>232</v>
      </c>
      <c r="V63" s="269">
        <v>237</v>
      </c>
      <c r="W63" s="269">
        <v>237</v>
      </c>
      <c r="X63" s="269">
        <v>0</v>
      </c>
      <c r="Y63" s="269">
        <v>0</v>
      </c>
      <c r="Z63" s="269">
        <v>302</v>
      </c>
    </row>
    <row r="64" spans="1:26" x14ac:dyDescent="0.25">
      <c r="A64" s="271" t="s">
        <v>551</v>
      </c>
      <c r="B64" s="269" t="s">
        <v>168</v>
      </c>
      <c r="C64" s="269" t="s">
        <v>351</v>
      </c>
      <c r="D64" s="269" t="s">
        <v>49</v>
      </c>
      <c r="E64" s="269" t="s">
        <v>50</v>
      </c>
      <c r="F64" s="269">
        <v>17</v>
      </c>
      <c r="G64" s="269">
        <v>0</v>
      </c>
      <c r="H64" s="269">
        <v>17</v>
      </c>
      <c r="I64" s="269">
        <v>17</v>
      </c>
      <c r="J64" s="269">
        <v>16</v>
      </c>
      <c r="K64" s="269">
        <v>16</v>
      </c>
      <c r="L64" s="269">
        <v>49</v>
      </c>
      <c r="M64" s="269">
        <v>0</v>
      </c>
      <c r="N64" s="269">
        <v>37</v>
      </c>
      <c r="O64" s="269">
        <v>42</v>
      </c>
      <c r="P64" s="269">
        <v>44</v>
      </c>
      <c r="Q64" s="269">
        <v>44</v>
      </c>
      <c r="R64" s="269">
        <v>1572</v>
      </c>
      <c r="S64" s="269">
        <v>1554</v>
      </c>
      <c r="T64" s="269">
        <v>1019</v>
      </c>
      <c r="U64" s="269">
        <v>1250</v>
      </c>
      <c r="V64" s="269">
        <v>1103</v>
      </c>
      <c r="W64" s="269">
        <v>1104</v>
      </c>
      <c r="X64" s="269">
        <v>17</v>
      </c>
      <c r="Y64" s="269">
        <v>49</v>
      </c>
      <c r="Z64" s="269">
        <v>1572</v>
      </c>
    </row>
    <row r="65" spans="1:26" x14ac:dyDescent="0.25">
      <c r="A65" s="271" t="s">
        <v>551</v>
      </c>
      <c r="B65" s="269" t="s">
        <v>168</v>
      </c>
      <c r="C65" s="269" t="s">
        <v>377</v>
      </c>
      <c r="D65" s="269" t="s">
        <v>49</v>
      </c>
      <c r="E65" s="269" t="s">
        <v>50</v>
      </c>
      <c r="F65" s="269">
        <v>8</v>
      </c>
      <c r="G65" s="269">
        <v>2</v>
      </c>
      <c r="H65" s="269">
        <v>5</v>
      </c>
      <c r="I65" s="269">
        <v>5</v>
      </c>
      <c r="J65" s="269">
        <v>4</v>
      </c>
      <c r="K65" s="269">
        <v>4</v>
      </c>
      <c r="L65" s="269">
        <v>21</v>
      </c>
      <c r="M65" s="269">
        <v>2</v>
      </c>
      <c r="N65" s="269">
        <v>17</v>
      </c>
      <c r="O65" s="269">
        <v>17</v>
      </c>
      <c r="P65" s="269">
        <v>17</v>
      </c>
      <c r="Q65" s="269">
        <v>17</v>
      </c>
      <c r="R65" s="269">
        <v>415</v>
      </c>
      <c r="S65" s="269">
        <v>407</v>
      </c>
      <c r="T65" s="269">
        <v>299</v>
      </c>
      <c r="U65" s="269">
        <v>339</v>
      </c>
      <c r="V65" s="269">
        <v>352</v>
      </c>
      <c r="W65" s="269">
        <v>352</v>
      </c>
      <c r="X65" s="269">
        <v>8</v>
      </c>
      <c r="Y65" s="269">
        <v>21</v>
      </c>
      <c r="Z65" s="269">
        <v>415</v>
      </c>
    </row>
    <row r="66" spans="1:26" x14ac:dyDescent="0.25">
      <c r="A66" s="271" t="s">
        <v>551</v>
      </c>
      <c r="B66" s="269" t="s">
        <v>168</v>
      </c>
      <c r="C66" s="269" t="s">
        <v>394</v>
      </c>
      <c r="D66" s="269" t="s">
        <v>49</v>
      </c>
      <c r="E66" s="269" t="s">
        <v>50</v>
      </c>
      <c r="F66" s="269">
        <v>24</v>
      </c>
      <c r="G66" s="269">
        <v>0</v>
      </c>
      <c r="H66" s="269">
        <v>18</v>
      </c>
      <c r="I66" s="269">
        <v>20</v>
      </c>
      <c r="J66" s="269">
        <v>18</v>
      </c>
      <c r="K66" s="269">
        <v>18</v>
      </c>
      <c r="L66" s="269">
        <v>64</v>
      </c>
      <c r="M66" s="269">
        <v>0</v>
      </c>
      <c r="N66" s="269">
        <v>44</v>
      </c>
      <c r="O66" s="269">
        <v>55</v>
      </c>
      <c r="P66" s="269">
        <v>47</v>
      </c>
      <c r="Q66" s="269">
        <v>47</v>
      </c>
      <c r="R66" s="269">
        <v>1420</v>
      </c>
      <c r="S66" s="269">
        <v>1396</v>
      </c>
      <c r="T66" s="269">
        <v>820</v>
      </c>
      <c r="U66" s="269">
        <v>1062</v>
      </c>
      <c r="V66" s="269">
        <v>1080</v>
      </c>
      <c r="W66" s="269">
        <v>1080</v>
      </c>
      <c r="X66" s="269">
        <v>24</v>
      </c>
      <c r="Y66" s="269">
        <v>64</v>
      </c>
      <c r="Z66" s="269">
        <v>1420</v>
      </c>
    </row>
    <row r="67" spans="1:26" x14ac:dyDescent="0.25">
      <c r="A67" s="271" t="s">
        <v>551</v>
      </c>
      <c r="B67" s="269" t="s">
        <v>168</v>
      </c>
      <c r="C67" s="269" t="s">
        <v>340</v>
      </c>
      <c r="D67" s="269" t="s">
        <v>49</v>
      </c>
      <c r="E67" s="269" t="s">
        <v>50</v>
      </c>
      <c r="F67" s="269">
        <v>13</v>
      </c>
      <c r="G67" s="269">
        <v>0</v>
      </c>
      <c r="H67" s="269">
        <v>9</v>
      </c>
      <c r="I67" s="269">
        <v>13</v>
      </c>
      <c r="J67" s="269">
        <v>12</v>
      </c>
      <c r="K67" s="269">
        <v>12</v>
      </c>
      <c r="L67" s="269">
        <v>39</v>
      </c>
      <c r="M67" s="269">
        <v>0</v>
      </c>
      <c r="N67" s="269">
        <v>31</v>
      </c>
      <c r="O67" s="269">
        <v>38</v>
      </c>
      <c r="P67" s="269">
        <v>37</v>
      </c>
      <c r="Q67" s="269">
        <v>37</v>
      </c>
      <c r="R67" s="269">
        <v>1490</v>
      </c>
      <c r="S67" s="269">
        <v>1454</v>
      </c>
      <c r="T67" s="269">
        <v>1011</v>
      </c>
      <c r="U67" s="269">
        <v>1241</v>
      </c>
      <c r="V67" s="269">
        <v>1183</v>
      </c>
      <c r="W67" s="269">
        <v>1183</v>
      </c>
      <c r="X67" s="269">
        <v>13</v>
      </c>
      <c r="Y67" s="269">
        <v>39</v>
      </c>
      <c r="Z67" s="269">
        <v>1489</v>
      </c>
    </row>
    <row r="68" spans="1:26" x14ac:dyDescent="0.25">
      <c r="A68" s="271" t="s">
        <v>551</v>
      </c>
      <c r="B68" s="269" t="s">
        <v>168</v>
      </c>
      <c r="C68" s="269" t="s">
        <v>431</v>
      </c>
      <c r="D68" s="269" t="s">
        <v>49</v>
      </c>
      <c r="E68" s="269" t="s">
        <v>50</v>
      </c>
      <c r="F68" s="269">
        <v>0</v>
      </c>
      <c r="G68" s="269">
        <v>0</v>
      </c>
      <c r="H68" s="269">
        <v>0</v>
      </c>
      <c r="I68" s="269">
        <v>0</v>
      </c>
      <c r="J68" s="269">
        <v>0</v>
      </c>
      <c r="K68" s="269">
        <v>0</v>
      </c>
      <c r="L68" s="269">
        <v>0</v>
      </c>
      <c r="M68" s="269">
        <v>0</v>
      </c>
      <c r="N68" s="269">
        <v>0</v>
      </c>
      <c r="O68" s="269">
        <v>0</v>
      </c>
      <c r="P68" s="269">
        <v>0</v>
      </c>
      <c r="Q68" s="269">
        <v>0</v>
      </c>
      <c r="R68" s="269">
        <v>86</v>
      </c>
      <c r="S68" s="269">
        <v>85</v>
      </c>
      <c r="T68" s="269">
        <v>57</v>
      </c>
      <c r="U68" s="269">
        <v>74</v>
      </c>
      <c r="V68" s="269">
        <v>59</v>
      </c>
      <c r="W68" s="269">
        <v>59</v>
      </c>
      <c r="X68" s="269">
        <v>0</v>
      </c>
      <c r="Y68" s="269">
        <v>0</v>
      </c>
      <c r="Z68" s="269">
        <v>86</v>
      </c>
    </row>
    <row r="69" spans="1:26" x14ac:dyDescent="0.25">
      <c r="A69" s="271" t="s">
        <v>551</v>
      </c>
      <c r="B69" s="269" t="s">
        <v>168</v>
      </c>
      <c r="C69" s="269" t="s">
        <v>280</v>
      </c>
      <c r="D69" s="269" t="s">
        <v>49</v>
      </c>
      <c r="E69" s="269" t="s">
        <v>50</v>
      </c>
      <c r="F69" s="269">
        <v>23</v>
      </c>
      <c r="G69" s="269">
        <v>0</v>
      </c>
      <c r="H69" s="269">
        <v>21</v>
      </c>
      <c r="I69" s="269">
        <v>22</v>
      </c>
      <c r="J69" s="269">
        <v>22</v>
      </c>
      <c r="K69" s="269">
        <v>22</v>
      </c>
      <c r="L69" s="269">
        <v>59</v>
      </c>
      <c r="M69" s="269">
        <v>0</v>
      </c>
      <c r="N69" s="269">
        <v>54</v>
      </c>
      <c r="O69" s="269">
        <v>56</v>
      </c>
      <c r="P69" s="269">
        <v>55</v>
      </c>
      <c r="Q69" s="269">
        <v>55</v>
      </c>
      <c r="R69" s="269">
        <v>1564</v>
      </c>
      <c r="S69" s="269">
        <v>1534</v>
      </c>
      <c r="T69" s="269">
        <v>1001</v>
      </c>
      <c r="U69" s="269">
        <v>1265</v>
      </c>
      <c r="V69" s="269">
        <v>1212</v>
      </c>
      <c r="W69" s="269">
        <v>1212</v>
      </c>
      <c r="X69" s="269">
        <v>23</v>
      </c>
      <c r="Y69" s="269">
        <v>59</v>
      </c>
      <c r="Z69" s="269">
        <v>1565</v>
      </c>
    </row>
    <row r="70" spans="1:26" x14ac:dyDescent="0.25">
      <c r="A70" s="271" t="s">
        <v>551</v>
      </c>
      <c r="B70" s="269" t="s">
        <v>167</v>
      </c>
      <c r="C70" s="269" t="s">
        <v>278</v>
      </c>
      <c r="D70" s="269" t="s">
        <v>49</v>
      </c>
      <c r="E70" s="269" t="s">
        <v>50</v>
      </c>
      <c r="F70" s="269">
        <v>0</v>
      </c>
      <c r="G70" s="269">
        <v>0</v>
      </c>
      <c r="H70" s="269">
        <v>0</v>
      </c>
      <c r="I70" s="269">
        <v>0</v>
      </c>
      <c r="J70" s="269">
        <v>0</v>
      </c>
      <c r="K70" s="269">
        <v>0</v>
      </c>
      <c r="L70" s="269">
        <v>0</v>
      </c>
      <c r="M70" s="269">
        <v>0</v>
      </c>
      <c r="N70" s="269">
        <v>0</v>
      </c>
      <c r="O70" s="269">
        <v>0</v>
      </c>
      <c r="P70" s="269">
        <v>0</v>
      </c>
      <c r="Q70" s="269">
        <v>0</v>
      </c>
      <c r="R70" s="269">
        <v>301</v>
      </c>
      <c r="S70" s="269">
        <v>296</v>
      </c>
      <c r="T70" s="269">
        <v>105</v>
      </c>
      <c r="U70" s="269">
        <v>178</v>
      </c>
      <c r="V70" s="269">
        <v>146</v>
      </c>
      <c r="W70" s="269">
        <v>146</v>
      </c>
      <c r="X70" s="269">
        <v>0</v>
      </c>
      <c r="Y70" s="269">
        <v>0</v>
      </c>
      <c r="Z70" s="269">
        <v>301</v>
      </c>
    </row>
    <row r="71" spans="1:26" x14ac:dyDescent="0.25">
      <c r="A71" s="271" t="s">
        <v>551</v>
      </c>
      <c r="B71" s="269" t="s">
        <v>168</v>
      </c>
      <c r="C71" s="269" t="s">
        <v>418</v>
      </c>
      <c r="D71" s="269" t="s">
        <v>49</v>
      </c>
      <c r="E71" s="269" t="s">
        <v>50</v>
      </c>
      <c r="F71" s="269">
        <v>21</v>
      </c>
      <c r="G71" s="269">
        <v>0</v>
      </c>
      <c r="H71" s="269">
        <v>12</v>
      </c>
      <c r="I71" s="269">
        <v>15</v>
      </c>
      <c r="J71" s="269">
        <v>16</v>
      </c>
      <c r="K71" s="269">
        <v>16</v>
      </c>
      <c r="L71" s="269">
        <v>57</v>
      </c>
      <c r="M71" s="269">
        <v>0</v>
      </c>
      <c r="N71" s="269">
        <v>41</v>
      </c>
      <c r="O71" s="269">
        <v>49</v>
      </c>
      <c r="P71" s="269">
        <v>49</v>
      </c>
      <c r="Q71" s="269">
        <v>49</v>
      </c>
      <c r="R71" s="269">
        <v>1371</v>
      </c>
      <c r="S71" s="269">
        <v>1349</v>
      </c>
      <c r="T71" s="269">
        <v>795</v>
      </c>
      <c r="U71" s="269">
        <v>1021</v>
      </c>
      <c r="V71" s="269">
        <v>1066</v>
      </c>
      <c r="W71" s="269">
        <v>1066</v>
      </c>
      <c r="X71" s="269">
        <v>21</v>
      </c>
      <c r="Y71" s="269">
        <v>57</v>
      </c>
      <c r="Z71" s="269">
        <v>1371</v>
      </c>
    </row>
    <row r="72" spans="1:26" x14ac:dyDescent="0.25">
      <c r="A72" s="271" t="s">
        <v>551</v>
      </c>
      <c r="B72" s="269" t="s">
        <v>167</v>
      </c>
      <c r="C72" s="269" t="s">
        <v>269</v>
      </c>
      <c r="D72" s="269" t="s">
        <v>49</v>
      </c>
      <c r="E72" s="269" t="s">
        <v>50</v>
      </c>
      <c r="F72" s="269">
        <v>5</v>
      </c>
      <c r="G72" s="269">
        <v>0</v>
      </c>
      <c r="H72" s="269">
        <v>5</v>
      </c>
      <c r="I72" s="269">
        <v>5</v>
      </c>
      <c r="J72" s="269">
        <v>5</v>
      </c>
      <c r="K72" s="269">
        <v>5</v>
      </c>
      <c r="L72" s="269">
        <v>10</v>
      </c>
      <c r="M72" s="269">
        <v>0</v>
      </c>
      <c r="N72" s="269">
        <v>9</v>
      </c>
      <c r="O72" s="269">
        <v>10</v>
      </c>
      <c r="P72" s="269">
        <v>10</v>
      </c>
      <c r="Q72" s="269">
        <v>10</v>
      </c>
      <c r="R72" s="269">
        <v>219</v>
      </c>
      <c r="S72" s="269">
        <v>214</v>
      </c>
      <c r="T72" s="269">
        <v>109</v>
      </c>
      <c r="U72" s="269">
        <v>156</v>
      </c>
      <c r="V72" s="269">
        <v>148</v>
      </c>
      <c r="W72" s="269">
        <v>148</v>
      </c>
      <c r="X72" s="269">
        <v>5</v>
      </c>
      <c r="Y72" s="269">
        <v>11</v>
      </c>
      <c r="Z72" s="269">
        <v>219</v>
      </c>
    </row>
    <row r="73" spans="1:26" x14ac:dyDescent="0.25">
      <c r="A73" s="271" t="s">
        <v>551</v>
      </c>
      <c r="B73" s="269" t="s">
        <v>168</v>
      </c>
      <c r="C73" s="269" t="s">
        <v>341</v>
      </c>
      <c r="D73" s="269" t="s">
        <v>49</v>
      </c>
      <c r="E73" s="269" t="s">
        <v>50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69">
        <v>0</v>
      </c>
      <c r="M73" s="269">
        <v>0</v>
      </c>
      <c r="N73" s="269">
        <v>0</v>
      </c>
      <c r="O73" s="269">
        <v>0</v>
      </c>
      <c r="P73" s="269">
        <v>0</v>
      </c>
      <c r="Q73" s="269">
        <v>0</v>
      </c>
      <c r="R73" s="269">
        <v>227</v>
      </c>
      <c r="S73" s="269">
        <v>222</v>
      </c>
      <c r="T73" s="269">
        <v>138</v>
      </c>
      <c r="U73" s="269">
        <v>172</v>
      </c>
      <c r="V73" s="269">
        <v>159</v>
      </c>
      <c r="W73" s="269">
        <v>159</v>
      </c>
      <c r="X73" s="269">
        <v>0</v>
      </c>
      <c r="Y73" s="269">
        <v>0</v>
      </c>
      <c r="Z73" s="269">
        <v>227</v>
      </c>
    </row>
    <row r="74" spans="1:26" x14ac:dyDescent="0.25">
      <c r="A74" s="271" t="s">
        <v>551</v>
      </c>
      <c r="B74" s="269" t="s">
        <v>168</v>
      </c>
      <c r="C74" s="269" t="s">
        <v>420</v>
      </c>
      <c r="D74" s="269" t="s">
        <v>49</v>
      </c>
      <c r="E74" s="269" t="s">
        <v>50</v>
      </c>
      <c r="F74" s="269">
        <v>30</v>
      </c>
      <c r="G74" s="269">
        <v>0</v>
      </c>
      <c r="H74" s="269">
        <v>23</v>
      </c>
      <c r="I74" s="269">
        <v>25</v>
      </c>
      <c r="J74" s="269">
        <v>24</v>
      </c>
      <c r="K74" s="269">
        <v>24</v>
      </c>
      <c r="L74" s="269">
        <v>80</v>
      </c>
      <c r="M74" s="269">
        <v>0</v>
      </c>
      <c r="N74" s="269">
        <v>54</v>
      </c>
      <c r="O74" s="269">
        <v>64</v>
      </c>
      <c r="P74" s="269">
        <v>63</v>
      </c>
      <c r="Q74" s="269">
        <v>63</v>
      </c>
      <c r="R74" s="269">
        <v>1859</v>
      </c>
      <c r="S74" s="269">
        <v>1834</v>
      </c>
      <c r="T74" s="269">
        <v>1050</v>
      </c>
      <c r="U74" s="269">
        <v>1453</v>
      </c>
      <c r="V74" s="269">
        <v>1384</v>
      </c>
      <c r="W74" s="269">
        <v>1384</v>
      </c>
      <c r="X74" s="269">
        <v>30</v>
      </c>
      <c r="Y74" s="269">
        <v>80</v>
      </c>
      <c r="Z74" s="269">
        <v>1858</v>
      </c>
    </row>
    <row r="75" spans="1:26" x14ac:dyDescent="0.25">
      <c r="A75" s="271" t="s">
        <v>551</v>
      </c>
      <c r="B75" s="269" t="s">
        <v>168</v>
      </c>
      <c r="C75" s="269" t="s">
        <v>251</v>
      </c>
      <c r="D75" s="269" t="s">
        <v>49</v>
      </c>
      <c r="E75" s="269" t="s">
        <v>50</v>
      </c>
      <c r="F75" s="269">
        <v>10</v>
      </c>
      <c r="G75" s="269">
        <v>0</v>
      </c>
      <c r="H75" s="269">
        <v>8</v>
      </c>
      <c r="I75" s="269">
        <v>9</v>
      </c>
      <c r="J75" s="269">
        <v>9</v>
      </c>
      <c r="K75" s="269">
        <v>9</v>
      </c>
      <c r="L75" s="269">
        <v>27</v>
      </c>
      <c r="M75" s="269">
        <v>0</v>
      </c>
      <c r="N75" s="269">
        <v>20</v>
      </c>
      <c r="O75" s="269">
        <v>23</v>
      </c>
      <c r="P75" s="269">
        <v>24</v>
      </c>
      <c r="Q75" s="269">
        <v>24</v>
      </c>
      <c r="R75" s="269">
        <v>598</v>
      </c>
      <c r="S75" s="269">
        <v>585</v>
      </c>
      <c r="T75" s="269">
        <v>427</v>
      </c>
      <c r="U75" s="269">
        <v>478</v>
      </c>
      <c r="V75" s="269">
        <v>456</v>
      </c>
      <c r="W75" s="269">
        <v>456</v>
      </c>
      <c r="X75" s="269">
        <v>10</v>
      </c>
      <c r="Y75" s="269">
        <v>27</v>
      </c>
      <c r="Z75" s="269">
        <v>598</v>
      </c>
    </row>
    <row r="76" spans="1:26" x14ac:dyDescent="0.25">
      <c r="A76" s="271" t="s">
        <v>551</v>
      </c>
      <c r="B76" s="269" t="s">
        <v>168</v>
      </c>
      <c r="C76" s="269" t="s">
        <v>344</v>
      </c>
      <c r="D76" s="269" t="s">
        <v>49</v>
      </c>
      <c r="E76" s="269" t="s">
        <v>50</v>
      </c>
      <c r="F76" s="269">
        <v>0</v>
      </c>
      <c r="G76" s="269">
        <v>0</v>
      </c>
      <c r="H76" s="269">
        <v>0</v>
      </c>
      <c r="I76" s="269">
        <v>0</v>
      </c>
      <c r="J76" s="269">
        <v>0</v>
      </c>
      <c r="K76" s="269">
        <v>0</v>
      </c>
      <c r="L76" s="269">
        <v>0</v>
      </c>
      <c r="M76" s="269">
        <v>0</v>
      </c>
      <c r="N76" s="269">
        <v>0</v>
      </c>
      <c r="O76" s="269">
        <v>0</v>
      </c>
      <c r="P76" s="269">
        <v>0</v>
      </c>
      <c r="Q76" s="269">
        <v>0</v>
      </c>
      <c r="R76" s="269">
        <v>152</v>
      </c>
      <c r="S76" s="269">
        <v>147</v>
      </c>
      <c r="T76" s="269">
        <v>85</v>
      </c>
      <c r="U76" s="269">
        <v>108</v>
      </c>
      <c r="V76" s="269">
        <v>118</v>
      </c>
      <c r="W76" s="269">
        <v>118</v>
      </c>
      <c r="X76" s="269">
        <v>0</v>
      </c>
      <c r="Y76" s="269">
        <v>0</v>
      </c>
      <c r="Z76" s="269">
        <v>151</v>
      </c>
    </row>
    <row r="77" spans="1:26" x14ac:dyDescent="0.25">
      <c r="A77" s="271" t="s">
        <v>551</v>
      </c>
      <c r="B77" s="269" t="s">
        <v>168</v>
      </c>
      <c r="C77" s="269" t="s">
        <v>272</v>
      </c>
      <c r="D77" s="269" t="s">
        <v>49</v>
      </c>
      <c r="E77" s="269" t="s">
        <v>50</v>
      </c>
      <c r="F77" s="269">
        <v>24</v>
      </c>
      <c r="G77" s="269">
        <v>0</v>
      </c>
      <c r="H77" s="269">
        <v>21</v>
      </c>
      <c r="I77" s="269">
        <v>21</v>
      </c>
      <c r="J77" s="269">
        <v>19</v>
      </c>
      <c r="K77" s="269">
        <v>19</v>
      </c>
      <c r="L77" s="269">
        <v>64</v>
      </c>
      <c r="M77" s="269">
        <v>0</v>
      </c>
      <c r="N77" s="269">
        <v>51</v>
      </c>
      <c r="O77" s="269">
        <v>57</v>
      </c>
      <c r="P77" s="269">
        <v>51</v>
      </c>
      <c r="Q77" s="269">
        <v>51</v>
      </c>
      <c r="R77" s="269">
        <v>1503</v>
      </c>
      <c r="S77" s="269">
        <v>1492</v>
      </c>
      <c r="T77" s="269">
        <v>984</v>
      </c>
      <c r="U77" s="269">
        <v>1200</v>
      </c>
      <c r="V77" s="269">
        <v>1119</v>
      </c>
      <c r="W77" s="269">
        <v>1119</v>
      </c>
      <c r="X77" s="269">
        <v>24</v>
      </c>
      <c r="Y77" s="269">
        <v>64</v>
      </c>
      <c r="Z77" s="269">
        <v>1503</v>
      </c>
    </row>
    <row r="78" spans="1:26" x14ac:dyDescent="0.25">
      <c r="A78" s="271" t="s">
        <v>551</v>
      </c>
      <c r="B78" s="269" t="s">
        <v>168</v>
      </c>
      <c r="C78" s="269" t="s">
        <v>372</v>
      </c>
      <c r="D78" s="269" t="s">
        <v>49</v>
      </c>
      <c r="E78" s="269" t="s">
        <v>50</v>
      </c>
      <c r="F78" s="269">
        <v>24</v>
      </c>
      <c r="G78" s="269">
        <v>0</v>
      </c>
      <c r="H78" s="269">
        <v>16</v>
      </c>
      <c r="I78" s="269">
        <v>19</v>
      </c>
      <c r="J78" s="269">
        <v>19</v>
      </c>
      <c r="K78" s="269">
        <v>19</v>
      </c>
      <c r="L78" s="269">
        <v>64</v>
      </c>
      <c r="M78" s="269">
        <v>0</v>
      </c>
      <c r="N78" s="269">
        <v>43</v>
      </c>
      <c r="O78" s="269">
        <v>53</v>
      </c>
      <c r="P78" s="269">
        <v>46</v>
      </c>
      <c r="Q78" s="269">
        <v>46</v>
      </c>
      <c r="R78" s="269">
        <v>1266</v>
      </c>
      <c r="S78" s="269">
        <v>1260</v>
      </c>
      <c r="T78" s="269">
        <v>760</v>
      </c>
      <c r="U78" s="269">
        <v>1012</v>
      </c>
      <c r="V78" s="269">
        <v>950</v>
      </c>
      <c r="W78" s="269">
        <v>950</v>
      </c>
      <c r="X78" s="269">
        <v>24</v>
      </c>
      <c r="Y78" s="269">
        <v>64</v>
      </c>
      <c r="Z78" s="269">
        <v>1267</v>
      </c>
    </row>
    <row r="79" spans="1:26" x14ac:dyDescent="0.25">
      <c r="A79" s="271" t="s">
        <v>551</v>
      </c>
      <c r="B79" s="269" t="s">
        <v>168</v>
      </c>
      <c r="C79" s="269" t="s">
        <v>392</v>
      </c>
      <c r="D79" s="269" t="s">
        <v>49</v>
      </c>
      <c r="E79" s="269" t="s">
        <v>50</v>
      </c>
      <c r="F79" s="269">
        <v>29</v>
      </c>
      <c r="G79" s="269">
        <v>0</v>
      </c>
      <c r="H79" s="269">
        <v>17</v>
      </c>
      <c r="I79" s="269">
        <v>25</v>
      </c>
      <c r="J79" s="269">
        <v>23</v>
      </c>
      <c r="K79" s="269">
        <v>23</v>
      </c>
      <c r="L79" s="269">
        <v>79</v>
      </c>
      <c r="M79" s="269">
        <v>0</v>
      </c>
      <c r="N79" s="269">
        <v>57</v>
      </c>
      <c r="O79" s="269">
        <v>72</v>
      </c>
      <c r="P79" s="269">
        <v>69</v>
      </c>
      <c r="Q79" s="269">
        <v>69</v>
      </c>
      <c r="R79" s="269">
        <v>1877</v>
      </c>
      <c r="S79" s="269">
        <v>1826</v>
      </c>
      <c r="T79" s="269">
        <v>1296</v>
      </c>
      <c r="U79" s="269">
        <v>1511</v>
      </c>
      <c r="V79" s="269">
        <v>1499</v>
      </c>
      <c r="W79" s="269">
        <v>1499</v>
      </c>
      <c r="X79" s="269">
        <v>30</v>
      </c>
      <c r="Y79" s="269">
        <v>80</v>
      </c>
      <c r="Z79" s="269">
        <v>1877</v>
      </c>
    </row>
    <row r="80" spans="1:26" x14ac:dyDescent="0.25">
      <c r="A80" s="271" t="s">
        <v>551</v>
      </c>
      <c r="B80" s="269" t="s">
        <v>168</v>
      </c>
      <c r="C80" s="269" t="s">
        <v>387</v>
      </c>
      <c r="D80" s="269" t="s">
        <v>49</v>
      </c>
      <c r="E80" s="269" t="s">
        <v>50</v>
      </c>
      <c r="F80" s="269">
        <v>10</v>
      </c>
      <c r="G80" s="269">
        <v>0</v>
      </c>
      <c r="H80" s="269">
        <v>6</v>
      </c>
      <c r="I80" s="269">
        <v>7</v>
      </c>
      <c r="J80" s="269">
        <v>6</v>
      </c>
      <c r="K80" s="269">
        <v>6</v>
      </c>
      <c r="L80" s="269">
        <v>28</v>
      </c>
      <c r="M80" s="269">
        <v>0</v>
      </c>
      <c r="N80" s="269">
        <v>20</v>
      </c>
      <c r="O80" s="269">
        <v>23</v>
      </c>
      <c r="P80" s="269">
        <v>22</v>
      </c>
      <c r="Q80" s="269">
        <v>22</v>
      </c>
      <c r="R80" s="269">
        <v>600</v>
      </c>
      <c r="S80" s="269">
        <v>595</v>
      </c>
      <c r="T80" s="269">
        <v>367</v>
      </c>
      <c r="U80" s="269">
        <v>440</v>
      </c>
      <c r="V80" s="269">
        <v>411</v>
      </c>
      <c r="W80" s="269">
        <v>411</v>
      </c>
      <c r="X80" s="269">
        <v>10</v>
      </c>
      <c r="Y80" s="269">
        <v>28</v>
      </c>
      <c r="Z80" s="269">
        <v>600</v>
      </c>
    </row>
    <row r="81" spans="1:26" x14ac:dyDescent="0.25">
      <c r="A81" s="271" t="s">
        <v>551</v>
      </c>
      <c r="B81" s="269" t="s">
        <v>168</v>
      </c>
      <c r="C81" s="269" t="s">
        <v>333</v>
      </c>
      <c r="D81" s="269" t="s">
        <v>49</v>
      </c>
      <c r="E81" s="269" t="s">
        <v>50</v>
      </c>
      <c r="F81" s="269">
        <v>18</v>
      </c>
      <c r="G81" s="269">
        <v>0</v>
      </c>
      <c r="H81" s="269">
        <v>14</v>
      </c>
      <c r="I81" s="269">
        <v>15</v>
      </c>
      <c r="J81" s="269">
        <v>15</v>
      </c>
      <c r="K81" s="269">
        <v>15</v>
      </c>
      <c r="L81" s="269">
        <v>48</v>
      </c>
      <c r="M81" s="269">
        <v>0</v>
      </c>
      <c r="N81" s="269">
        <v>42</v>
      </c>
      <c r="O81" s="269">
        <v>43</v>
      </c>
      <c r="P81" s="269">
        <v>39</v>
      </c>
      <c r="Q81" s="269">
        <v>39</v>
      </c>
      <c r="R81" s="269">
        <v>953</v>
      </c>
      <c r="S81" s="269">
        <v>933</v>
      </c>
      <c r="T81" s="269">
        <v>592</v>
      </c>
      <c r="U81" s="269">
        <v>711</v>
      </c>
      <c r="V81" s="269">
        <v>680</v>
      </c>
      <c r="W81" s="269">
        <v>680</v>
      </c>
      <c r="X81" s="269">
        <v>18</v>
      </c>
      <c r="Y81" s="269">
        <v>48</v>
      </c>
      <c r="Z81" s="269">
        <v>953</v>
      </c>
    </row>
    <row r="82" spans="1:26" x14ac:dyDescent="0.25">
      <c r="A82" s="271" t="s">
        <v>551</v>
      </c>
      <c r="B82" s="269" t="s">
        <v>168</v>
      </c>
      <c r="C82" s="269" t="s">
        <v>256</v>
      </c>
      <c r="D82" s="269" t="s">
        <v>49</v>
      </c>
      <c r="E82" s="269" t="s">
        <v>50</v>
      </c>
      <c r="F82" s="269">
        <v>17</v>
      </c>
      <c r="G82" s="269">
        <v>0</v>
      </c>
      <c r="H82" s="269">
        <v>12</v>
      </c>
      <c r="I82" s="269">
        <v>14</v>
      </c>
      <c r="J82" s="269">
        <v>11</v>
      </c>
      <c r="K82" s="269">
        <v>11</v>
      </c>
      <c r="L82" s="269">
        <v>45</v>
      </c>
      <c r="M82" s="269">
        <v>0</v>
      </c>
      <c r="N82" s="269">
        <v>33</v>
      </c>
      <c r="O82" s="269">
        <v>38</v>
      </c>
      <c r="P82" s="269">
        <v>33</v>
      </c>
      <c r="Q82" s="269">
        <v>33</v>
      </c>
      <c r="R82" s="269">
        <v>1013</v>
      </c>
      <c r="S82" s="269">
        <v>994</v>
      </c>
      <c r="T82" s="269">
        <v>587</v>
      </c>
      <c r="U82" s="269">
        <v>765</v>
      </c>
      <c r="V82" s="269">
        <v>720</v>
      </c>
      <c r="W82" s="269">
        <v>720</v>
      </c>
      <c r="X82" s="269">
        <v>17</v>
      </c>
      <c r="Y82" s="269">
        <v>45</v>
      </c>
      <c r="Z82" s="269">
        <v>1013</v>
      </c>
    </row>
    <row r="83" spans="1:26" x14ac:dyDescent="0.25">
      <c r="A83" s="271" t="s">
        <v>551</v>
      </c>
      <c r="B83" s="269" t="s">
        <v>168</v>
      </c>
      <c r="C83" s="269" t="s">
        <v>309</v>
      </c>
      <c r="D83" s="269" t="s">
        <v>49</v>
      </c>
      <c r="E83" s="269" t="s">
        <v>50</v>
      </c>
      <c r="F83" s="269">
        <v>10</v>
      </c>
      <c r="G83" s="269">
        <v>0</v>
      </c>
      <c r="H83" s="269">
        <v>9</v>
      </c>
      <c r="I83" s="269">
        <v>10</v>
      </c>
      <c r="J83" s="269">
        <v>10</v>
      </c>
      <c r="K83" s="269">
        <v>10</v>
      </c>
      <c r="L83" s="269">
        <v>27</v>
      </c>
      <c r="M83" s="269">
        <v>0</v>
      </c>
      <c r="N83" s="269">
        <v>25</v>
      </c>
      <c r="O83" s="269">
        <v>27</v>
      </c>
      <c r="P83" s="269">
        <v>26</v>
      </c>
      <c r="Q83" s="269">
        <v>26</v>
      </c>
      <c r="R83" s="269">
        <v>614</v>
      </c>
      <c r="S83" s="269">
        <v>587</v>
      </c>
      <c r="T83" s="269">
        <v>379</v>
      </c>
      <c r="U83" s="269">
        <v>460</v>
      </c>
      <c r="V83" s="269">
        <v>488</v>
      </c>
      <c r="W83" s="269">
        <v>488</v>
      </c>
      <c r="X83" s="269">
        <v>10</v>
      </c>
      <c r="Y83" s="269">
        <v>27</v>
      </c>
      <c r="Z83" s="269">
        <v>614</v>
      </c>
    </row>
    <row r="84" spans="1:26" x14ac:dyDescent="0.25">
      <c r="A84" s="271" t="s">
        <v>551</v>
      </c>
      <c r="B84" s="269" t="s">
        <v>168</v>
      </c>
      <c r="C84" s="269" t="s">
        <v>239</v>
      </c>
      <c r="D84" s="269" t="s">
        <v>49</v>
      </c>
      <c r="E84" s="269" t="s">
        <v>50</v>
      </c>
      <c r="F84" s="269">
        <v>44</v>
      </c>
      <c r="G84" s="269">
        <v>0</v>
      </c>
      <c r="H84" s="269">
        <v>26</v>
      </c>
      <c r="I84" s="269">
        <v>34</v>
      </c>
      <c r="J84" s="269">
        <v>32</v>
      </c>
      <c r="K84" s="269">
        <v>32</v>
      </c>
      <c r="L84" s="269">
        <v>120</v>
      </c>
      <c r="M84" s="269">
        <v>0</v>
      </c>
      <c r="N84" s="269">
        <v>68</v>
      </c>
      <c r="O84" s="269">
        <v>92</v>
      </c>
      <c r="P84" s="269">
        <v>78</v>
      </c>
      <c r="Q84" s="269">
        <v>78</v>
      </c>
      <c r="R84" s="269">
        <v>3082</v>
      </c>
      <c r="S84" s="269">
        <v>3040</v>
      </c>
      <c r="T84" s="269">
        <v>1774</v>
      </c>
      <c r="U84" s="269">
        <v>2263</v>
      </c>
      <c r="V84" s="269">
        <v>1909</v>
      </c>
      <c r="W84" s="269">
        <v>1909</v>
      </c>
      <c r="X84" s="269">
        <v>44</v>
      </c>
      <c r="Y84" s="269">
        <v>120</v>
      </c>
      <c r="Z84" s="269">
        <v>3082</v>
      </c>
    </row>
    <row r="85" spans="1:26" x14ac:dyDescent="0.25">
      <c r="A85" s="271" t="s">
        <v>551</v>
      </c>
      <c r="B85" s="269" t="s">
        <v>168</v>
      </c>
      <c r="C85" s="269" t="s">
        <v>318</v>
      </c>
      <c r="D85" s="269" t="s">
        <v>49</v>
      </c>
      <c r="E85" s="269" t="s">
        <v>50</v>
      </c>
      <c r="F85" s="269">
        <v>10</v>
      </c>
      <c r="G85" s="269">
        <v>0</v>
      </c>
      <c r="H85" s="269">
        <v>7</v>
      </c>
      <c r="I85" s="269">
        <v>7</v>
      </c>
      <c r="J85" s="269">
        <v>8</v>
      </c>
      <c r="K85" s="269">
        <v>8</v>
      </c>
      <c r="L85" s="269">
        <v>28</v>
      </c>
      <c r="M85" s="269">
        <v>0</v>
      </c>
      <c r="N85" s="269">
        <v>18</v>
      </c>
      <c r="O85" s="269">
        <v>21</v>
      </c>
      <c r="P85" s="269">
        <v>23</v>
      </c>
      <c r="Q85" s="269">
        <v>23</v>
      </c>
      <c r="R85" s="269">
        <v>659</v>
      </c>
      <c r="S85" s="269">
        <v>620</v>
      </c>
      <c r="T85" s="269">
        <v>390</v>
      </c>
      <c r="U85" s="269">
        <v>492</v>
      </c>
      <c r="V85" s="269">
        <v>514</v>
      </c>
      <c r="W85" s="269">
        <v>514</v>
      </c>
      <c r="X85" s="269">
        <v>10</v>
      </c>
      <c r="Y85" s="269">
        <v>28</v>
      </c>
      <c r="Z85" s="269">
        <v>660</v>
      </c>
    </row>
    <row r="86" spans="1:26" x14ac:dyDescent="0.25">
      <c r="A86" s="271" t="s">
        <v>551</v>
      </c>
      <c r="B86" s="269" t="s">
        <v>168</v>
      </c>
      <c r="C86" s="269" t="s">
        <v>325</v>
      </c>
      <c r="D86" s="269" t="s">
        <v>49</v>
      </c>
      <c r="E86" s="269" t="s">
        <v>50</v>
      </c>
      <c r="F86" s="269">
        <v>12</v>
      </c>
      <c r="G86" s="269">
        <v>0</v>
      </c>
      <c r="H86" s="269">
        <v>11</v>
      </c>
      <c r="I86" s="269">
        <v>12</v>
      </c>
      <c r="J86" s="269">
        <v>12</v>
      </c>
      <c r="K86" s="269">
        <v>12</v>
      </c>
      <c r="L86" s="269">
        <v>32</v>
      </c>
      <c r="M86" s="269">
        <v>0</v>
      </c>
      <c r="N86" s="269">
        <v>29</v>
      </c>
      <c r="O86" s="269">
        <v>31</v>
      </c>
      <c r="P86" s="269">
        <v>29</v>
      </c>
      <c r="Q86" s="269">
        <v>29</v>
      </c>
      <c r="R86" s="269">
        <v>840</v>
      </c>
      <c r="S86" s="269">
        <v>836</v>
      </c>
      <c r="T86" s="269">
        <v>558</v>
      </c>
      <c r="U86" s="269">
        <v>695</v>
      </c>
      <c r="V86" s="269">
        <v>678</v>
      </c>
      <c r="W86" s="269">
        <v>678</v>
      </c>
      <c r="X86" s="269">
        <v>12</v>
      </c>
      <c r="Y86" s="269">
        <v>32</v>
      </c>
      <c r="Z86" s="269">
        <v>840</v>
      </c>
    </row>
    <row r="87" spans="1:26" x14ac:dyDescent="0.25">
      <c r="A87" s="271" t="s">
        <v>551</v>
      </c>
      <c r="B87" s="269" t="s">
        <v>168</v>
      </c>
      <c r="C87" s="269" t="s">
        <v>397</v>
      </c>
      <c r="D87" s="269" t="s">
        <v>49</v>
      </c>
      <c r="E87" s="269" t="s">
        <v>50</v>
      </c>
      <c r="F87" s="269">
        <v>11</v>
      </c>
      <c r="G87" s="269">
        <v>0</v>
      </c>
      <c r="H87" s="269">
        <v>6</v>
      </c>
      <c r="I87" s="269">
        <v>7</v>
      </c>
      <c r="J87" s="269">
        <v>5</v>
      </c>
      <c r="K87" s="269">
        <v>5</v>
      </c>
      <c r="L87" s="269">
        <v>29</v>
      </c>
      <c r="M87" s="269">
        <v>0</v>
      </c>
      <c r="N87" s="269">
        <v>22</v>
      </c>
      <c r="O87" s="269">
        <v>23</v>
      </c>
      <c r="P87" s="269">
        <v>19</v>
      </c>
      <c r="Q87" s="269">
        <v>19</v>
      </c>
      <c r="R87" s="269">
        <v>342</v>
      </c>
      <c r="S87" s="269">
        <v>332</v>
      </c>
      <c r="T87" s="269">
        <v>267</v>
      </c>
      <c r="U87" s="269">
        <v>285</v>
      </c>
      <c r="V87" s="269">
        <v>261</v>
      </c>
      <c r="W87" s="269">
        <v>261</v>
      </c>
      <c r="X87" s="269">
        <v>11</v>
      </c>
      <c r="Y87" s="269">
        <v>29</v>
      </c>
      <c r="Z87" s="269">
        <v>342</v>
      </c>
    </row>
    <row r="88" spans="1:26" x14ac:dyDescent="0.25">
      <c r="A88" s="271" t="s">
        <v>551</v>
      </c>
      <c r="B88" s="269" t="s">
        <v>168</v>
      </c>
      <c r="C88" s="269" t="s">
        <v>434</v>
      </c>
      <c r="D88" s="269" t="s">
        <v>49</v>
      </c>
      <c r="E88" s="269" t="s">
        <v>50</v>
      </c>
      <c r="F88" s="269">
        <v>0</v>
      </c>
      <c r="G88" s="269">
        <v>0</v>
      </c>
      <c r="H88" s="269">
        <v>0</v>
      </c>
      <c r="I88" s="269">
        <v>0</v>
      </c>
      <c r="J88" s="269">
        <v>0</v>
      </c>
      <c r="K88" s="269">
        <v>0</v>
      </c>
      <c r="L88" s="269">
        <v>0</v>
      </c>
      <c r="M88" s="269">
        <v>0</v>
      </c>
      <c r="N88" s="269">
        <v>0</v>
      </c>
      <c r="O88" s="269">
        <v>0</v>
      </c>
      <c r="P88" s="269">
        <v>0</v>
      </c>
      <c r="Q88" s="269">
        <v>0</v>
      </c>
      <c r="R88" s="269">
        <v>73</v>
      </c>
      <c r="S88" s="269">
        <v>71</v>
      </c>
      <c r="T88" s="269">
        <v>38</v>
      </c>
      <c r="U88" s="269">
        <v>52</v>
      </c>
      <c r="V88" s="269">
        <v>54</v>
      </c>
      <c r="W88" s="269">
        <v>54</v>
      </c>
      <c r="X88" s="269">
        <v>0</v>
      </c>
      <c r="Y88" s="269">
        <v>0</v>
      </c>
      <c r="Z88" s="269">
        <v>73</v>
      </c>
    </row>
    <row r="89" spans="1:26" x14ac:dyDescent="0.25">
      <c r="A89" s="271" t="s">
        <v>551</v>
      </c>
      <c r="B89" s="269" t="s">
        <v>167</v>
      </c>
      <c r="C89" s="269" t="s">
        <v>518</v>
      </c>
      <c r="D89" s="269" t="s">
        <v>49</v>
      </c>
      <c r="E89" s="269" t="s">
        <v>50</v>
      </c>
      <c r="F89" s="269">
        <v>0</v>
      </c>
      <c r="G89" s="269">
        <v>0</v>
      </c>
      <c r="H89" s="269">
        <v>0</v>
      </c>
      <c r="I89" s="269">
        <v>0</v>
      </c>
      <c r="J89" s="269">
        <v>0</v>
      </c>
      <c r="K89" s="269">
        <v>0</v>
      </c>
      <c r="L89" s="269">
        <v>0</v>
      </c>
      <c r="M89" s="269">
        <v>0</v>
      </c>
      <c r="N89" s="269">
        <v>0</v>
      </c>
      <c r="O89" s="269">
        <v>0</v>
      </c>
      <c r="P89" s="269">
        <v>0</v>
      </c>
      <c r="Q89" s="269">
        <v>0</v>
      </c>
      <c r="R89" s="269">
        <v>40</v>
      </c>
      <c r="S89" s="269">
        <v>40</v>
      </c>
      <c r="T89" s="269">
        <v>15</v>
      </c>
      <c r="U89" s="269">
        <v>31</v>
      </c>
      <c r="V89" s="269">
        <v>25</v>
      </c>
      <c r="W89" s="269">
        <v>25</v>
      </c>
      <c r="X89" s="269">
        <v>0</v>
      </c>
      <c r="Y89" s="269">
        <v>0</v>
      </c>
      <c r="Z89" s="269">
        <v>40</v>
      </c>
    </row>
    <row r="90" spans="1:26" x14ac:dyDescent="0.25">
      <c r="A90" s="271" t="s">
        <v>551</v>
      </c>
      <c r="B90" s="269" t="s">
        <v>168</v>
      </c>
      <c r="C90" s="269" t="s">
        <v>299</v>
      </c>
      <c r="D90" s="269" t="s">
        <v>49</v>
      </c>
      <c r="E90" s="269" t="s">
        <v>50</v>
      </c>
      <c r="F90" s="269">
        <v>17</v>
      </c>
      <c r="G90" s="269">
        <v>0</v>
      </c>
      <c r="H90" s="269">
        <v>15</v>
      </c>
      <c r="I90" s="269">
        <v>16</v>
      </c>
      <c r="J90" s="269">
        <v>15</v>
      </c>
      <c r="K90" s="269">
        <v>15</v>
      </c>
      <c r="L90" s="269">
        <v>45</v>
      </c>
      <c r="M90" s="269">
        <v>0</v>
      </c>
      <c r="N90" s="269">
        <v>35</v>
      </c>
      <c r="O90" s="269">
        <v>43</v>
      </c>
      <c r="P90" s="269">
        <v>42</v>
      </c>
      <c r="Q90" s="269">
        <v>42</v>
      </c>
      <c r="R90" s="269">
        <v>1018</v>
      </c>
      <c r="S90" s="269">
        <v>1001</v>
      </c>
      <c r="T90" s="269">
        <v>547</v>
      </c>
      <c r="U90" s="269">
        <v>751</v>
      </c>
      <c r="V90" s="269">
        <v>747</v>
      </c>
      <c r="W90" s="269">
        <v>747</v>
      </c>
      <c r="X90" s="269">
        <v>17</v>
      </c>
      <c r="Y90" s="269">
        <v>45</v>
      </c>
      <c r="Z90" s="269">
        <v>1018</v>
      </c>
    </row>
    <row r="91" spans="1:26" x14ac:dyDescent="0.25">
      <c r="A91" s="271" t="s">
        <v>551</v>
      </c>
      <c r="B91" s="269" t="s">
        <v>168</v>
      </c>
      <c r="C91" s="269" t="s">
        <v>262</v>
      </c>
      <c r="D91" s="269" t="s">
        <v>49</v>
      </c>
      <c r="E91" s="269" t="s">
        <v>50</v>
      </c>
      <c r="F91" s="269">
        <v>33</v>
      </c>
      <c r="G91" s="269">
        <v>0</v>
      </c>
      <c r="H91" s="269">
        <v>27</v>
      </c>
      <c r="I91" s="269">
        <v>32</v>
      </c>
      <c r="J91" s="269">
        <v>28</v>
      </c>
      <c r="K91" s="269">
        <v>28</v>
      </c>
      <c r="L91" s="269">
        <v>93</v>
      </c>
      <c r="M91" s="269">
        <v>0</v>
      </c>
      <c r="N91" s="269">
        <v>73</v>
      </c>
      <c r="O91" s="269">
        <v>85</v>
      </c>
      <c r="P91" s="269">
        <v>71</v>
      </c>
      <c r="Q91" s="269">
        <v>71</v>
      </c>
      <c r="R91" s="269">
        <v>1412</v>
      </c>
      <c r="S91" s="269">
        <v>1379</v>
      </c>
      <c r="T91" s="269">
        <v>1045</v>
      </c>
      <c r="U91" s="269">
        <v>1214</v>
      </c>
      <c r="V91" s="269">
        <v>1115</v>
      </c>
      <c r="W91" s="269">
        <v>1116</v>
      </c>
      <c r="X91" s="269">
        <v>33</v>
      </c>
      <c r="Y91" s="269">
        <v>93</v>
      </c>
      <c r="Z91" s="269">
        <v>1413</v>
      </c>
    </row>
    <row r="92" spans="1:26" x14ac:dyDescent="0.25">
      <c r="A92" s="271" t="s">
        <v>551</v>
      </c>
      <c r="B92" s="269" t="s">
        <v>168</v>
      </c>
      <c r="C92" s="269" t="s">
        <v>345</v>
      </c>
      <c r="D92" s="269" t="s">
        <v>49</v>
      </c>
      <c r="E92" s="269" t="s">
        <v>50</v>
      </c>
      <c r="F92" s="269">
        <v>20</v>
      </c>
      <c r="G92" s="269">
        <v>0</v>
      </c>
      <c r="H92" s="269">
        <v>15</v>
      </c>
      <c r="I92" s="269">
        <v>17</v>
      </c>
      <c r="J92" s="269">
        <v>16</v>
      </c>
      <c r="K92" s="269">
        <v>16</v>
      </c>
      <c r="L92" s="269">
        <v>53</v>
      </c>
      <c r="M92" s="269">
        <v>0</v>
      </c>
      <c r="N92" s="269">
        <v>36</v>
      </c>
      <c r="O92" s="269">
        <v>43</v>
      </c>
      <c r="P92" s="269">
        <v>40</v>
      </c>
      <c r="Q92" s="269">
        <v>40</v>
      </c>
      <c r="R92" s="269">
        <v>1655</v>
      </c>
      <c r="S92" s="269">
        <v>1620</v>
      </c>
      <c r="T92" s="269">
        <v>1058</v>
      </c>
      <c r="U92" s="269">
        <v>1284</v>
      </c>
      <c r="V92" s="269">
        <v>1148</v>
      </c>
      <c r="W92" s="269">
        <v>1148</v>
      </c>
      <c r="X92" s="269">
        <v>20</v>
      </c>
      <c r="Y92" s="269">
        <v>53</v>
      </c>
      <c r="Z92" s="269">
        <v>1654</v>
      </c>
    </row>
    <row r="93" spans="1:26" x14ac:dyDescent="0.25">
      <c r="A93" s="271" t="s">
        <v>551</v>
      </c>
      <c r="B93" s="269" t="s">
        <v>168</v>
      </c>
      <c r="C93" s="269" t="s">
        <v>384</v>
      </c>
      <c r="D93" s="269" t="s">
        <v>49</v>
      </c>
      <c r="E93" s="269" t="s">
        <v>50</v>
      </c>
      <c r="F93" s="269">
        <v>18</v>
      </c>
      <c r="G93" s="269">
        <v>0</v>
      </c>
      <c r="H93" s="269">
        <v>14</v>
      </c>
      <c r="I93" s="269">
        <v>15</v>
      </c>
      <c r="J93" s="269">
        <v>14</v>
      </c>
      <c r="K93" s="269">
        <v>14</v>
      </c>
      <c r="L93" s="269">
        <v>48</v>
      </c>
      <c r="M93" s="269">
        <v>0</v>
      </c>
      <c r="N93" s="269">
        <v>31</v>
      </c>
      <c r="O93" s="269">
        <v>37</v>
      </c>
      <c r="P93" s="269">
        <v>36</v>
      </c>
      <c r="Q93" s="269">
        <v>36</v>
      </c>
      <c r="R93" s="269">
        <v>1001</v>
      </c>
      <c r="S93" s="269">
        <v>986</v>
      </c>
      <c r="T93" s="269">
        <v>560</v>
      </c>
      <c r="U93" s="269">
        <v>740</v>
      </c>
      <c r="V93" s="269">
        <v>686</v>
      </c>
      <c r="W93" s="269">
        <v>686</v>
      </c>
      <c r="X93" s="269">
        <v>18</v>
      </c>
      <c r="Y93" s="269">
        <v>48</v>
      </c>
      <c r="Z93" s="269">
        <v>1001</v>
      </c>
    </row>
    <row r="94" spans="1:26" x14ac:dyDescent="0.25">
      <c r="A94" s="271" t="s">
        <v>551</v>
      </c>
      <c r="B94" s="269" t="s">
        <v>168</v>
      </c>
      <c r="C94" s="269" t="s">
        <v>381</v>
      </c>
      <c r="D94" s="269" t="s">
        <v>49</v>
      </c>
      <c r="E94" s="269" t="s">
        <v>50</v>
      </c>
      <c r="F94" s="269">
        <v>11</v>
      </c>
      <c r="G94" s="269">
        <v>0</v>
      </c>
      <c r="H94" s="269">
        <v>10</v>
      </c>
      <c r="I94" s="269">
        <v>10</v>
      </c>
      <c r="J94" s="269">
        <v>9</v>
      </c>
      <c r="K94" s="269">
        <v>9</v>
      </c>
      <c r="L94" s="269">
        <v>30</v>
      </c>
      <c r="M94" s="269">
        <v>0</v>
      </c>
      <c r="N94" s="269">
        <v>23</v>
      </c>
      <c r="O94" s="269">
        <v>25</v>
      </c>
      <c r="P94" s="269">
        <v>23</v>
      </c>
      <c r="Q94" s="269">
        <v>25</v>
      </c>
      <c r="R94" s="269">
        <v>648</v>
      </c>
      <c r="S94" s="269">
        <v>628</v>
      </c>
      <c r="T94" s="269">
        <v>447</v>
      </c>
      <c r="U94" s="269">
        <v>554</v>
      </c>
      <c r="V94" s="269">
        <v>522</v>
      </c>
      <c r="W94" s="269">
        <v>531</v>
      </c>
      <c r="X94" s="269">
        <v>11</v>
      </c>
      <c r="Y94" s="269">
        <v>30</v>
      </c>
      <c r="Z94" s="269">
        <v>648</v>
      </c>
    </row>
    <row r="95" spans="1:26" x14ac:dyDescent="0.25">
      <c r="A95" s="271" t="s">
        <v>551</v>
      </c>
      <c r="B95" s="269" t="s">
        <v>168</v>
      </c>
      <c r="C95" s="269" t="s">
        <v>546</v>
      </c>
      <c r="D95" s="269" t="s">
        <v>49</v>
      </c>
      <c r="E95" s="269" t="s">
        <v>50</v>
      </c>
      <c r="F95" s="269">
        <v>0</v>
      </c>
      <c r="G95" s="269">
        <v>0</v>
      </c>
      <c r="H95" s="269">
        <v>0</v>
      </c>
      <c r="I95" s="269">
        <v>0</v>
      </c>
      <c r="J95" s="269">
        <v>0</v>
      </c>
      <c r="K95" s="269">
        <v>0</v>
      </c>
      <c r="L95" s="269">
        <v>0</v>
      </c>
      <c r="M95" s="269">
        <v>0</v>
      </c>
      <c r="N95" s="269">
        <v>0</v>
      </c>
      <c r="O95" s="269">
        <v>0</v>
      </c>
      <c r="P95" s="269">
        <v>0</v>
      </c>
      <c r="Q95" s="269">
        <v>0</v>
      </c>
      <c r="R95" s="269">
        <v>312</v>
      </c>
      <c r="S95" s="269">
        <v>264</v>
      </c>
      <c r="T95" s="269">
        <v>194</v>
      </c>
      <c r="U95" s="269">
        <v>227</v>
      </c>
      <c r="V95" s="269">
        <v>181</v>
      </c>
      <c r="W95" s="269">
        <v>181</v>
      </c>
      <c r="X95" s="269">
        <v>0</v>
      </c>
      <c r="Y95" s="269">
        <v>0</v>
      </c>
      <c r="Z95" s="269">
        <v>312</v>
      </c>
    </row>
    <row r="96" spans="1:26" x14ac:dyDescent="0.25">
      <c r="A96" s="271" t="s">
        <v>551</v>
      </c>
      <c r="B96" s="269" t="s">
        <v>168</v>
      </c>
      <c r="C96" s="269" t="s">
        <v>294</v>
      </c>
      <c r="D96" s="269" t="s">
        <v>49</v>
      </c>
      <c r="E96" s="269" t="s">
        <v>50</v>
      </c>
      <c r="F96" s="269">
        <v>12</v>
      </c>
      <c r="G96" s="269">
        <v>0</v>
      </c>
      <c r="H96" s="269">
        <v>8</v>
      </c>
      <c r="I96" s="269">
        <v>10</v>
      </c>
      <c r="J96" s="269">
        <v>10</v>
      </c>
      <c r="K96" s="269">
        <v>10</v>
      </c>
      <c r="L96" s="269">
        <v>32</v>
      </c>
      <c r="M96" s="269">
        <v>0</v>
      </c>
      <c r="N96" s="269">
        <v>22</v>
      </c>
      <c r="O96" s="269">
        <v>27</v>
      </c>
      <c r="P96" s="269">
        <v>21</v>
      </c>
      <c r="Q96" s="269">
        <v>21</v>
      </c>
      <c r="R96" s="269">
        <v>877</v>
      </c>
      <c r="S96" s="269">
        <v>860</v>
      </c>
      <c r="T96" s="269">
        <v>542</v>
      </c>
      <c r="U96" s="269">
        <v>675</v>
      </c>
      <c r="V96" s="269">
        <v>585</v>
      </c>
      <c r="W96" s="269">
        <v>585</v>
      </c>
      <c r="X96" s="269">
        <v>12</v>
      </c>
      <c r="Y96" s="269">
        <v>32</v>
      </c>
      <c r="Z96" s="269">
        <v>877</v>
      </c>
    </row>
    <row r="97" spans="1:26" x14ac:dyDescent="0.25">
      <c r="A97" s="271" t="s">
        <v>551</v>
      </c>
      <c r="B97" s="269" t="s">
        <v>167</v>
      </c>
      <c r="C97" s="269" t="s">
        <v>432</v>
      </c>
      <c r="D97" s="269" t="s">
        <v>49</v>
      </c>
      <c r="E97" s="269" t="s">
        <v>50</v>
      </c>
      <c r="F97" s="269">
        <v>12</v>
      </c>
      <c r="G97" s="269">
        <v>0</v>
      </c>
      <c r="H97" s="269">
        <v>6</v>
      </c>
      <c r="I97" s="269">
        <v>8</v>
      </c>
      <c r="J97" s="269">
        <v>9</v>
      </c>
      <c r="K97" s="269">
        <v>9</v>
      </c>
      <c r="L97" s="269">
        <v>32</v>
      </c>
      <c r="M97" s="269">
        <v>0</v>
      </c>
      <c r="N97" s="269">
        <v>15</v>
      </c>
      <c r="O97" s="269">
        <v>21</v>
      </c>
      <c r="P97" s="269">
        <v>26</v>
      </c>
      <c r="Q97" s="269">
        <v>26</v>
      </c>
      <c r="R97" s="269">
        <v>449</v>
      </c>
      <c r="S97" s="269">
        <v>442</v>
      </c>
      <c r="T97" s="269">
        <v>278</v>
      </c>
      <c r="U97" s="269">
        <v>350</v>
      </c>
      <c r="V97" s="269">
        <v>374</v>
      </c>
      <c r="W97" s="269">
        <v>374</v>
      </c>
      <c r="X97" s="269">
        <v>12</v>
      </c>
      <c r="Y97" s="269">
        <v>32</v>
      </c>
      <c r="Z97" s="269">
        <v>450</v>
      </c>
    </row>
    <row r="98" spans="1:26" x14ac:dyDescent="0.25">
      <c r="A98" s="271" t="s">
        <v>551</v>
      </c>
      <c r="B98" s="269" t="s">
        <v>168</v>
      </c>
      <c r="C98" s="269" t="s">
        <v>360</v>
      </c>
      <c r="D98" s="269" t="s">
        <v>49</v>
      </c>
      <c r="E98" s="269" t="s">
        <v>50</v>
      </c>
      <c r="F98" s="269">
        <v>12</v>
      </c>
      <c r="G98" s="269">
        <v>0</v>
      </c>
      <c r="H98" s="269">
        <v>9</v>
      </c>
      <c r="I98" s="269">
        <v>9</v>
      </c>
      <c r="J98" s="269">
        <v>9</v>
      </c>
      <c r="K98" s="269">
        <v>9</v>
      </c>
      <c r="L98" s="269">
        <v>32</v>
      </c>
      <c r="M98" s="269">
        <v>0</v>
      </c>
      <c r="N98" s="269">
        <v>26</v>
      </c>
      <c r="O98" s="269">
        <v>27</v>
      </c>
      <c r="P98" s="269">
        <v>27</v>
      </c>
      <c r="Q98" s="269">
        <v>27</v>
      </c>
      <c r="R98" s="269">
        <v>699</v>
      </c>
      <c r="S98" s="269">
        <v>690</v>
      </c>
      <c r="T98" s="269">
        <v>472</v>
      </c>
      <c r="U98" s="269">
        <v>563</v>
      </c>
      <c r="V98" s="269">
        <v>527</v>
      </c>
      <c r="W98" s="269">
        <v>527</v>
      </c>
      <c r="X98" s="269">
        <v>12</v>
      </c>
      <c r="Y98" s="269">
        <v>32</v>
      </c>
      <c r="Z98" s="269">
        <v>699</v>
      </c>
    </row>
    <row r="99" spans="1:26" x14ac:dyDescent="0.25">
      <c r="A99" s="271" t="s">
        <v>551</v>
      </c>
      <c r="B99" s="269" t="s">
        <v>168</v>
      </c>
      <c r="C99" s="269" t="s">
        <v>253</v>
      </c>
      <c r="D99" s="269" t="s">
        <v>49</v>
      </c>
      <c r="E99" s="269" t="s">
        <v>50</v>
      </c>
      <c r="F99" s="269">
        <v>12</v>
      </c>
      <c r="G99" s="269">
        <v>0</v>
      </c>
      <c r="H99" s="269">
        <v>10</v>
      </c>
      <c r="I99" s="269">
        <v>11</v>
      </c>
      <c r="J99" s="269">
        <v>11</v>
      </c>
      <c r="K99" s="269">
        <v>11</v>
      </c>
      <c r="L99" s="269">
        <v>32</v>
      </c>
      <c r="M99" s="269">
        <v>0</v>
      </c>
      <c r="N99" s="269">
        <v>22</v>
      </c>
      <c r="O99" s="269">
        <v>28</v>
      </c>
      <c r="P99" s="269">
        <v>28</v>
      </c>
      <c r="Q99" s="269">
        <v>28</v>
      </c>
      <c r="R99" s="269">
        <v>708</v>
      </c>
      <c r="S99" s="269">
        <v>705</v>
      </c>
      <c r="T99" s="269">
        <v>476</v>
      </c>
      <c r="U99" s="269">
        <v>589</v>
      </c>
      <c r="V99" s="269">
        <v>551</v>
      </c>
      <c r="W99" s="269">
        <v>551</v>
      </c>
      <c r="X99" s="269">
        <v>12</v>
      </c>
      <c r="Y99" s="269">
        <v>32</v>
      </c>
      <c r="Z99" s="269">
        <v>708</v>
      </c>
    </row>
    <row r="100" spans="1:26" x14ac:dyDescent="0.25">
      <c r="A100" s="271" t="s">
        <v>551</v>
      </c>
      <c r="B100" s="269" t="s">
        <v>168</v>
      </c>
      <c r="C100" s="269" t="s">
        <v>430</v>
      </c>
      <c r="D100" s="269" t="s">
        <v>49</v>
      </c>
      <c r="E100" s="269" t="s">
        <v>50</v>
      </c>
      <c r="F100" s="269">
        <v>23</v>
      </c>
      <c r="G100" s="269">
        <v>0</v>
      </c>
      <c r="H100" s="269">
        <v>19</v>
      </c>
      <c r="I100" s="269">
        <v>22</v>
      </c>
      <c r="J100" s="269">
        <v>21</v>
      </c>
      <c r="K100" s="269">
        <v>21</v>
      </c>
      <c r="L100" s="269">
        <v>54</v>
      </c>
      <c r="M100" s="269">
        <v>0</v>
      </c>
      <c r="N100" s="269">
        <v>40</v>
      </c>
      <c r="O100" s="269">
        <v>50</v>
      </c>
      <c r="P100" s="269">
        <v>48</v>
      </c>
      <c r="Q100" s="269">
        <v>48</v>
      </c>
      <c r="R100" s="269">
        <v>1135</v>
      </c>
      <c r="S100" s="269">
        <v>1110</v>
      </c>
      <c r="T100" s="269">
        <v>714</v>
      </c>
      <c r="U100" s="269">
        <v>883</v>
      </c>
      <c r="V100" s="269">
        <v>795</v>
      </c>
      <c r="W100" s="269">
        <v>796</v>
      </c>
      <c r="X100" s="269">
        <v>23</v>
      </c>
      <c r="Y100" s="269">
        <v>54</v>
      </c>
      <c r="Z100" s="269">
        <v>1134</v>
      </c>
    </row>
    <row r="101" spans="1:26" x14ac:dyDescent="0.25">
      <c r="A101" s="271" t="s">
        <v>551</v>
      </c>
      <c r="B101" s="269" t="s">
        <v>168</v>
      </c>
      <c r="C101" s="269" t="s">
        <v>291</v>
      </c>
      <c r="D101" s="269" t="s">
        <v>49</v>
      </c>
      <c r="E101" s="269" t="s">
        <v>50</v>
      </c>
      <c r="F101" s="269">
        <v>16</v>
      </c>
      <c r="G101" s="269">
        <v>0</v>
      </c>
      <c r="H101" s="269">
        <v>13</v>
      </c>
      <c r="I101" s="269">
        <v>14</v>
      </c>
      <c r="J101" s="269">
        <v>13</v>
      </c>
      <c r="K101" s="269">
        <v>13</v>
      </c>
      <c r="L101" s="269">
        <v>41</v>
      </c>
      <c r="M101" s="269">
        <v>0</v>
      </c>
      <c r="N101" s="269">
        <v>31</v>
      </c>
      <c r="O101" s="269">
        <v>34</v>
      </c>
      <c r="P101" s="269">
        <v>33</v>
      </c>
      <c r="Q101" s="269">
        <v>33</v>
      </c>
      <c r="R101" s="269">
        <v>1015</v>
      </c>
      <c r="S101" s="269">
        <v>1000</v>
      </c>
      <c r="T101" s="269">
        <v>613</v>
      </c>
      <c r="U101" s="269">
        <v>762</v>
      </c>
      <c r="V101" s="269">
        <v>675</v>
      </c>
      <c r="W101" s="269">
        <v>675</v>
      </c>
      <c r="X101" s="269">
        <v>16</v>
      </c>
      <c r="Y101" s="269">
        <v>41</v>
      </c>
      <c r="Z101" s="269">
        <v>1015</v>
      </c>
    </row>
    <row r="102" spans="1:26" x14ac:dyDescent="0.25">
      <c r="A102" s="271" t="s">
        <v>551</v>
      </c>
      <c r="B102" s="269" t="s">
        <v>168</v>
      </c>
      <c r="C102" s="269" t="s">
        <v>273</v>
      </c>
      <c r="D102" s="269" t="s">
        <v>49</v>
      </c>
      <c r="E102" s="269" t="s">
        <v>50</v>
      </c>
      <c r="F102" s="269">
        <v>64</v>
      </c>
      <c r="G102" s="269">
        <v>0</v>
      </c>
      <c r="H102" s="269">
        <v>53</v>
      </c>
      <c r="I102" s="269">
        <v>57</v>
      </c>
      <c r="J102" s="269">
        <v>51</v>
      </c>
      <c r="K102" s="269">
        <v>51</v>
      </c>
      <c r="L102" s="269">
        <v>174</v>
      </c>
      <c r="M102" s="269">
        <v>1</v>
      </c>
      <c r="N102" s="269">
        <v>133</v>
      </c>
      <c r="O102" s="269">
        <v>148</v>
      </c>
      <c r="P102" s="269">
        <v>135</v>
      </c>
      <c r="Q102" s="269">
        <v>135</v>
      </c>
      <c r="R102" s="269">
        <v>3708</v>
      </c>
      <c r="S102" s="269">
        <v>3620</v>
      </c>
      <c r="T102" s="269">
        <v>2481</v>
      </c>
      <c r="U102" s="269">
        <v>2938</v>
      </c>
      <c r="V102" s="269">
        <v>2878</v>
      </c>
      <c r="W102" s="269">
        <v>2879</v>
      </c>
      <c r="X102" s="269">
        <v>64</v>
      </c>
      <c r="Y102" s="269">
        <v>174</v>
      </c>
      <c r="Z102" s="269">
        <v>3709</v>
      </c>
    </row>
    <row r="103" spans="1:26" x14ac:dyDescent="0.25">
      <c r="A103" s="271" t="s">
        <v>551</v>
      </c>
      <c r="B103" s="269" t="s">
        <v>168</v>
      </c>
      <c r="C103" s="269" t="s">
        <v>346</v>
      </c>
      <c r="D103" s="269" t="s">
        <v>49</v>
      </c>
      <c r="E103" s="269" t="s">
        <v>50</v>
      </c>
      <c r="F103" s="269">
        <v>12</v>
      </c>
      <c r="G103" s="269">
        <v>0</v>
      </c>
      <c r="H103" s="269">
        <v>11</v>
      </c>
      <c r="I103" s="269">
        <v>11</v>
      </c>
      <c r="J103" s="269">
        <v>11</v>
      </c>
      <c r="K103" s="269">
        <v>11</v>
      </c>
      <c r="L103" s="269">
        <v>32</v>
      </c>
      <c r="M103" s="269">
        <v>0</v>
      </c>
      <c r="N103" s="269">
        <v>26</v>
      </c>
      <c r="O103" s="269">
        <v>29</v>
      </c>
      <c r="P103" s="269">
        <v>28</v>
      </c>
      <c r="Q103" s="269">
        <v>28</v>
      </c>
      <c r="R103" s="269">
        <v>857</v>
      </c>
      <c r="S103" s="269">
        <v>842</v>
      </c>
      <c r="T103" s="269">
        <v>519</v>
      </c>
      <c r="U103" s="269">
        <v>678</v>
      </c>
      <c r="V103" s="269">
        <v>643</v>
      </c>
      <c r="W103" s="269">
        <v>643</v>
      </c>
      <c r="X103" s="269">
        <v>12</v>
      </c>
      <c r="Y103" s="269">
        <v>32</v>
      </c>
      <c r="Z103" s="269">
        <v>858</v>
      </c>
    </row>
    <row r="104" spans="1:26" x14ac:dyDescent="0.25">
      <c r="A104" s="271" t="s">
        <v>551</v>
      </c>
      <c r="B104" s="269" t="s">
        <v>168</v>
      </c>
      <c r="C104" s="269" t="s">
        <v>298</v>
      </c>
      <c r="D104" s="269" t="s">
        <v>49</v>
      </c>
      <c r="E104" s="269" t="s">
        <v>50</v>
      </c>
      <c r="F104" s="269">
        <v>51</v>
      </c>
      <c r="G104" s="269">
        <v>0</v>
      </c>
      <c r="H104" s="269">
        <v>40</v>
      </c>
      <c r="I104" s="269">
        <v>43</v>
      </c>
      <c r="J104" s="269">
        <v>45</v>
      </c>
      <c r="K104" s="269">
        <v>45</v>
      </c>
      <c r="L104" s="269">
        <v>140</v>
      </c>
      <c r="M104" s="269">
        <v>0</v>
      </c>
      <c r="N104" s="269">
        <v>109</v>
      </c>
      <c r="O104" s="269">
        <v>118</v>
      </c>
      <c r="P104" s="269">
        <v>115</v>
      </c>
      <c r="Q104" s="269">
        <v>115</v>
      </c>
      <c r="R104" s="269">
        <v>2029</v>
      </c>
      <c r="S104" s="269">
        <v>2006</v>
      </c>
      <c r="T104" s="269">
        <v>1380</v>
      </c>
      <c r="U104" s="269">
        <v>1637</v>
      </c>
      <c r="V104" s="269">
        <v>1565</v>
      </c>
      <c r="W104" s="269">
        <v>1567</v>
      </c>
      <c r="X104" s="269">
        <v>51</v>
      </c>
      <c r="Y104" s="269">
        <v>140</v>
      </c>
      <c r="Z104" s="269">
        <v>2030</v>
      </c>
    </row>
    <row r="105" spans="1:26" x14ac:dyDescent="0.25">
      <c r="A105" s="271" t="s">
        <v>551</v>
      </c>
      <c r="B105" s="269" t="s">
        <v>168</v>
      </c>
      <c r="C105" s="269" t="s">
        <v>437</v>
      </c>
      <c r="D105" s="269" t="s">
        <v>49</v>
      </c>
      <c r="E105" s="269" t="s">
        <v>50</v>
      </c>
      <c r="F105" s="269">
        <v>24</v>
      </c>
      <c r="G105" s="269">
        <v>0</v>
      </c>
      <c r="H105" s="269">
        <v>19</v>
      </c>
      <c r="I105" s="269">
        <v>19</v>
      </c>
      <c r="J105" s="269">
        <v>16</v>
      </c>
      <c r="K105" s="269">
        <v>16</v>
      </c>
      <c r="L105" s="269">
        <v>64</v>
      </c>
      <c r="M105" s="269">
        <v>0</v>
      </c>
      <c r="N105" s="269">
        <v>44</v>
      </c>
      <c r="O105" s="269">
        <v>46</v>
      </c>
      <c r="P105" s="269">
        <v>40</v>
      </c>
      <c r="Q105" s="269">
        <v>40</v>
      </c>
      <c r="R105" s="269">
        <v>1429</v>
      </c>
      <c r="S105" s="269">
        <v>1418</v>
      </c>
      <c r="T105" s="269">
        <v>912</v>
      </c>
      <c r="U105" s="269">
        <v>1086</v>
      </c>
      <c r="V105" s="269">
        <v>899</v>
      </c>
      <c r="W105" s="269">
        <v>899</v>
      </c>
      <c r="X105" s="269">
        <v>24</v>
      </c>
      <c r="Y105" s="269">
        <v>64</v>
      </c>
      <c r="Z105" s="269">
        <v>1431</v>
      </c>
    </row>
    <row r="106" spans="1:26" x14ac:dyDescent="0.25">
      <c r="A106" s="271" t="s">
        <v>551</v>
      </c>
      <c r="B106" s="269" t="s">
        <v>168</v>
      </c>
      <c r="C106" s="269" t="s">
        <v>382</v>
      </c>
      <c r="D106" s="269" t="s">
        <v>49</v>
      </c>
      <c r="E106" s="269" t="s">
        <v>50</v>
      </c>
      <c r="F106" s="269">
        <v>11</v>
      </c>
      <c r="G106" s="269">
        <v>0</v>
      </c>
      <c r="H106" s="269">
        <v>6</v>
      </c>
      <c r="I106" s="269">
        <v>10</v>
      </c>
      <c r="J106" s="269">
        <v>8</v>
      </c>
      <c r="K106" s="269">
        <v>8</v>
      </c>
      <c r="L106" s="269">
        <v>33</v>
      </c>
      <c r="M106" s="269">
        <v>0</v>
      </c>
      <c r="N106" s="269">
        <v>22</v>
      </c>
      <c r="O106" s="269">
        <v>29</v>
      </c>
      <c r="P106" s="269">
        <v>26</v>
      </c>
      <c r="Q106" s="269">
        <v>26</v>
      </c>
      <c r="R106" s="269">
        <v>1038</v>
      </c>
      <c r="S106" s="269">
        <v>1026</v>
      </c>
      <c r="T106" s="269">
        <v>717</v>
      </c>
      <c r="U106" s="269">
        <v>854</v>
      </c>
      <c r="V106" s="269">
        <v>796</v>
      </c>
      <c r="W106" s="269">
        <v>796</v>
      </c>
      <c r="X106" s="269">
        <v>11</v>
      </c>
      <c r="Y106" s="269">
        <v>33</v>
      </c>
      <c r="Z106" s="269">
        <v>1038</v>
      </c>
    </row>
    <row r="107" spans="1:26" x14ac:dyDescent="0.25">
      <c r="A107" s="271" t="s">
        <v>551</v>
      </c>
      <c r="B107" s="269" t="s">
        <v>168</v>
      </c>
      <c r="C107" s="269" t="s">
        <v>248</v>
      </c>
      <c r="D107" s="269" t="s">
        <v>49</v>
      </c>
      <c r="E107" s="269" t="s">
        <v>50</v>
      </c>
      <c r="F107" s="269">
        <v>12</v>
      </c>
      <c r="G107" s="269">
        <v>0</v>
      </c>
      <c r="H107" s="269">
        <v>11</v>
      </c>
      <c r="I107" s="269">
        <v>12</v>
      </c>
      <c r="J107" s="269">
        <v>10</v>
      </c>
      <c r="K107" s="269">
        <v>10</v>
      </c>
      <c r="L107" s="269">
        <v>32</v>
      </c>
      <c r="M107" s="269">
        <v>0</v>
      </c>
      <c r="N107" s="269">
        <v>26</v>
      </c>
      <c r="O107" s="269">
        <v>32</v>
      </c>
      <c r="P107" s="269">
        <v>29</v>
      </c>
      <c r="Q107" s="269">
        <v>29</v>
      </c>
      <c r="R107" s="269">
        <v>611</v>
      </c>
      <c r="S107" s="269">
        <v>598</v>
      </c>
      <c r="T107" s="269">
        <v>407</v>
      </c>
      <c r="U107" s="269">
        <v>500</v>
      </c>
      <c r="V107" s="269">
        <v>479</v>
      </c>
      <c r="W107" s="269">
        <v>479</v>
      </c>
      <c r="X107" s="269">
        <v>12</v>
      </c>
      <c r="Y107" s="269">
        <v>32</v>
      </c>
      <c r="Z107" s="269">
        <v>611</v>
      </c>
    </row>
    <row r="108" spans="1:26" x14ac:dyDescent="0.25">
      <c r="A108" s="271" t="s">
        <v>551</v>
      </c>
      <c r="B108" s="269" t="s">
        <v>168</v>
      </c>
      <c r="C108" s="269" t="s">
        <v>385</v>
      </c>
      <c r="D108" s="269" t="s">
        <v>49</v>
      </c>
      <c r="E108" s="269" t="s">
        <v>50</v>
      </c>
      <c r="F108" s="269">
        <v>64</v>
      </c>
      <c r="G108" s="269">
        <v>0</v>
      </c>
      <c r="H108" s="269">
        <v>34</v>
      </c>
      <c r="I108" s="269">
        <v>48</v>
      </c>
      <c r="J108" s="269">
        <v>48</v>
      </c>
      <c r="K108" s="269">
        <v>48</v>
      </c>
      <c r="L108" s="269">
        <v>154</v>
      </c>
      <c r="M108" s="269">
        <v>17</v>
      </c>
      <c r="N108" s="269">
        <v>68</v>
      </c>
      <c r="O108" s="269">
        <v>94</v>
      </c>
      <c r="P108" s="269">
        <v>92</v>
      </c>
      <c r="Q108" s="269">
        <v>92</v>
      </c>
      <c r="R108" s="269">
        <v>4195</v>
      </c>
      <c r="S108" s="269">
        <v>3862</v>
      </c>
      <c r="T108" s="269">
        <v>2029</v>
      </c>
      <c r="U108" s="269">
        <v>2628</v>
      </c>
      <c r="V108" s="269">
        <v>2407</v>
      </c>
      <c r="W108" s="269">
        <v>2407</v>
      </c>
      <c r="X108" s="269">
        <v>64</v>
      </c>
      <c r="Y108" s="269">
        <v>155</v>
      </c>
      <c r="Z108" s="269">
        <v>4192</v>
      </c>
    </row>
    <row r="109" spans="1:26" x14ac:dyDescent="0.25">
      <c r="A109" s="271" t="s">
        <v>551</v>
      </c>
      <c r="B109" s="269" t="s">
        <v>168</v>
      </c>
      <c r="C109" s="269" t="s">
        <v>409</v>
      </c>
      <c r="D109" s="269" t="s">
        <v>49</v>
      </c>
      <c r="E109" s="269" t="s">
        <v>50</v>
      </c>
      <c r="F109" s="269">
        <v>31</v>
      </c>
      <c r="G109" s="269">
        <v>0</v>
      </c>
      <c r="H109" s="269">
        <v>25</v>
      </c>
      <c r="I109" s="269">
        <v>30</v>
      </c>
      <c r="J109" s="269">
        <v>29</v>
      </c>
      <c r="K109" s="269">
        <v>29</v>
      </c>
      <c r="L109" s="269">
        <v>81</v>
      </c>
      <c r="M109" s="269">
        <v>0</v>
      </c>
      <c r="N109" s="269">
        <v>51</v>
      </c>
      <c r="O109" s="269">
        <v>72</v>
      </c>
      <c r="P109" s="269">
        <v>70</v>
      </c>
      <c r="Q109" s="269">
        <v>70</v>
      </c>
      <c r="R109" s="269">
        <v>1591</v>
      </c>
      <c r="S109" s="269">
        <v>1560</v>
      </c>
      <c r="T109" s="269">
        <v>950</v>
      </c>
      <c r="U109" s="269">
        <v>1250</v>
      </c>
      <c r="V109" s="269">
        <v>1148</v>
      </c>
      <c r="W109" s="269">
        <v>1150</v>
      </c>
      <c r="X109" s="269">
        <v>31</v>
      </c>
      <c r="Y109" s="269">
        <v>81</v>
      </c>
      <c r="Z109" s="269">
        <v>1591</v>
      </c>
    </row>
    <row r="110" spans="1:26" x14ac:dyDescent="0.25">
      <c r="A110" s="271" t="s">
        <v>551</v>
      </c>
      <c r="B110" s="269" t="s">
        <v>168</v>
      </c>
      <c r="C110" s="269" t="s">
        <v>423</v>
      </c>
      <c r="D110" s="269" t="s">
        <v>49</v>
      </c>
      <c r="E110" s="269" t="s">
        <v>50</v>
      </c>
      <c r="F110" s="269">
        <v>24</v>
      </c>
      <c r="G110" s="269">
        <v>0</v>
      </c>
      <c r="H110" s="269">
        <v>19</v>
      </c>
      <c r="I110" s="269">
        <v>22</v>
      </c>
      <c r="J110" s="269">
        <v>22</v>
      </c>
      <c r="K110" s="269">
        <v>22</v>
      </c>
      <c r="L110" s="269">
        <v>64</v>
      </c>
      <c r="M110" s="269">
        <v>0</v>
      </c>
      <c r="N110" s="269">
        <v>49</v>
      </c>
      <c r="O110" s="269">
        <v>56</v>
      </c>
      <c r="P110" s="269">
        <v>54</v>
      </c>
      <c r="Q110" s="269">
        <v>54</v>
      </c>
      <c r="R110" s="269">
        <v>1345</v>
      </c>
      <c r="S110" s="269">
        <v>1298</v>
      </c>
      <c r="T110" s="269">
        <v>881</v>
      </c>
      <c r="U110" s="269">
        <v>1080</v>
      </c>
      <c r="V110" s="269">
        <v>1020</v>
      </c>
      <c r="W110" s="269">
        <v>1020</v>
      </c>
      <c r="X110" s="269">
        <v>24</v>
      </c>
      <c r="Y110" s="269">
        <v>64</v>
      </c>
      <c r="Z110" s="269">
        <v>1345</v>
      </c>
    </row>
    <row r="111" spans="1:26" x14ac:dyDescent="0.25">
      <c r="A111" s="271" t="s">
        <v>551</v>
      </c>
      <c r="B111" s="269" t="s">
        <v>168</v>
      </c>
      <c r="C111" s="269" t="s">
        <v>425</v>
      </c>
      <c r="D111" s="269" t="s">
        <v>49</v>
      </c>
      <c r="E111" s="269" t="s">
        <v>50</v>
      </c>
      <c r="F111" s="269">
        <v>12</v>
      </c>
      <c r="G111" s="269">
        <v>0</v>
      </c>
      <c r="H111" s="269">
        <v>11</v>
      </c>
      <c r="I111" s="269">
        <v>12</v>
      </c>
      <c r="J111" s="269">
        <v>11</v>
      </c>
      <c r="K111" s="269">
        <v>11</v>
      </c>
      <c r="L111" s="269">
        <v>32</v>
      </c>
      <c r="M111" s="269">
        <v>0</v>
      </c>
      <c r="N111" s="269">
        <v>23</v>
      </c>
      <c r="O111" s="269">
        <v>27</v>
      </c>
      <c r="P111" s="269">
        <v>24</v>
      </c>
      <c r="Q111" s="269">
        <v>24</v>
      </c>
      <c r="R111" s="269">
        <v>699</v>
      </c>
      <c r="S111" s="269">
        <v>676</v>
      </c>
      <c r="T111" s="269">
        <v>385</v>
      </c>
      <c r="U111" s="269">
        <v>500</v>
      </c>
      <c r="V111" s="269">
        <v>475</v>
      </c>
      <c r="W111" s="269">
        <v>475</v>
      </c>
      <c r="X111" s="269">
        <v>12</v>
      </c>
      <c r="Y111" s="269">
        <v>32</v>
      </c>
      <c r="Z111" s="269">
        <v>699</v>
      </c>
    </row>
    <row r="112" spans="1:26" x14ac:dyDescent="0.25">
      <c r="A112" s="271" t="s">
        <v>551</v>
      </c>
      <c r="B112" s="269" t="s">
        <v>168</v>
      </c>
      <c r="C112" s="269" t="s">
        <v>285</v>
      </c>
      <c r="D112" s="269" t="s">
        <v>49</v>
      </c>
      <c r="E112" s="269" t="s">
        <v>50</v>
      </c>
      <c r="F112" s="269">
        <v>36</v>
      </c>
      <c r="G112" s="269">
        <v>0</v>
      </c>
      <c r="H112" s="269">
        <v>25</v>
      </c>
      <c r="I112" s="269">
        <v>29</v>
      </c>
      <c r="J112" s="269">
        <v>30</v>
      </c>
      <c r="K112" s="269">
        <v>30</v>
      </c>
      <c r="L112" s="269">
        <v>96</v>
      </c>
      <c r="M112" s="269">
        <v>0</v>
      </c>
      <c r="N112" s="269">
        <v>73</v>
      </c>
      <c r="O112" s="269">
        <v>82</v>
      </c>
      <c r="P112" s="269">
        <v>84</v>
      </c>
      <c r="Q112" s="269">
        <v>84</v>
      </c>
      <c r="R112" s="269">
        <v>1567</v>
      </c>
      <c r="S112" s="269">
        <v>1548</v>
      </c>
      <c r="T112" s="269">
        <v>1005</v>
      </c>
      <c r="U112" s="269">
        <v>1209</v>
      </c>
      <c r="V112" s="269">
        <v>1200</v>
      </c>
      <c r="W112" s="269">
        <v>1200</v>
      </c>
      <c r="X112" s="269">
        <v>36</v>
      </c>
      <c r="Y112" s="269">
        <v>96</v>
      </c>
      <c r="Z112" s="269">
        <v>1566</v>
      </c>
    </row>
    <row r="113" spans="1:26" x14ac:dyDescent="0.25">
      <c r="A113" s="271" t="s">
        <v>551</v>
      </c>
      <c r="B113" s="269" t="s">
        <v>168</v>
      </c>
      <c r="C113" s="269" t="s">
        <v>547</v>
      </c>
      <c r="D113" s="269" t="s">
        <v>49</v>
      </c>
      <c r="E113" s="269" t="s">
        <v>50</v>
      </c>
      <c r="F113" s="269">
        <v>0</v>
      </c>
      <c r="G113" s="269">
        <v>0</v>
      </c>
      <c r="H113" s="269">
        <v>0</v>
      </c>
      <c r="I113" s="269">
        <v>0</v>
      </c>
      <c r="J113" s="269">
        <v>0</v>
      </c>
      <c r="K113" s="269">
        <v>0</v>
      </c>
      <c r="L113" s="269">
        <v>0</v>
      </c>
      <c r="M113" s="269">
        <v>0</v>
      </c>
      <c r="N113" s="269">
        <v>0</v>
      </c>
      <c r="O113" s="269">
        <v>0</v>
      </c>
      <c r="P113" s="269">
        <v>0</v>
      </c>
      <c r="Q113" s="269">
        <v>0</v>
      </c>
      <c r="R113" s="269">
        <v>34</v>
      </c>
      <c r="S113" s="269">
        <v>34</v>
      </c>
      <c r="T113" s="269">
        <v>28</v>
      </c>
      <c r="U113" s="269">
        <v>29</v>
      </c>
      <c r="V113" s="269">
        <v>30</v>
      </c>
      <c r="W113" s="269">
        <v>30</v>
      </c>
      <c r="X113" s="269">
        <v>0</v>
      </c>
      <c r="Y113" s="269">
        <v>0</v>
      </c>
      <c r="Z113" s="269">
        <v>34</v>
      </c>
    </row>
    <row r="114" spans="1:26" x14ac:dyDescent="0.25">
      <c r="A114" s="271" t="s">
        <v>551</v>
      </c>
      <c r="B114" s="269" t="s">
        <v>168</v>
      </c>
      <c r="C114" s="269" t="s">
        <v>246</v>
      </c>
      <c r="D114" s="269" t="s">
        <v>49</v>
      </c>
      <c r="E114" s="269" t="s">
        <v>50</v>
      </c>
      <c r="F114" s="269">
        <v>12</v>
      </c>
      <c r="G114" s="269">
        <v>0</v>
      </c>
      <c r="H114" s="269">
        <v>10</v>
      </c>
      <c r="I114" s="269">
        <v>10</v>
      </c>
      <c r="J114" s="269">
        <v>10</v>
      </c>
      <c r="K114" s="269">
        <v>10</v>
      </c>
      <c r="L114" s="269">
        <v>32</v>
      </c>
      <c r="M114" s="269">
        <v>0</v>
      </c>
      <c r="N114" s="269">
        <v>25</v>
      </c>
      <c r="O114" s="269">
        <v>26</v>
      </c>
      <c r="P114" s="269">
        <v>24</v>
      </c>
      <c r="Q114" s="269">
        <v>24</v>
      </c>
      <c r="R114" s="269">
        <v>876</v>
      </c>
      <c r="S114" s="269">
        <v>844</v>
      </c>
      <c r="T114" s="269">
        <v>557</v>
      </c>
      <c r="U114" s="269">
        <v>692</v>
      </c>
      <c r="V114" s="269">
        <v>614</v>
      </c>
      <c r="W114" s="269">
        <v>614</v>
      </c>
      <c r="X114" s="269">
        <v>12</v>
      </c>
      <c r="Y114" s="269">
        <v>32</v>
      </c>
      <c r="Z114" s="269">
        <v>876</v>
      </c>
    </row>
    <row r="115" spans="1:26" x14ac:dyDescent="0.25">
      <c r="A115" s="271" t="s">
        <v>551</v>
      </c>
      <c r="B115" s="269" t="s">
        <v>168</v>
      </c>
      <c r="C115" s="269" t="s">
        <v>443</v>
      </c>
      <c r="D115" s="269" t="s">
        <v>49</v>
      </c>
      <c r="E115" s="269" t="s">
        <v>50</v>
      </c>
      <c r="F115" s="269">
        <v>0</v>
      </c>
      <c r="G115" s="269">
        <v>0</v>
      </c>
      <c r="H115" s="269">
        <v>0</v>
      </c>
      <c r="I115" s="269">
        <v>0</v>
      </c>
      <c r="J115" s="269">
        <v>0</v>
      </c>
      <c r="K115" s="269">
        <v>0</v>
      </c>
      <c r="L115" s="269">
        <v>0</v>
      </c>
      <c r="M115" s="269">
        <v>0</v>
      </c>
      <c r="N115" s="269">
        <v>0</v>
      </c>
      <c r="O115" s="269">
        <v>0</v>
      </c>
      <c r="P115" s="269">
        <v>0</v>
      </c>
      <c r="Q115" s="269">
        <v>0</v>
      </c>
      <c r="R115" s="269">
        <v>28</v>
      </c>
      <c r="S115" s="269">
        <v>28</v>
      </c>
      <c r="T115" s="269">
        <v>22</v>
      </c>
      <c r="U115" s="269">
        <v>26</v>
      </c>
      <c r="V115" s="269">
        <v>24</v>
      </c>
      <c r="W115" s="269">
        <v>24</v>
      </c>
      <c r="X115" s="269">
        <v>0</v>
      </c>
      <c r="Y115" s="269">
        <v>0</v>
      </c>
      <c r="Z115" s="269">
        <v>28</v>
      </c>
    </row>
    <row r="116" spans="1:26" x14ac:dyDescent="0.25">
      <c r="A116" s="271" t="s">
        <v>551</v>
      </c>
      <c r="B116" s="269" t="s">
        <v>168</v>
      </c>
      <c r="C116" s="269" t="s">
        <v>424</v>
      </c>
      <c r="D116" s="269" t="s">
        <v>49</v>
      </c>
      <c r="E116" s="269" t="s">
        <v>50</v>
      </c>
      <c r="F116" s="269">
        <v>67</v>
      </c>
      <c r="G116" s="269">
        <v>0</v>
      </c>
      <c r="H116" s="269">
        <v>58</v>
      </c>
      <c r="I116" s="269">
        <v>61</v>
      </c>
      <c r="J116" s="269">
        <v>62</v>
      </c>
      <c r="K116" s="269">
        <v>62</v>
      </c>
      <c r="L116" s="269">
        <v>182</v>
      </c>
      <c r="M116" s="269">
        <v>0</v>
      </c>
      <c r="N116" s="269">
        <v>149</v>
      </c>
      <c r="O116" s="269">
        <v>164</v>
      </c>
      <c r="P116" s="269">
        <v>168</v>
      </c>
      <c r="Q116" s="269">
        <v>168</v>
      </c>
      <c r="R116" s="269">
        <v>4577</v>
      </c>
      <c r="S116" s="269">
        <v>4526</v>
      </c>
      <c r="T116" s="269">
        <v>2991</v>
      </c>
      <c r="U116" s="269">
        <v>3596</v>
      </c>
      <c r="V116" s="269">
        <v>3661</v>
      </c>
      <c r="W116" s="269">
        <v>3662</v>
      </c>
      <c r="X116" s="269">
        <v>66</v>
      </c>
      <c r="Y116" s="269">
        <v>181</v>
      </c>
      <c r="Z116" s="269">
        <v>4577</v>
      </c>
    </row>
    <row r="117" spans="1:26" x14ac:dyDescent="0.25">
      <c r="A117" s="271" t="s">
        <v>551</v>
      </c>
      <c r="B117" s="269" t="s">
        <v>168</v>
      </c>
      <c r="C117" s="269" t="s">
        <v>266</v>
      </c>
      <c r="D117" s="269" t="s">
        <v>49</v>
      </c>
      <c r="E117" s="269" t="s">
        <v>50</v>
      </c>
      <c r="F117" s="269">
        <v>36</v>
      </c>
      <c r="G117" s="269">
        <v>0</v>
      </c>
      <c r="H117" s="269">
        <v>25</v>
      </c>
      <c r="I117" s="269">
        <v>29</v>
      </c>
      <c r="J117" s="269">
        <v>26</v>
      </c>
      <c r="K117" s="269">
        <v>26</v>
      </c>
      <c r="L117" s="269">
        <v>96</v>
      </c>
      <c r="M117" s="269">
        <v>0</v>
      </c>
      <c r="N117" s="269">
        <v>75</v>
      </c>
      <c r="O117" s="269">
        <v>85</v>
      </c>
      <c r="P117" s="269">
        <v>72</v>
      </c>
      <c r="Q117" s="269">
        <v>72</v>
      </c>
      <c r="R117" s="269">
        <v>2454</v>
      </c>
      <c r="S117" s="269">
        <v>2414</v>
      </c>
      <c r="T117" s="269">
        <v>1390</v>
      </c>
      <c r="U117" s="269">
        <v>1797</v>
      </c>
      <c r="V117" s="269">
        <v>1801</v>
      </c>
      <c r="W117" s="269">
        <v>1801</v>
      </c>
      <c r="X117" s="269">
        <v>36</v>
      </c>
      <c r="Y117" s="269">
        <v>96</v>
      </c>
      <c r="Z117" s="269">
        <v>2454</v>
      </c>
    </row>
    <row r="118" spans="1:26" x14ac:dyDescent="0.25">
      <c r="A118" s="271" t="s">
        <v>551</v>
      </c>
      <c r="B118" s="269" t="s">
        <v>167</v>
      </c>
      <c r="C118" s="269" t="s">
        <v>301</v>
      </c>
      <c r="D118" s="269" t="s">
        <v>49</v>
      </c>
      <c r="E118" s="269" t="s">
        <v>50</v>
      </c>
      <c r="F118" s="269">
        <v>6</v>
      </c>
      <c r="G118" s="269">
        <v>0</v>
      </c>
      <c r="H118" s="269">
        <v>1</v>
      </c>
      <c r="I118" s="269">
        <v>3</v>
      </c>
      <c r="J118" s="269">
        <v>4</v>
      </c>
      <c r="K118" s="269">
        <v>4</v>
      </c>
      <c r="L118" s="269">
        <v>16</v>
      </c>
      <c r="M118" s="269">
        <v>0</v>
      </c>
      <c r="N118" s="269">
        <v>6</v>
      </c>
      <c r="O118" s="269">
        <v>9</v>
      </c>
      <c r="P118" s="269">
        <v>14</v>
      </c>
      <c r="Q118" s="269">
        <v>14</v>
      </c>
      <c r="R118" s="269">
        <v>350</v>
      </c>
      <c r="S118" s="269">
        <v>348</v>
      </c>
      <c r="T118" s="269">
        <v>156</v>
      </c>
      <c r="U118" s="269">
        <v>229</v>
      </c>
      <c r="V118" s="269">
        <v>268</v>
      </c>
      <c r="W118" s="269">
        <v>268</v>
      </c>
      <c r="X118" s="269">
        <v>6</v>
      </c>
      <c r="Y118" s="269">
        <v>16</v>
      </c>
      <c r="Z118" s="269">
        <v>350</v>
      </c>
    </row>
    <row r="119" spans="1:26" x14ac:dyDescent="0.25">
      <c r="A119" s="271" t="s">
        <v>551</v>
      </c>
      <c r="B119" s="269" t="s">
        <v>168</v>
      </c>
      <c r="C119" s="269" t="s">
        <v>245</v>
      </c>
      <c r="D119" s="269" t="s">
        <v>49</v>
      </c>
      <c r="E119" s="269" t="s">
        <v>50</v>
      </c>
      <c r="F119" s="269">
        <v>27</v>
      </c>
      <c r="G119" s="269">
        <v>0</v>
      </c>
      <c r="H119" s="269">
        <v>21</v>
      </c>
      <c r="I119" s="269">
        <v>24</v>
      </c>
      <c r="J119" s="269">
        <v>26</v>
      </c>
      <c r="K119" s="269">
        <v>26</v>
      </c>
      <c r="L119" s="269">
        <v>75</v>
      </c>
      <c r="M119" s="269">
        <v>0</v>
      </c>
      <c r="N119" s="269">
        <v>61</v>
      </c>
      <c r="O119" s="269">
        <v>69</v>
      </c>
      <c r="P119" s="269">
        <v>70</v>
      </c>
      <c r="Q119" s="269">
        <v>70</v>
      </c>
      <c r="R119" s="269">
        <v>1614</v>
      </c>
      <c r="S119" s="269">
        <v>1561</v>
      </c>
      <c r="T119" s="269">
        <v>1036</v>
      </c>
      <c r="U119" s="269">
        <v>1268</v>
      </c>
      <c r="V119" s="269">
        <v>1265</v>
      </c>
      <c r="W119" s="269">
        <v>1265</v>
      </c>
      <c r="X119" s="269">
        <v>27</v>
      </c>
      <c r="Y119" s="269">
        <v>75</v>
      </c>
      <c r="Z119" s="269">
        <v>1614</v>
      </c>
    </row>
    <row r="120" spans="1:26" x14ac:dyDescent="0.25">
      <c r="A120" s="271" t="s">
        <v>551</v>
      </c>
      <c r="B120" s="269" t="s">
        <v>167</v>
      </c>
      <c r="C120" s="269" t="s">
        <v>289</v>
      </c>
      <c r="D120" s="269" t="s">
        <v>49</v>
      </c>
      <c r="E120" s="269" t="s">
        <v>50</v>
      </c>
      <c r="F120" s="269">
        <v>36</v>
      </c>
      <c r="G120" s="269">
        <v>0</v>
      </c>
      <c r="H120" s="269">
        <v>27</v>
      </c>
      <c r="I120" s="269">
        <v>31</v>
      </c>
      <c r="J120" s="269">
        <v>27</v>
      </c>
      <c r="K120" s="269">
        <v>27</v>
      </c>
      <c r="L120" s="269">
        <v>96</v>
      </c>
      <c r="M120" s="269">
        <v>1</v>
      </c>
      <c r="N120" s="269">
        <v>74</v>
      </c>
      <c r="O120" s="269">
        <v>85</v>
      </c>
      <c r="P120" s="269">
        <v>74</v>
      </c>
      <c r="Q120" s="269">
        <v>74</v>
      </c>
      <c r="R120" s="269">
        <v>2204</v>
      </c>
      <c r="S120" s="269">
        <v>2145</v>
      </c>
      <c r="T120" s="269">
        <v>1330</v>
      </c>
      <c r="U120" s="269">
        <v>1706</v>
      </c>
      <c r="V120" s="269">
        <v>1702</v>
      </c>
      <c r="W120" s="269">
        <v>1702</v>
      </c>
      <c r="X120" s="269">
        <v>36</v>
      </c>
      <c r="Y120" s="269">
        <v>96</v>
      </c>
      <c r="Z120" s="269">
        <v>2205</v>
      </c>
    </row>
    <row r="121" spans="1:26" x14ac:dyDescent="0.25">
      <c r="A121" s="271" t="s">
        <v>551</v>
      </c>
      <c r="B121" s="269" t="s">
        <v>168</v>
      </c>
      <c r="C121" s="269" t="s">
        <v>228</v>
      </c>
      <c r="D121" s="269" t="s">
        <v>49</v>
      </c>
      <c r="E121" s="269" t="s">
        <v>50</v>
      </c>
      <c r="F121" s="269">
        <v>6</v>
      </c>
      <c r="G121" s="269">
        <v>0</v>
      </c>
      <c r="H121" s="269">
        <v>6</v>
      </c>
      <c r="I121" s="269">
        <v>6</v>
      </c>
      <c r="J121" s="269">
        <v>6</v>
      </c>
      <c r="K121" s="269">
        <v>6</v>
      </c>
      <c r="L121" s="269">
        <v>16</v>
      </c>
      <c r="M121" s="269">
        <v>1</v>
      </c>
      <c r="N121" s="269">
        <v>12</v>
      </c>
      <c r="O121" s="269">
        <v>13</v>
      </c>
      <c r="P121" s="269">
        <v>12</v>
      </c>
      <c r="Q121" s="269">
        <v>12</v>
      </c>
      <c r="R121" s="269">
        <v>459</v>
      </c>
      <c r="S121" s="269">
        <v>448</v>
      </c>
      <c r="T121" s="269">
        <v>285</v>
      </c>
      <c r="U121" s="269">
        <v>350</v>
      </c>
      <c r="V121" s="269">
        <v>281</v>
      </c>
      <c r="W121" s="269">
        <v>281</v>
      </c>
      <c r="X121" s="269">
        <v>6</v>
      </c>
      <c r="Y121" s="269">
        <v>16</v>
      </c>
      <c r="Z121" s="269">
        <v>458</v>
      </c>
    </row>
    <row r="122" spans="1:26" x14ac:dyDescent="0.25">
      <c r="A122" s="271" t="s">
        <v>551</v>
      </c>
      <c r="B122" s="269" t="s">
        <v>168</v>
      </c>
      <c r="C122" s="269" t="s">
        <v>419</v>
      </c>
      <c r="D122" s="269" t="s">
        <v>49</v>
      </c>
      <c r="E122" s="269" t="s">
        <v>50</v>
      </c>
      <c r="F122" s="269">
        <v>18</v>
      </c>
      <c r="G122" s="269">
        <v>0</v>
      </c>
      <c r="H122" s="269">
        <v>12</v>
      </c>
      <c r="I122" s="269">
        <v>15</v>
      </c>
      <c r="J122" s="269">
        <v>13</v>
      </c>
      <c r="K122" s="269">
        <v>13</v>
      </c>
      <c r="L122" s="269">
        <v>48</v>
      </c>
      <c r="M122" s="269">
        <v>0</v>
      </c>
      <c r="N122" s="269">
        <v>32</v>
      </c>
      <c r="O122" s="269">
        <v>40</v>
      </c>
      <c r="P122" s="269">
        <v>38</v>
      </c>
      <c r="Q122" s="269">
        <v>38</v>
      </c>
      <c r="R122" s="269">
        <v>1373</v>
      </c>
      <c r="S122" s="269">
        <v>1333</v>
      </c>
      <c r="T122" s="269">
        <v>784</v>
      </c>
      <c r="U122" s="269">
        <v>994</v>
      </c>
      <c r="V122" s="269">
        <v>1026</v>
      </c>
      <c r="W122" s="269">
        <v>1026</v>
      </c>
      <c r="X122" s="269">
        <v>18</v>
      </c>
      <c r="Y122" s="269">
        <v>48</v>
      </c>
      <c r="Z122" s="269">
        <v>1373</v>
      </c>
    </row>
    <row r="123" spans="1:26" x14ac:dyDescent="0.25">
      <c r="A123" s="271" t="s">
        <v>551</v>
      </c>
      <c r="B123" s="269" t="s">
        <v>168</v>
      </c>
      <c r="C123" s="269" t="s">
        <v>354</v>
      </c>
      <c r="D123" s="269" t="s">
        <v>49</v>
      </c>
      <c r="E123" s="269" t="s">
        <v>50</v>
      </c>
      <c r="F123" s="269">
        <v>3</v>
      </c>
      <c r="G123" s="269">
        <v>0</v>
      </c>
      <c r="H123" s="269">
        <v>2</v>
      </c>
      <c r="I123" s="269">
        <v>2</v>
      </c>
      <c r="J123" s="269">
        <v>2</v>
      </c>
      <c r="K123" s="269">
        <v>2</v>
      </c>
      <c r="L123" s="269">
        <v>3</v>
      </c>
      <c r="M123" s="269">
        <v>0</v>
      </c>
      <c r="N123" s="269">
        <v>2</v>
      </c>
      <c r="O123" s="269">
        <v>2</v>
      </c>
      <c r="P123" s="269">
        <v>2</v>
      </c>
      <c r="Q123" s="269">
        <v>2</v>
      </c>
      <c r="R123" s="269">
        <v>231</v>
      </c>
      <c r="S123" s="269">
        <v>219</v>
      </c>
      <c r="T123" s="269">
        <v>143</v>
      </c>
      <c r="U123" s="269">
        <v>175</v>
      </c>
      <c r="V123" s="269">
        <v>143</v>
      </c>
      <c r="W123" s="269">
        <v>143</v>
      </c>
      <c r="X123" s="269">
        <v>3</v>
      </c>
      <c r="Y123" s="269">
        <v>3</v>
      </c>
      <c r="Z123" s="269">
        <v>231</v>
      </c>
    </row>
    <row r="124" spans="1:26" x14ac:dyDescent="0.25">
      <c r="A124" s="271" t="s">
        <v>551</v>
      </c>
      <c r="B124" s="269" t="s">
        <v>168</v>
      </c>
      <c r="C124" s="269" t="s">
        <v>263</v>
      </c>
      <c r="D124" s="269" t="s">
        <v>49</v>
      </c>
      <c r="E124" s="269" t="s">
        <v>50</v>
      </c>
      <c r="F124" s="269">
        <v>34</v>
      </c>
      <c r="G124" s="269">
        <v>0</v>
      </c>
      <c r="H124" s="269">
        <v>26</v>
      </c>
      <c r="I124" s="269">
        <v>33</v>
      </c>
      <c r="J124" s="269">
        <v>31</v>
      </c>
      <c r="K124" s="269">
        <v>31</v>
      </c>
      <c r="L124" s="269">
        <v>88</v>
      </c>
      <c r="M124" s="269">
        <v>0</v>
      </c>
      <c r="N124" s="269">
        <v>68</v>
      </c>
      <c r="O124" s="269">
        <v>84</v>
      </c>
      <c r="P124" s="269">
        <v>78</v>
      </c>
      <c r="Q124" s="269">
        <v>78</v>
      </c>
      <c r="R124" s="269">
        <v>2200</v>
      </c>
      <c r="S124" s="269">
        <v>2189</v>
      </c>
      <c r="T124" s="269">
        <v>1375</v>
      </c>
      <c r="U124" s="269">
        <v>1804</v>
      </c>
      <c r="V124" s="269">
        <v>1688</v>
      </c>
      <c r="W124" s="269">
        <v>1689</v>
      </c>
      <c r="X124" s="269">
        <v>34</v>
      </c>
      <c r="Y124" s="269">
        <v>88</v>
      </c>
      <c r="Z124" s="269">
        <v>2199</v>
      </c>
    </row>
    <row r="125" spans="1:26" x14ac:dyDescent="0.25">
      <c r="A125" s="271" t="s">
        <v>551</v>
      </c>
      <c r="B125" s="269" t="s">
        <v>168</v>
      </c>
      <c r="C125" s="269" t="s">
        <v>311</v>
      </c>
      <c r="D125" s="269" t="s">
        <v>49</v>
      </c>
      <c r="E125" s="269" t="s">
        <v>50</v>
      </c>
      <c r="F125" s="269">
        <v>12</v>
      </c>
      <c r="G125" s="269">
        <v>0</v>
      </c>
      <c r="H125" s="269">
        <v>10</v>
      </c>
      <c r="I125" s="269">
        <v>11</v>
      </c>
      <c r="J125" s="269">
        <v>11</v>
      </c>
      <c r="K125" s="269">
        <v>11</v>
      </c>
      <c r="L125" s="269">
        <v>22</v>
      </c>
      <c r="M125" s="269">
        <v>1</v>
      </c>
      <c r="N125" s="269">
        <v>17</v>
      </c>
      <c r="O125" s="269">
        <v>18</v>
      </c>
      <c r="P125" s="269">
        <v>18</v>
      </c>
      <c r="Q125" s="269">
        <v>18</v>
      </c>
      <c r="R125" s="269">
        <v>838</v>
      </c>
      <c r="S125" s="269">
        <v>815</v>
      </c>
      <c r="T125" s="269">
        <v>572</v>
      </c>
      <c r="U125" s="269">
        <v>685</v>
      </c>
      <c r="V125" s="269">
        <v>617</v>
      </c>
      <c r="W125" s="269">
        <v>617</v>
      </c>
      <c r="X125" s="269">
        <v>12</v>
      </c>
      <c r="Y125" s="269">
        <v>22</v>
      </c>
      <c r="Z125" s="269">
        <v>837</v>
      </c>
    </row>
    <row r="126" spans="1:26" x14ac:dyDescent="0.25">
      <c r="A126" s="271" t="s">
        <v>551</v>
      </c>
      <c r="B126" s="269" t="s">
        <v>167</v>
      </c>
      <c r="C126" s="269" t="s">
        <v>254</v>
      </c>
      <c r="D126" s="269" t="s">
        <v>49</v>
      </c>
      <c r="E126" s="269" t="s">
        <v>50</v>
      </c>
      <c r="F126" s="269">
        <v>92</v>
      </c>
      <c r="G126" s="269">
        <v>0</v>
      </c>
      <c r="H126" s="269">
        <v>77</v>
      </c>
      <c r="I126" s="269">
        <v>85</v>
      </c>
      <c r="J126" s="269">
        <v>75</v>
      </c>
      <c r="K126" s="269">
        <v>75</v>
      </c>
      <c r="L126" s="269">
        <v>244</v>
      </c>
      <c r="M126" s="269">
        <v>0</v>
      </c>
      <c r="N126" s="269">
        <v>207</v>
      </c>
      <c r="O126" s="269">
        <v>225</v>
      </c>
      <c r="P126" s="269">
        <v>206</v>
      </c>
      <c r="Q126" s="269">
        <v>206</v>
      </c>
      <c r="R126" s="269">
        <v>5890</v>
      </c>
      <c r="S126" s="269">
        <v>5686</v>
      </c>
      <c r="T126" s="269">
        <v>3517</v>
      </c>
      <c r="U126" s="269">
        <v>4499</v>
      </c>
      <c r="V126" s="269">
        <v>4372</v>
      </c>
      <c r="W126" s="269">
        <v>4372</v>
      </c>
      <c r="X126" s="269">
        <v>92</v>
      </c>
      <c r="Y126" s="269">
        <v>244</v>
      </c>
      <c r="Z126" s="269">
        <v>5890</v>
      </c>
    </row>
    <row r="127" spans="1:26" x14ac:dyDescent="0.25">
      <c r="A127" s="271" t="s">
        <v>551</v>
      </c>
      <c r="B127" s="269" t="s">
        <v>167</v>
      </c>
      <c r="C127" s="269" t="s">
        <v>350</v>
      </c>
      <c r="D127" s="269" t="s">
        <v>49</v>
      </c>
      <c r="E127" s="269" t="s">
        <v>50</v>
      </c>
      <c r="F127" s="269">
        <v>0</v>
      </c>
      <c r="G127" s="269">
        <v>0</v>
      </c>
      <c r="H127" s="269">
        <v>0</v>
      </c>
      <c r="I127" s="269">
        <v>0</v>
      </c>
      <c r="J127" s="269">
        <v>0</v>
      </c>
      <c r="K127" s="269">
        <v>0</v>
      </c>
      <c r="L127" s="269">
        <v>0</v>
      </c>
      <c r="M127" s="269">
        <v>0</v>
      </c>
      <c r="N127" s="269">
        <v>0</v>
      </c>
      <c r="O127" s="269">
        <v>0</v>
      </c>
      <c r="P127" s="269">
        <v>0</v>
      </c>
      <c r="Q127" s="269">
        <v>0</v>
      </c>
      <c r="R127" s="269">
        <v>60</v>
      </c>
      <c r="S127" s="269">
        <v>54</v>
      </c>
      <c r="T127" s="269">
        <v>16</v>
      </c>
      <c r="U127" s="269">
        <v>28</v>
      </c>
      <c r="V127" s="269">
        <v>24</v>
      </c>
      <c r="W127" s="269">
        <v>24</v>
      </c>
      <c r="X127" s="269">
        <v>0</v>
      </c>
      <c r="Y127" s="269">
        <v>0</v>
      </c>
      <c r="Z127" s="269">
        <v>60</v>
      </c>
    </row>
    <row r="128" spans="1:26" x14ac:dyDescent="0.25">
      <c r="A128" s="271" t="s">
        <v>551</v>
      </c>
      <c r="B128" s="269" t="s">
        <v>168</v>
      </c>
      <c r="C128" s="269" t="s">
        <v>314</v>
      </c>
      <c r="D128" s="269" t="s">
        <v>49</v>
      </c>
      <c r="E128" s="269" t="s">
        <v>50</v>
      </c>
      <c r="F128" s="269">
        <v>18</v>
      </c>
      <c r="G128" s="269">
        <v>0</v>
      </c>
      <c r="H128" s="269">
        <v>14</v>
      </c>
      <c r="I128" s="269">
        <v>17</v>
      </c>
      <c r="J128" s="269">
        <v>15</v>
      </c>
      <c r="K128" s="269">
        <v>15</v>
      </c>
      <c r="L128" s="269">
        <v>56</v>
      </c>
      <c r="M128" s="269">
        <v>0</v>
      </c>
      <c r="N128" s="269">
        <v>48</v>
      </c>
      <c r="O128" s="269">
        <v>55</v>
      </c>
      <c r="P128" s="269">
        <v>47</v>
      </c>
      <c r="Q128" s="269">
        <v>47</v>
      </c>
      <c r="R128" s="269">
        <v>888</v>
      </c>
      <c r="S128" s="269">
        <v>874</v>
      </c>
      <c r="T128" s="269">
        <v>609</v>
      </c>
      <c r="U128" s="269">
        <v>718</v>
      </c>
      <c r="V128" s="269">
        <v>647</v>
      </c>
      <c r="W128" s="269">
        <v>648</v>
      </c>
      <c r="X128" s="269">
        <v>17</v>
      </c>
      <c r="Y128" s="269">
        <v>55</v>
      </c>
      <c r="Z128" s="269">
        <v>888</v>
      </c>
    </row>
    <row r="129" spans="1:26" x14ac:dyDescent="0.25">
      <c r="A129" s="271" t="s">
        <v>551</v>
      </c>
      <c r="B129" s="269" t="s">
        <v>168</v>
      </c>
      <c r="C129" s="269" t="s">
        <v>240</v>
      </c>
      <c r="D129" s="269" t="s">
        <v>49</v>
      </c>
      <c r="E129" s="269" t="s">
        <v>50</v>
      </c>
      <c r="F129" s="269">
        <v>30</v>
      </c>
      <c r="G129" s="269">
        <v>0</v>
      </c>
      <c r="H129" s="269">
        <v>24</v>
      </c>
      <c r="I129" s="269">
        <v>28</v>
      </c>
      <c r="J129" s="269">
        <v>27</v>
      </c>
      <c r="K129" s="269">
        <v>27</v>
      </c>
      <c r="L129" s="269">
        <v>80</v>
      </c>
      <c r="M129" s="269">
        <v>1</v>
      </c>
      <c r="N129" s="269">
        <v>58</v>
      </c>
      <c r="O129" s="269">
        <v>70</v>
      </c>
      <c r="P129" s="269">
        <v>66</v>
      </c>
      <c r="Q129" s="269">
        <v>66</v>
      </c>
      <c r="R129" s="269">
        <v>1802</v>
      </c>
      <c r="S129" s="269">
        <v>1767</v>
      </c>
      <c r="T129" s="269">
        <v>1117</v>
      </c>
      <c r="U129" s="269">
        <v>1379</v>
      </c>
      <c r="V129" s="269">
        <v>1334</v>
      </c>
      <c r="W129" s="269">
        <v>1334</v>
      </c>
      <c r="X129" s="269">
        <v>30</v>
      </c>
      <c r="Y129" s="269">
        <v>80</v>
      </c>
      <c r="Z129" s="269">
        <v>1803</v>
      </c>
    </row>
    <row r="130" spans="1:26" x14ac:dyDescent="0.25">
      <c r="A130" s="271" t="s">
        <v>551</v>
      </c>
      <c r="B130" s="269" t="s">
        <v>168</v>
      </c>
      <c r="C130" s="269" t="s">
        <v>403</v>
      </c>
      <c r="D130" s="269" t="s">
        <v>49</v>
      </c>
      <c r="E130" s="269" t="s">
        <v>50</v>
      </c>
      <c r="F130" s="269">
        <v>57</v>
      </c>
      <c r="G130" s="269">
        <v>0</v>
      </c>
      <c r="H130" s="269">
        <v>40</v>
      </c>
      <c r="I130" s="269">
        <v>47</v>
      </c>
      <c r="J130" s="269">
        <v>46</v>
      </c>
      <c r="K130" s="269">
        <v>46</v>
      </c>
      <c r="L130" s="269">
        <v>157</v>
      </c>
      <c r="M130" s="269">
        <v>0</v>
      </c>
      <c r="N130" s="269">
        <v>118</v>
      </c>
      <c r="O130" s="269">
        <v>134</v>
      </c>
      <c r="P130" s="269">
        <v>133</v>
      </c>
      <c r="Q130" s="269">
        <v>133</v>
      </c>
      <c r="R130" s="269">
        <v>3742</v>
      </c>
      <c r="S130" s="269">
        <v>3681</v>
      </c>
      <c r="T130" s="269">
        <v>2435</v>
      </c>
      <c r="U130" s="269">
        <v>2921</v>
      </c>
      <c r="V130" s="269">
        <v>2760</v>
      </c>
      <c r="W130" s="269">
        <v>2760</v>
      </c>
      <c r="X130" s="269">
        <v>57</v>
      </c>
      <c r="Y130" s="269">
        <v>157</v>
      </c>
      <c r="Z130" s="269">
        <v>3744</v>
      </c>
    </row>
    <row r="131" spans="1:26" x14ac:dyDescent="0.25">
      <c r="A131" s="271" t="s">
        <v>551</v>
      </c>
      <c r="B131" s="269" t="s">
        <v>168</v>
      </c>
      <c r="C131" s="269" t="s">
        <v>445</v>
      </c>
      <c r="D131" s="269" t="s">
        <v>49</v>
      </c>
      <c r="E131" s="269" t="s">
        <v>50</v>
      </c>
      <c r="F131" s="269">
        <v>0</v>
      </c>
      <c r="G131" s="269">
        <v>0</v>
      </c>
      <c r="H131" s="269">
        <v>0</v>
      </c>
      <c r="I131" s="269">
        <v>0</v>
      </c>
      <c r="J131" s="269">
        <v>0</v>
      </c>
      <c r="K131" s="269">
        <v>0</v>
      </c>
      <c r="L131" s="269">
        <v>0</v>
      </c>
      <c r="M131" s="269">
        <v>0</v>
      </c>
      <c r="N131" s="269">
        <v>0</v>
      </c>
      <c r="O131" s="269">
        <v>0</v>
      </c>
      <c r="P131" s="269">
        <v>0</v>
      </c>
      <c r="Q131" s="269">
        <v>0</v>
      </c>
      <c r="R131" s="269">
        <v>16</v>
      </c>
      <c r="S131" s="269">
        <v>16</v>
      </c>
      <c r="T131" s="269">
        <v>8</v>
      </c>
      <c r="U131" s="269">
        <v>11</v>
      </c>
      <c r="V131" s="269">
        <v>13</v>
      </c>
      <c r="W131" s="269">
        <v>13</v>
      </c>
      <c r="X131" s="269">
        <v>0</v>
      </c>
      <c r="Y131" s="269">
        <v>0</v>
      </c>
      <c r="Z131" s="269">
        <v>16</v>
      </c>
    </row>
    <row r="132" spans="1:26" x14ac:dyDescent="0.25">
      <c r="A132" s="271" t="s">
        <v>551</v>
      </c>
      <c r="B132" s="269" t="s">
        <v>168</v>
      </c>
      <c r="C132" s="269" t="s">
        <v>376</v>
      </c>
      <c r="D132" s="269" t="s">
        <v>49</v>
      </c>
      <c r="E132" s="269" t="s">
        <v>50</v>
      </c>
      <c r="F132" s="269">
        <v>24</v>
      </c>
      <c r="G132" s="269">
        <v>0</v>
      </c>
      <c r="H132" s="269">
        <v>22</v>
      </c>
      <c r="I132" s="269">
        <v>23</v>
      </c>
      <c r="J132" s="269">
        <v>22</v>
      </c>
      <c r="K132" s="269">
        <v>22</v>
      </c>
      <c r="L132" s="269">
        <v>64</v>
      </c>
      <c r="M132" s="269">
        <v>0</v>
      </c>
      <c r="N132" s="269">
        <v>55</v>
      </c>
      <c r="O132" s="269">
        <v>57</v>
      </c>
      <c r="P132" s="269">
        <v>58</v>
      </c>
      <c r="Q132" s="269">
        <v>58</v>
      </c>
      <c r="R132" s="269">
        <v>1964</v>
      </c>
      <c r="S132" s="269">
        <v>1891</v>
      </c>
      <c r="T132" s="269">
        <v>1242</v>
      </c>
      <c r="U132" s="269">
        <v>1530</v>
      </c>
      <c r="V132" s="269">
        <v>1540</v>
      </c>
      <c r="W132" s="269">
        <v>1540</v>
      </c>
      <c r="X132" s="269">
        <v>24</v>
      </c>
      <c r="Y132" s="269">
        <v>64</v>
      </c>
      <c r="Z132" s="269">
        <v>1963</v>
      </c>
    </row>
    <row r="133" spans="1:26" x14ac:dyDescent="0.25">
      <c r="A133" s="271" t="s">
        <v>551</v>
      </c>
      <c r="B133" s="269" t="s">
        <v>168</v>
      </c>
      <c r="C133" s="269" t="s">
        <v>357</v>
      </c>
      <c r="D133" s="269" t="s">
        <v>49</v>
      </c>
      <c r="E133" s="269" t="s">
        <v>50</v>
      </c>
      <c r="F133" s="269">
        <v>12</v>
      </c>
      <c r="G133" s="269">
        <v>0</v>
      </c>
      <c r="H133" s="269">
        <v>6</v>
      </c>
      <c r="I133" s="269">
        <v>9</v>
      </c>
      <c r="J133" s="269">
        <v>11</v>
      </c>
      <c r="K133" s="269">
        <v>11</v>
      </c>
      <c r="L133" s="269">
        <v>32</v>
      </c>
      <c r="M133" s="269">
        <v>0</v>
      </c>
      <c r="N133" s="269">
        <v>22</v>
      </c>
      <c r="O133" s="269">
        <v>27</v>
      </c>
      <c r="P133" s="269">
        <v>29</v>
      </c>
      <c r="Q133" s="269">
        <v>29</v>
      </c>
      <c r="R133" s="269">
        <v>677</v>
      </c>
      <c r="S133" s="269">
        <v>637</v>
      </c>
      <c r="T133" s="269">
        <v>343</v>
      </c>
      <c r="U133" s="269">
        <v>445</v>
      </c>
      <c r="V133" s="269">
        <v>453</v>
      </c>
      <c r="W133" s="269">
        <v>453</v>
      </c>
      <c r="X133" s="269">
        <v>12</v>
      </c>
      <c r="Y133" s="269">
        <v>32</v>
      </c>
      <c r="Z133" s="269">
        <v>677</v>
      </c>
    </row>
    <row r="134" spans="1:26" x14ac:dyDescent="0.25">
      <c r="A134" s="271" t="s">
        <v>551</v>
      </c>
      <c r="B134" s="269" t="s">
        <v>168</v>
      </c>
      <c r="C134" s="269" t="s">
        <v>548</v>
      </c>
      <c r="D134" s="269" t="s">
        <v>49</v>
      </c>
      <c r="E134" s="269" t="s">
        <v>50</v>
      </c>
      <c r="F134" s="269">
        <v>0</v>
      </c>
      <c r="G134" s="269">
        <v>0</v>
      </c>
      <c r="H134" s="269">
        <v>0</v>
      </c>
      <c r="I134" s="269">
        <v>0</v>
      </c>
      <c r="J134" s="269">
        <v>0</v>
      </c>
      <c r="K134" s="269">
        <v>0</v>
      </c>
      <c r="L134" s="269">
        <v>0</v>
      </c>
      <c r="M134" s="269">
        <v>0</v>
      </c>
      <c r="N134" s="269">
        <v>0</v>
      </c>
      <c r="O134" s="269">
        <v>0</v>
      </c>
      <c r="P134" s="269">
        <v>0</v>
      </c>
      <c r="Q134" s="269">
        <v>0</v>
      </c>
      <c r="R134" s="269">
        <v>4</v>
      </c>
      <c r="S134" s="269">
        <v>4</v>
      </c>
      <c r="T134" s="269">
        <v>3</v>
      </c>
      <c r="U134" s="269">
        <v>4</v>
      </c>
      <c r="V134" s="269">
        <v>4</v>
      </c>
      <c r="W134" s="269">
        <v>4</v>
      </c>
      <c r="X134" s="269">
        <v>0</v>
      </c>
      <c r="Y134" s="269">
        <v>0</v>
      </c>
      <c r="Z134" s="269">
        <v>4</v>
      </c>
    </row>
    <row r="135" spans="1:26" x14ac:dyDescent="0.25">
      <c r="A135" s="271" t="s">
        <v>551</v>
      </c>
      <c r="B135" s="269" t="s">
        <v>168</v>
      </c>
      <c r="C135" s="269" t="s">
        <v>324</v>
      </c>
      <c r="D135" s="269" t="s">
        <v>49</v>
      </c>
      <c r="E135" s="269" t="s">
        <v>50</v>
      </c>
      <c r="F135" s="269">
        <v>18</v>
      </c>
      <c r="G135" s="269">
        <v>0</v>
      </c>
      <c r="H135" s="269">
        <v>9</v>
      </c>
      <c r="I135" s="269">
        <v>12</v>
      </c>
      <c r="J135" s="269">
        <v>10</v>
      </c>
      <c r="K135" s="269">
        <v>10</v>
      </c>
      <c r="L135" s="269">
        <v>48</v>
      </c>
      <c r="M135" s="269">
        <v>0</v>
      </c>
      <c r="N135" s="269">
        <v>26</v>
      </c>
      <c r="O135" s="269">
        <v>39</v>
      </c>
      <c r="P135" s="269">
        <v>35</v>
      </c>
      <c r="Q135" s="269">
        <v>35</v>
      </c>
      <c r="R135" s="269">
        <v>1315</v>
      </c>
      <c r="S135" s="269">
        <v>1307</v>
      </c>
      <c r="T135" s="269">
        <v>856</v>
      </c>
      <c r="U135" s="269">
        <v>1101</v>
      </c>
      <c r="V135" s="269">
        <v>1009</v>
      </c>
      <c r="W135" s="269">
        <v>1009</v>
      </c>
      <c r="X135" s="269">
        <v>18</v>
      </c>
      <c r="Y135" s="269">
        <v>48</v>
      </c>
      <c r="Z135" s="269">
        <v>1316</v>
      </c>
    </row>
    <row r="136" spans="1:26" x14ac:dyDescent="0.25">
      <c r="A136" s="271" t="s">
        <v>551</v>
      </c>
      <c r="B136" s="269" t="s">
        <v>168</v>
      </c>
      <c r="C136" s="269" t="s">
        <v>234</v>
      </c>
      <c r="D136" s="269" t="s">
        <v>49</v>
      </c>
      <c r="E136" s="269" t="s">
        <v>50</v>
      </c>
      <c r="F136" s="269">
        <v>17</v>
      </c>
      <c r="G136" s="269">
        <v>0</v>
      </c>
      <c r="H136" s="269">
        <v>11</v>
      </c>
      <c r="I136" s="269">
        <v>13</v>
      </c>
      <c r="J136" s="269">
        <v>13</v>
      </c>
      <c r="K136" s="269">
        <v>13</v>
      </c>
      <c r="L136" s="269">
        <v>45</v>
      </c>
      <c r="M136" s="269">
        <v>0</v>
      </c>
      <c r="N136" s="269">
        <v>36</v>
      </c>
      <c r="O136" s="269">
        <v>39</v>
      </c>
      <c r="P136" s="269">
        <v>40</v>
      </c>
      <c r="Q136" s="269">
        <v>40</v>
      </c>
      <c r="R136" s="269">
        <v>878</v>
      </c>
      <c r="S136" s="269">
        <v>874</v>
      </c>
      <c r="T136" s="269">
        <v>583</v>
      </c>
      <c r="U136" s="269">
        <v>738</v>
      </c>
      <c r="V136" s="269">
        <v>756</v>
      </c>
      <c r="W136" s="269">
        <v>756</v>
      </c>
      <c r="X136" s="269">
        <v>17</v>
      </c>
      <c r="Y136" s="269">
        <v>45</v>
      </c>
      <c r="Z136" s="269">
        <v>878</v>
      </c>
    </row>
    <row r="137" spans="1:26" x14ac:dyDescent="0.25">
      <c r="A137" s="271" t="s">
        <v>551</v>
      </c>
      <c r="B137" s="269" t="s">
        <v>168</v>
      </c>
      <c r="C137" s="269" t="s">
        <v>255</v>
      </c>
      <c r="D137" s="269" t="s">
        <v>49</v>
      </c>
      <c r="E137" s="269" t="s">
        <v>50</v>
      </c>
      <c r="F137" s="269">
        <v>12</v>
      </c>
      <c r="G137" s="269">
        <v>0</v>
      </c>
      <c r="H137" s="269">
        <v>9</v>
      </c>
      <c r="I137" s="269">
        <v>10</v>
      </c>
      <c r="J137" s="269">
        <v>9</v>
      </c>
      <c r="K137" s="269">
        <v>9</v>
      </c>
      <c r="L137" s="269">
        <v>32</v>
      </c>
      <c r="M137" s="269">
        <v>0</v>
      </c>
      <c r="N137" s="269">
        <v>23</v>
      </c>
      <c r="O137" s="269">
        <v>28</v>
      </c>
      <c r="P137" s="269">
        <v>27</v>
      </c>
      <c r="Q137" s="269">
        <v>27</v>
      </c>
      <c r="R137" s="269">
        <v>544</v>
      </c>
      <c r="S137" s="269">
        <v>537</v>
      </c>
      <c r="T137" s="269">
        <v>374</v>
      </c>
      <c r="U137" s="269">
        <v>445</v>
      </c>
      <c r="V137" s="269">
        <v>421</v>
      </c>
      <c r="W137" s="269">
        <v>421</v>
      </c>
      <c r="X137" s="269">
        <v>12</v>
      </c>
      <c r="Y137" s="269">
        <v>32</v>
      </c>
      <c r="Z137" s="269">
        <v>544</v>
      </c>
    </row>
    <row r="138" spans="1:26" x14ac:dyDescent="0.25">
      <c r="A138" s="271" t="s">
        <v>551</v>
      </c>
      <c r="B138" s="269" t="s">
        <v>168</v>
      </c>
      <c r="C138" s="269" t="s">
        <v>277</v>
      </c>
      <c r="D138" s="269" t="s">
        <v>49</v>
      </c>
      <c r="E138" s="269" t="s">
        <v>50</v>
      </c>
      <c r="F138" s="269">
        <v>35</v>
      </c>
      <c r="G138" s="269">
        <v>0</v>
      </c>
      <c r="H138" s="269">
        <v>18</v>
      </c>
      <c r="I138" s="269">
        <v>26</v>
      </c>
      <c r="J138" s="269">
        <v>30</v>
      </c>
      <c r="K138" s="269">
        <v>30</v>
      </c>
      <c r="L138" s="269">
        <v>95</v>
      </c>
      <c r="M138" s="269">
        <v>0</v>
      </c>
      <c r="N138" s="269">
        <v>62</v>
      </c>
      <c r="O138" s="269">
        <v>79</v>
      </c>
      <c r="P138" s="269">
        <v>81</v>
      </c>
      <c r="Q138" s="269">
        <v>81</v>
      </c>
      <c r="R138" s="269">
        <v>1923</v>
      </c>
      <c r="S138" s="269">
        <v>1913</v>
      </c>
      <c r="T138" s="269">
        <v>1318</v>
      </c>
      <c r="U138" s="269">
        <v>1605</v>
      </c>
      <c r="V138" s="269">
        <v>1506</v>
      </c>
      <c r="W138" s="269">
        <v>1507</v>
      </c>
      <c r="X138" s="269">
        <v>36</v>
      </c>
      <c r="Y138" s="269">
        <v>96</v>
      </c>
      <c r="Z138" s="269">
        <v>1922</v>
      </c>
    </row>
    <row r="139" spans="1:26" x14ac:dyDescent="0.25">
      <c r="A139" s="271" t="s">
        <v>551</v>
      </c>
      <c r="B139" s="269" t="s">
        <v>168</v>
      </c>
      <c r="C139" s="269" t="s">
        <v>252</v>
      </c>
      <c r="D139" s="269" t="s">
        <v>49</v>
      </c>
      <c r="E139" s="269" t="s">
        <v>50</v>
      </c>
      <c r="F139" s="269">
        <v>12</v>
      </c>
      <c r="G139" s="269">
        <v>0</v>
      </c>
      <c r="H139" s="269">
        <v>9</v>
      </c>
      <c r="I139" s="269">
        <v>11</v>
      </c>
      <c r="J139" s="269">
        <v>7</v>
      </c>
      <c r="K139" s="269">
        <v>7</v>
      </c>
      <c r="L139" s="269">
        <v>32</v>
      </c>
      <c r="M139" s="269">
        <v>0</v>
      </c>
      <c r="N139" s="269">
        <v>24</v>
      </c>
      <c r="O139" s="269">
        <v>30</v>
      </c>
      <c r="P139" s="269">
        <v>22</v>
      </c>
      <c r="Q139" s="269">
        <v>22</v>
      </c>
      <c r="R139" s="269">
        <v>698</v>
      </c>
      <c r="S139" s="269">
        <v>691</v>
      </c>
      <c r="T139" s="269">
        <v>483</v>
      </c>
      <c r="U139" s="269">
        <v>559</v>
      </c>
      <c r="V139" s="269">
        <v>503</v>
      </c>
      <c r="W139" s="269">
        <v>503</v>
      </c>
      <c r="X139" s="269">
        <v>12</v>
      </c>
      <c r="Y139" s="269">
        <v>32</v>
      </c>
      <c r="Z139" s="269">
        <v>698</v>
      </c>
    </row>
    <row r="140" spans="1:26" x14ac:dyDescent="0.25">
      <c r="A140" s="271" t="s">
        <v>551</v>
      </c>
      <c r="B140" s="269" t="s">
        <v>168</v>
      </c>
      <c r="C140" s="269" t="s">
        <v>400</v>
      </c>
      <c r="D140" s="269" t="s">
        <v>49</v>
      </c>
      <c r="E140" s="269" t="s">
        <v>50</v>
      </c>
      <c r="F140" s="269">
        <v>14</v>
      </c>
      <c r="G140" s="269">
        <v>0</v>
      </c>
      <c r="H140" s="269">
        <v>7</v>
      </c>
      <c r="I140" s="269">
        <v>14</v>
      </c>
      <c r="J140" s="269">
        <v>14</v>
      </c>
      <c r="K140" s="269">
        <v>14</v>
      </c>
      <c r="L140" s="269">
        <v>34</v>
      </c>
      <c r="M140" s="269">
        <v>1</v>
      </c>
      <c r="N140" s="269">
        <v>17</v>
      </c>
      <c r="O140" s="269">
        <v>28</v>
      </c>
      <c r="P140" s="269">
        <v>30</v>
      </c>
      <c r="Q140" s="269">
        <v>30</v>
      </c>
      <c r="R140" s="269">
        <v>1076</v>
      </c>
      <c r="S140" s="269">
        <v>1058</v>
      </c>
      <c r="T140" s="269">
        <v>620</v>
      </c>
      <c r="U140" s="269">
        <v>824</v>
      </c>
      <c r="V140" s="269">
        <v>753</v>
      </c>
      <c r="W140" s="269">
        <v>753</v>
      </c>
      <c r="X140" s="269">
        <v>14</v>
      </c>
      <c r="Y140" s="269">
        <v>34</v>
      </c>
      <c r="Z140" s="269">
        <v>1077</v>
      </c>
    </row>
    <row r="141" spans="1:26" x14ac:dyDescent="0.25">
      <c r="A141" s="271" t="s">
        <v>551</v>
      </c>
      <c r="B141" s="269" t="s">
        <v>168</v>
      </c>
      <c r="C141" s="269" t="s">
        <v>330</v>
      </c>
      <c r="D141" s="269" t="s">
        <v>49</v>
      </c>
      <c r="E141" s="269" t="s">
        <v>50</v>
      </c>
      <c r="F141" s="269">
        <v>10</v>
      </c>
      <c r="G141" s="269">
        <v>1</v>
      </c>
      <c r="H141" s="269">
        <v>5</v>
      </c>
      <c r="I141" s="269">
        <v>7</v>
      </c>
      <c r="J141" s="269">
        <v>7</v>
      </c>
      <c r="K141" s="269">
        <v>7</v>
      </c>
      <c r="L141" s="269">
        <v>27</v>
      </c>
      <c r="M141" s="269">
        <v>1</v>
      </c>
      <c r="N141" s="269">
        <v>18</v>
      </c>
      <c r="O141" s="269">
        <v>23</v>
      </c>
      <c r="P141" s="269">
        <v>23</v>
      </c>
      <c r="Q141" s="269">
        <v>23</v>
      </c>
      <c r="R141" s="269">
        <v>599</v>
      </c>
      <c r="S141" s="269">
        <v>574</v>
      </c>
      <c r="T141" s="269">
        <v>351</v>
      </c>
      <c r="U141" s="269">
        <v>451</v>
      </c>
      <c r="V141" s="269">
        <v>456</v>
      </c>
      <c r="W141" s="269">
        <v>456</v>
      </c>
      <c r="X141" s="269">
        <v>10</v>
      </c>
      <c r="Y141" s="269">
        <v>27</v>
      </c>
      <c r="Z141" s="269">
        <v>599</v>
      </c>
    </row>
    <row r="142" spans="1:26" x14ac:dyDescent="0.25">
      <c r="A142" s="271" t="s">
        <v>551</v>
      </c>
      <c r="B142" s="269" t="s">
        <v>168</v>
      </c>
      <c r="C142" s="269" t="s">
        <v>322</v>
      </c>
      <c r="D142" s="269" t="s">
        <v>49</v>
      </c>
      <c r="E142" s="269" t="s">
        <v>50</v>
      </c>
      <c r="F142" s="269">
        <v>63</v>
      </c>
      <c r="G142" s="269">
        <v>0</v>
      </c>
      <c r="H142" s="269">
        <v>48</v>
      </c>
      <c r="I142" s="269">
        <v>55</v>
      </c>
      <c r="J142" s="269">
        <v>57</v>
      </c>
      <c r="K142" s="269">
        <v>57</v>
      </c>
      <c r="L142" s="269">
        <v>169</v>
      </c>
      <c r="M142" s="269">
        <v>0</v>
      </c>
      <c r="N142" s="269">
        <v>125</v>
      </c>
      <c r="O142" s="269">
        <v>147</v>
      </c>
      <c r="P142" s="269">
        <v>140</v>
      </c>
      <c r="Q142" s="269">
        <v>140</v>
      </c>
      <c r="R142" s="269">
        <v>3981</v>
      </c>
      <c r="S142" s="269">
        <v>3892</v>
      </c>
      <c r="T142" s="269">
        <v>2401</v>
      </c>
      <c r="U142" s="269">
        <v>3071</v>
      </c>
      <c r="V142" s="269">
        <v>2819</v>
      </c>
      <c r="W142" s="269">
        <v>2819</v>
      </c>
      <c r="X142" s="269">
        <v>63</v>
      </c>
      <c r="Y142" s="269">
        <v>169</v>
      </c>
      <c r="Z142" s="269">
        <v>3984</v>
      </c>
    </row>
    <row r="143" spans="1:26" x14ac:dyDescent="0.25">
      <c r="A143" s="271" t="s">
        <v>551</v>
      </c>
      <c r="B143" s="269" t="s">
        <v>168</v>
      </c>
      <c r="C143" s="269" t="s">
        <v>336</v>
      </c>
      <c r="D143" s="269" t="s">
        <v>49</v>
      </c>
      <c r="E143" s="269" t="s">
        <v>50</v>
      </c>
      <c r="F143" s="269">
        <v>24</v>
      </c>
      <c r="G143" s="269">
        <v>0</v>
      </c>
      <c r="H143" s="269">
        <v>22</v>
      </c>
      <c r="I143" s="269">
        <v>22</v>
      </c>
      <c r="J143" s="269">
        <v>22</v>
      </c>
      <c r="K143" s="269">
        <v>22</v>
      </c>
      <c r="L143" s="269">
        <v>64</v>
      </c>
      <c r="M143" s="269">
        <v>0</v>
      </c>
      <c r="N143" s="269">
        <v>56</v>
      </c>
      <c r="O143" s="269">
        <v>57</v>
      </c>
      <c r="P143" s="269">
        <v>58</v>
      </c>
      <c r="Q143" s="269">
        <v>58</v>
      </c>
      <c r="R143" s="269">
        <v>1133</v>
      </c>
      <c r="S143" s="269">
        <v>1121</v>
      </c>
      <c r="T143" s="269">
        <v>796</v>
      </c>
      <c r="U143" s="269">
        <v>947</v>
      </c>
      <c r="V143" s="269">
        <v>917</v>
      </c>
      <c r="W143" s="269">
        <v>917</v>
      </c>
      <c r="X143" s="269">
        <v>24</v>
      </c>
      <c r="Y143" s="269">
        <v>64</v>
      </c>
      <c r="Z143" s="269">
        <v>1133</v>
      </c>
    </row>
    <row r="144" spans="1:26" x14ac:dyDescent="0.25">
      <c r="A144" s="271" t="s">
        <v>551</v>
      </c>
      <c r="B144" s="269" t="s">
        <v>167</v>
      </c>
      <c r="C144" s="269" t="s">
        <v>390</v>
      </c>
      <c r="D144" s="269" t="s">
        <v>49</v>
      </c>
      <c r="E144" s="269" t="s">
        <v>50</v>
      </c>
      <c r="F144" s="269">
        <v>6</v>
      </c>
      <c r="G144" s="269">
        <v>0</v>
      </c>
      <c r="H144" s="269">
        <v>3</v>
      </c>
      <c r="I144" s="269">
        <v>4</v>
      </c>
      <c r="J144" s="269">
        <v>4</v>
      </c>
      <c r="K144" s="269">
        <v>4</v>
      </c>
      <c r="L144" s="269">
        <v>16</v>
      </c>
      <c r="M144" s="269">
        <v>0</v>
      </c>
      <c r="N144" s="269">
        <v>6</v>
      </c>
      <c r="O144" s="269">
        <v>9</v>
      </c>
      <c r="P144" s="269">
        <v>13</v>
      </c>
      <c r="Q144" s="269">
        <v>13</v>
      </c>
      <c r="R144" s="269">
        <v>350</v>
      </c>
      <c r="S144" s="269">
        <v>346</v>
      </c>
      <c r="T144" s="269">
        <v>143</v>
      </c>
      <c r="U144" s="269">
        <v>216</v>
      </c>
      <c r="V144" s="269">
        <v>279</v>
      </c>
      <c r="W144" s="269">
        <v>279</v>
      </c>
      <c r="X144" s="269">
        <v>6</v>
      </c>
      <c r="Y144" s="269">
        <v>16</v>
      </c>
      <c r="Z144" s="269">
        <v>350</v>
      </c>
    </row>
    <row r="145" spans="1:26" x14ac:dyDescent="0.25">
      <c r="A145" s="271" t="s">
        <v>551</v>
      </c>
      <c r="B145" s="269" t="s">
        <v>168</v>
      </c>
      <c r="C145" s="269" t="s">
        <v>368</v>
      </c>
      <c r="D145" s="269" t="s">
        <v>49</v>
      </c>
      <c r="E145" s="269" t="s">
        <v>50</v>
      </c>
      <c r="F145" s="269">
        <v>4</v>
      </c>
      <c r="G145" s="269">
        <v>0</v>
      </c>
      <c r="H145" s="269">
        <v>2</v>
      </c>
      <c r="I145" s="269">
        <v>3</v>
      </c>
      <c r="J145" s="269">
        <v>3</v>
      </c>
      <c r="K145" s="269">
        <v>3</v>
      </c>
      <c r="L145" s="269">
        <v>4</v>
      </c>
      <c r="M145" s="269">
        <v>0</v>
      </c>
      <c r="N145" s="269">
        <v>2</v>
      </c>
      <c r="O145" s="269">
        <v>3</v>
      </c>
      <c r="P145" s="269">
        <v>3</v>
      </c>
      <c r="Q145" s="269">
        <v>3</v>
      </c>
      <c r="R145" s="269">
        <v>448</v>
      </c>
      <c r="S145" s="269">
        <v>446</v>
      </c>
      <c r="T145" s="269">
        <v>277</v>
      </c>
      <c r="U145" s="269">
        <v>373</v>
      </c>
      <c r="V145" s="269">
        <v>337</v>
      </c>
      <c r="W145" s="269">
        <v>337</v>
      </c>
      <c r="X145" s="269">
        <v>4</v>
      </c>
      <c r="Y145" s="269">
        <v>4</v>
      </c>
      <c r="Z145" s="269">
        <v>447</v>
      </c>
    </row>
    <row r="146" spans="1:26" x14ac:dyDescent="0.25">
      <c r="A146" s="271" t="s">
        <v>551</v>
      </c>
      <c r="B146" s="269" t="s">
        <v>168</v>
      </c>
      <c r="C146" s="269" t="s">
        <v>274</v>
      </c>
      <c r="D146" s="269" t="s">
        <v>49</v>
      </c>
      <c r="E146" s="269" t="s">
        <v>50</v>
      </c>
      <c r="F146" s="269">
        <v>25</v>
      </c>
      <c r="G146" s="269">
        <v>0</v>
      </c>
      <c r="H146" s="269">
        <v>20</v>
      </c>
      <c r="I146" s="269">
        <v>22</v>
      </c>
      <c r="J146" s="269">
        <v>22</v>
      </c>
      <c r="K146" s="269">
        <v>22</v>
      </c>
      <c r="L146" s="269">
        <v>69</v>
      </c>
      <c r="M146" s="269">
        <v>0</v>
      </c>
      <c r="N146" s="269">
        <v>46</v>
      </c>
      <c r="O146" s="269">
        <v>57</v>
      </c>
      <c r="P146" s="269">
        <v>58</v>
      </c>
      <c r="Q146" s="269">
        <v>58</v>
      </c>
      <c r="R146" s="269">
        <v>932</v>
      </c>
      <c r="S146" s="269">
        <v>920</v>
      </c>
      <c r="T146" s="269">
        <v>580</v>
      </c>
      <c r="U146" s="269">
        <v>744</v>
      </c>
      <c r="V146" s="269">
        <v>722</v>
      </c>
      <c r="W146" s="269">
        <v>722</v>
      </c>
      <c r="X146" s="269">
        <v>25</v>
      </c>
      <c r="Y146" s="269">
        <v>69</v>
      </c>
      <c r="Z146" s="269">
        <v>932</v>
      </c>
    </row>
    <row r="147" spans="1:26" x14ac:dyDescent="0.25">
      <c r="A147" s="271" t="s">
        <v>551</v>
      </c>
      <c r="B147" s="269" t="s">
        <v>168</v>
      </c>
      <c r="C147" s="269" t="s">
        <v>286</v>
      </c>
      <c r="D147" s="269" t="s">
        <v>49</v>
      </c>
      <c r="E147" s="269" t="s">
        <v>50</v>
      </c>
      <c r="F147" s="269">
        <v>9</v>
      </c>
      <c r="G147" s="269">
        <v>0</v>
      </c>
      <c r="H147" s="269">
        <v>6</v>
      </c>
      <c r="I147" s="269">
        <v>8</v>
      </c>
      <c r="J147" s="269">
        <v>9</v>
      </c>
      <c r="K147" s="269">
        <v>9</v>
      </c>
      <c r="L147" s="269">
        <v>19</v>
      </c>
      <c r="M147" s="269">
        <v>0</v>
      </c>
      <c r="N147" s="269">
        <v>16</v>
      </c>
      <c r="O147" s="269">
        <v>18</v>
      </c>
      <c r="P147" s="269">
        <v>18</v>
      </c>
      <c r="Q147" s="269">
        <v>18</v>
      </c>
      <c r="R147" s="269">
        <v>680</v>
      </c>
      <c r="S147" s="269">
        <v>648</v>
      </c>
      <c r="T147" s="269">
        <v>422</v>
      </c>
      <c r="U147" s="269">
        <v>521</v>
      </c>
      <c r="V147" s="269">
        <v>498</v>
      </c>
      <c r="W147" s="269">
        <v>498</v>
      </c>
      <c r="X147" s="269">
        <v>9</v>
      </c>
      <c r="Y147" s="269">
        <v>19</v>
      </c>
      <c r="Z147" s="269">
        <v>680</v>
      </c>
    </row>
    <row r="148" spans="1:26" x14ac:dyDescent="0.25">
      <c r="A148" s="271" t="s">
        <v>551</v>
      </c>
      <c r="B148" s="269" t="s">
        <v>168</v>
      </c>
      <c r="C148" s="269" t="s">
        <v>374</v>
      </c>
      <c r="D148" s="269" t="s">
        <v>49</v>
      </c>
      <c r="E148" s="269" t="s">
        <v>50</v>
      </c>
      <c r="F148" s="269">
        <v>27</v>
      </c>
      <c r="G148" s="269">
        <v>0</v>
      </c>
      <c r="H148" s="269">
        <v>19</v>
      </c>
      <c r="I148" s="269">
        <v>25</v>
      </c>
      <c r="J148" s="269">
        <v>22</v>
      </c>
      <c r="K148" s="269">
        <v>22</v>
      </c>
      <c r="L148" s="269">
        <v>76</v>
      </c>
      <c r="M148" s="269">
        <v>0</v>
      </c>
      <c r="N148" s="269">
        <v>62</v>
      </c>
      <c r="O148" s="269">
        <v>72</v>
      </c>
      <c r="P148" s="269">
        <v>64</v>
      </c>
      <c r="Q148" s="269">
        <v>64</v>
      </c>
      <c r="R148" s="269">
        <v>1936</v>
      </c>
      <c r="S148" s="269">
        <v>1877</v>
      </c>
      <c r="T148" s="269">
        <v>1322</v>
      </c>
      <c r="U148" s="269">
        <v>1616</v>
      </c>
      <c r="V148" s="269">
        <v>1455</v>
      </c>
      <c r="W148" s="269">
        <v>1455</v>
      </c>
      <c r="X148" s="269">
        <v>27</v>
      </c>
      <c r="Y148" s="269">
        <v>76</v>
      </c>
      <c r="Z148" s="269">
        <v>1936</v>
      </c>
    </row>
    <row r="149" spans="1:26" x14ac:dyDescent="0.25">
      <c r="A149" s="271" t="s">
        <v>551</v>
      </c>
      <c r="B149" s="269" t="s">
        <v>168</v>
      </c>
      <c r="C149" s="269" t="s">
        <v>519</v>
      </c>
      <c r="D149" s="269" t="s">
        <v>49</v>
      </c>
      <c r="E149" s="269" t="s">
        <v>50</v>
      </c>
      <c r="F149" s="269">
        <v>0</v>
      </c>
      <c r="G149" s="269">
        <v>0</v>
      </c>
      <c r="H149" s="269">
        <v>0</v>
      </c>
      <c r="I149" s="269">
        <v>0</v>
      </c>
      <c r="J149" s="269">
        <v>0</v>
      </c>
      <c r="K149" s="269">
        <v>0</v>
      </c>
      <c r="L149" s="269">
        <v>0</v>
      </c>
      <c r="M149" s="269">
        <v>0</v>
      </c>
      <c r="N149" s="269">
        <v>0</v>
      </c>
      <c r="O149" s="269">
        <v>0</v>
      </c>
      <c r="P149" s="269">
        <v>0</v>
      </c>
      <c r="Q149" s="269">
        <v>0</v>
      </c>
      <c r="R149" s="269">
        <v>231</v>
      </c>
      <c r="S149" s="269">
        <v>220</v>
      </c>
      <c r="T149" s="269">
        <v>156</v>
      </c>
      <c r="U149" s="269">
        <v>192</v>
      </c>
      <c r="V149" s="269">
        <v>140</v>
      </c>
      <c r="W149" s="269">
        <v>140</v>
      </c>
      <c r="X149" s="269">
        <v>0</v>
      </c>
      <c r="Y149" s="269">
        <v>0</v>
      </c>
      <c r="Z149" s="269">
        <v>231</v>
      </c>
    </row>
    <row r="150" spans="1:26" x14ac:dyDescent="0.25">
      <c r="A150" s="271" t="s">
        <v>551</v>
      </c>
      <c r="B150" s="269" t="s">
        <v>168</v>
      </c>
      <c r="C150" s="269" t="s">
        <v>359</v>
      </c>
      <c r="D150" s="269" t="s">
        <v>49</v>
      </c>
      <c r="E150" s="269" t="s">
        <v>50</v>
      </c>
      <c r="F150" s="269">
        <v>24</v>
      </c>
      <c r="G150" s="269">
        <v>0</v>
      </c>
      <c r="H150" s="269">
        <v>20</v>
      </c>
      <c r="I150" s="269">
        <v>21</v>
      </c>
      <c r="J150" s="269">
        <v>19</v>
      </c>
      <c r="K150" s="269">
        <v>19</v>
      </c>
      <c r="L150" s="269">
        <v>64</v>
      </c>
      <c r="M150" s="269">
        <v>0</v>
      </c>
      <c r="N150" s="269">
        <v>48</v>
      </c>
      <c r="O150" s="269">
        <v>57</v>
      </c>
      <c r="P150" s="269">
        <v>49</v>
      </c>
      <c r="Q150" s="269">
        <v>49</v>
      </c>
      <c r="R150" s="269">
        <v>1512</v>
      </c>
      <c r="S150" s="269">
        <v>1462</v>
      </c>
      <c r="T150" s="269">
        <v>899</v>
      </c>
      <c r="U150" s="269">
        <v>1171</v>
      </c>
      <c r="V150" s="269">
        <v>1001</v>
      </c>
      <c r="W150" s="269">
        <v>1001</v>
      </c>
      <c r="X150" s="269">
        <v>24</v>
      </c>
      <c r="Y150" s="269">
        <v>64</v>
      </c>
      <c r="Z150" s="269">
        <v>1511</v>
      </c>
    </row>
    <row r="151" spans="1:26" x14ac:dyDescent="0.25">
      <c r="A151" s="271" t="s">
        <v>551</v>
      </c>
      <c r="B151" s="269" t="s">
        <v>168</v>
      </c>
      <c r="C151" s="269" t="s">
        <v>219</v>
      </c>
      <c r="D151" s="269" t="s">
        <v>49</v>
      </c>
      <c r="E151" s="269" t="s">
        <v>50</v>
      </c>
      <c r="F151" s="269">
        <v>60</v>
      </c>
      <c r="G151" s="269">
        <v>0</v>
      </c>
      <c r="H151" s="269">
        <v>34</v>
      </c>
      <c r="I151" s="269">
        <v>45</v>
      </c>
      <c r="J151" s="269">
        <v>35</v>
      </c>
      <c r="K151" s="269">
        <v>36</v>
      </c>
      <c r="L151" s="269">
        <v>158</v>
      </c>
      <c r="M151" s="269">
        <v>0</v>
      </c>
      <c r="N151" s="269">
        <v>102</v>
      </c>
      <c r="O151" s="269">
        <v>127</v>
      </c>
      <c r="P151" s="269">
        <v>98</v>
      </c>
      <c r="Q151" s="269">
        <v>99</v>
      </c>
      <c r="R151" s="269">
        <v>4244</v>
      </c>
      <c r="S151" s="269">
        <v>4063</v>
      </c>
      <c r="T151" s="269">
        <v>2505</v>
      </c>
      <c r="U151" s="269">
        <v>3037</v>
      </c>
      <c r="V151" s="269">
        <v>2652</v>
      </c>
      <c r="W151" s="269">
        <v>2660</v>
      </c>
      <c r="X151" s="269">
        <v>60</v>
      </c>
      <c r="Y151" s="269">
        <v>158</v>
      </c>
      <c r="Z151" s="269">
        <v>4243</v>
      </c>
    </row>
    <row r="152" spans="1:26" x14ac:dyDescent="0.25">
      <c r="A152" s="271" t="s">
        <v>551</v>
      </c>
      <c r="B152" s="269" t="s">
        <v>168</v>
      </c>
      <c r="C152" s="269" t="s">
        <v>373</v>
      </c>
      <c r="D152" s="269" t="s">
        <v>49</v>
      </c>
      <c r="E152" s="269" t="s">
        <v>50</v>
      </c>
      <c r="F152" s="269">
        <v>12</v>
      </c>
      <c r="G152" s="269">
        <v>0</v>
      </c>
      <c r="H152" s="269">
        <v>10</v>
      </c>
      <c r="I152" s="269">
        <v>12</v>
      </c>
      <c r="J152" s="269">
        <v>12</v>
      </c>
      <c r="K152" s="269">
        <v>12</v>
      </c>
      <c r="L152" s="269">
        <v>32</v>
      </c>
      <c r="M152" s="269">
        <v>0</v>
      </c>
      <c r="N152" s="269">
        <v>27</v>
      </c>
      <c r="O152" s="269">
        <v>31</v>
      </c>
      <c r="P152" s="269">
        <v>31</v>
      </c>
      <c r="Q152" s="269">
        <v>31</v>
      </c>
      <c r="R152" s="269">
        <v>694</v>
      </c>
      <c r="S152" s="269">
        <v>669</v>
      </c>
      <c r="T152" s="269">
        <v>460</v>
      </c>
      <c r="U152" s="269">
        <v>545</v>
      </c>
      <c r="V152" s="269">
        <v>592</v>
      </c>
      <c r="W152" s="269">
        <v>592</v>
      </c>
      <c r="X152" s="269">
        <v>12</v>
      </c>
      <c r="Y152" s="269">
        <v>32</v>
      </c>
      <c r="Z152" s="269">
        <v>694</v>
      </c>
    </row>
    <row r="153" spans="1:26" x14ac:dyDescent="0.25">
      <c r="A153" s="271" t="s">
        <v>551</v>
      </c>
      <c r="B153" s="269" t="s">
        <v>168</v>
      </c>
      <c r="C153" s="269" t="s">
        <v>353</v>
      </c>
      <c r="D153" s="269" t="s">
        <v>49</v>
      </c>
      <c r="E153" s="269" t="s">
        <v>50</v>
      </c>
      <c r="F153" s="269">
        <v>42</v>
      </c>
      <c r="G153" s="269">
        <v>0</v>
      </c>
      <c r="H153" s="269">
        <v>22</v>
      </c>
      <c r="I153" s="269">
        <v>27</v>
      </c>
      <c r="J153" s="269">
        <v>24</v>
      </c>
      <c r="K153" s="269">
        <v>24</v>
      </c>
      <c r="L153" s="269">
        <v>113</v>
      </c>
      <c r="M153" s="269">
        <v>0</v>
      </c>
      <c r="N153" s="269">
        <v>65</v>
      </c>
      <c r="O153" s="269">
        <v>78</v>
      </c>
      <c r="P153" s="269">
        <v>68</v>
      </c>
      <c r="Q153" s="269">
        <v>68</v>
      </c>
      <c r="R153" s="269">
        <v>2817</v>
      </c>
      <c r="S153" s="269">
        <v>2765</v>
      </c>
      <c r="T153" s="269">
        <v>1555</v>
      </c>
      <c r="U153" s="269">
        <v>2028</v>
      </c>
      <c r="V153" s="269">
        <v>2026</v>
      </c>
      <c r="W153" s="269">
        <v>2026</v>
      </c>
      <c r="X153" s="269">
        <v>42</v>
      </c>
      <c r="Y153" s="269">
        <v>113</v>
      </c>
      <c r="Z153" s="269">
        <v>2817</v>
      </c>
    </row>
    <row r="154" spans="1:26" x14ac:dyDescent="0.25">
      <c r="A154" s="271" t="s">
        <v>551</v>
      </c>
      <c r="B154" s="269" t="s">
        <v>168</v>
      </c>
      <c r="C154" s="269" t="s">
        <v>405</v>
      </c>
      <c r="D154" s="269" t="s">
        <v>49</v>
      </c>
      <c r="E154" s="269" t="s">
        <v>50</v>
      </c>
      <c r="F154" s="269">
        <v>27</v>
      </c>
      <c r="G154" s="269">
        <v>0</v>
      </c>
      <c r="H154" s="269">
        <v>23</v>
      </c>
      <c r="I154" s="269">
        <v>24</v>
      </c>
      <c r="J154" s="269">
        <v>22</v>
      </c>
      <c r="K154" s="269">
        <v>22</v>
      </c>
      <c r="L154" s="269">
        <v>75</v>
      </c>
      <c r="M154" s="269">
        <v>0</v>
      </c>
      <c r="N154" s="269">
        <v>58</v>
      </c>
      <c r="O154" s="269">
        <v>68</v>
      </c>
      <c r="P154" s="269">
        <v>59</v>
      </c>
      <c r="Q154" s="269">
        <v>59</v>
      </c>
      <c r="R154" s="269">
        <v>2382</v>
      </c>
      <c r="S154" s="269">
        <v>2299</v>
      </c>
      <c r="T154" s="269">
        <v>1625</v>
      </c>
      <c r="U154" s="269">
        <v>1951</v>
      </c>
      <c r="V154" s="269">
        <v>1711</v>
      </c>
      <c r="W154" s="269">
        <v>1711</v>
      </c>
      <c r="X154" s="269">
        <v>27</v>
      </c>
      <c r="Y154" s="269">
        <v>75</v>
      </c>
      <c r="Z154" s="269">
        <v>2382</v>
      </c>
    </row>
    <row r="155" spans="1:26" x14ac:dyDescent="0.25">
      <c r="A155" s="271" t="s">
        <v>551</v>
      </c>
      <c r="B155" s="269" t="s">
        <v>167</v>
      </c>
      <c r="C155" s="269" t="s">
        <v>233</v>
      </c>
      <c r="D155" s="269" t="s">
        <v>49</v>
      </c>
      <c r="E155" s="269" t="s">
        <v>50</v>
      </c>
      <c r="F155" s="269">
        <v>12</v>
      </c>
      <c r="G155" s="269">
        <v>0</v>
      </c>
      <c r="H155" s="269">
        <v>9</v>
      </c>
      <c r="I155" s="269">
        <v>9</v>
      </c>
      <c r="J155" s="269">
        <v>9</v>
      </c>
      <c r="K155" s="269">
        <v>9</v>
      </c>
      <c r="L155" s="269">
        <v>32</v>
      </c>
      <c r="M155" s="269">
        <v>0</v>
      </c>
      <c r="N155" s="269">
        <v>24</v>
      </c>
      <c r="O155" s="269">
        <v>28</v>
      </c>
      <c r="P155" s="269">
        <v>25</v>
      </c>
      <c r="Q155" s="269">
        <v>25</v>
      </c>
      <c r="R155" s="269">
        <v>745</v>
      </c>
      <c r="S155" s="269">
        <v>722</v>
      </c>
      <c r="T155" s="269">
        <v>463</v>
      </c>
      <c r="U155" s="269">
        <v>572</v>
      </c>
      <c r="V155" s="269">
        <v>610</v>
      </c>
      <c r="W155" s="269">
        <v>610</v>
      </c>
      <c r="X155" s="269">
        <v>12</v>
      </c>
      <c r="Y155" s="269">
        <v>32</v>
      </c>
      <c r="Z155" s="269">
        <v>745</v>
      </c>
    </row>
    <row r="156" spans="1:26" x14ac:dyDescent="0.25">
      <c r="A156" s="271" t="s">
        <v>551</v>
      </c>
      <c r="B156" s="269" t="s">
        <v>168</v>
      </c>
      <c r="C156" s="269" t="s">
        <v>331</v>
      </c>
      <c r="D156" s="269" t="s">
        <v>49</v>
      </c>
      <c r="E156" s="269" t="s">
        <v>50</v>
      </c>
      <c r="F156" s="269">
        <v>18</v>
      </c>
      <c r="G156" s="269">
        <v>0</v>
      </c>
      <c r="H156" s="269">
        <v>15</v>
      </c>
      <c r="I156" s="269">
        <v>18</v>
      </c>
      <c r="J156" s="269">
        <v>18</v>
      </c>
      <c r="K156" s="269">
        <v>18</v>
      </c>
      <c r="L156" s="269">
        <v>48</v>
      </c>
      <c r="M156" s="269">
        <v>0</v>
      </c>
      <c r="N156" s="269">
        <v>36</v>
      </c>
      <c r="O156" s="269">
        <v>44</v>
      </c>
      <c r="P156" s="269">
        <v>39</v>
      </c>
      <c r="Q156" s="269">
        <v>39</v>
      </c>
      <c r="R156" s="269">
        <v>1039</v>
      </c>
      <c r="S156" s="269">
        <v>1028</v>
      </c>
      <c r="T156" s="269">
        <v>686</v>
      </c>
      <c r="U156" s="269">
        <v>876</v>
      </c>
      <c r="V156" s="269">
        <v>775</v>
      </c>
      <c r="W156" s="269">
        <v>779</v>
      </c>
      <c r="X156" s="269">
        <v>18</v>
      </c>
      <c r="Y156" s="269">
        <v>48</v>
      </c>
      <c r="Z156" s="269">
        <v>1039</v>
      </c>
    </row>
    <row r="157" spans="1:26" x14ac:dyDescent="0.25">
      <c r="A157" s="271" t="s">
        <v>551</v>
      </c>
      <c r="B157" s="269" t="s">
        <v>168</v>
      </c>
      <c r="C157" s="269" t="s">
        <v>270</v>
      </c>
      <c r="D157" s="269" t="s">
        <v>49</v>
      </c>
      <c r="E157" s="269" t="s">
        <v>50</v>
      </c>
      <c r="F157" s="269">
        <v>36</v>
      </c>
      <c r="G157" s="269">
        <v>0</v>
      </c>
      <c r="H157" s="269">
        <v>24</v>
      </c>
      <c r="I157" s="269">
        <v>31</v>
      </c>
      <c r="J157" s="269">
        <v>33</v>
      </c>
      <c r="K157" s="269">
        <v>33</v>
      </c>
      <c r="L157" s="269">
        <v>96</v>
      </c>
      <c r="M157" s="269">
        <v>0</v>
      </c>
      <c r="N157" s="269">
        <v>72</v>
      </c>
      <c r="O157" s="269">
        <v>83</v>
      </c>
      <c r="P157" s="269">
        <v>84</v>
      </c>
      <c r="Q157" s="269">
        <v>84</v>
      </c>
      <c r="R157" s="269">
        <v>1238</v>
      </c>
      <c r="S157" s="269">
        <v>1224</v>
      </c>
      <c r="T157" s="269">
        <v>841</v>
      </c>
      <c r="U157" s="269">
        <v>1027</v>
      </c>
      <c r="V157" s="269">
        <v>961</v>
      </c>
      <c r="W157" s="269">
        <v>961</v>
      </c>
      <c r="X157" s="269">
        <v>36</v>
      </c>
      <c r="Y157" s="269">
        <v>96</v>
      </c>
      <c r="Z157" s="269">
        <v>1238</v>
      </c>
    </row>
    <row r="158" spans="1:26" x14ac:dyDescent="0.25">
      <c r="A158" s="271" t="s">
        <v>551</v>
      </c>
      <c r="B158" s="269" t="s">
        <v>168</v>
      </c>
      <c r="C158" s="269" t="s">
        <v>364</v>
      </c>
      <c r="D158" s="269" t="s">
        <v>49</v>
      </c>
      <c r="E158" s="269" t="s">
        <v>50</v>
      </c>
      <c r="F158" s="269">
        <v>18</v>
      </c>
      <c r="G158" s="269">
        <v>0</v>
      </c>
      <c r="H158" s="269">
        <v>15</v>
      </c>
      <c r="I158" s="269">
        <v>17</v>
      </c>
      <c r="J158" s="269">
        <v>17</v>
      </c>
      <c r="K158" s="269">
        <v>17</v>
      </c>
      <c r="L158" s="269">
        <v>48</v>
      </c>
      <c r="M158" s="269">
        <v>0</v>
      </c>
      <c r="N158" s="269">
        <v>36</v>
      </c>
      <c r="O158" s="269">
        <v>44</v>
      </c>
      <c r="P158" s="269">
        <v>37</v>
      </c>
      <c r="Q158" s="269">
        <v>37</v>
      </c>
      <c r="R158" s="269">
        <v>986</v>
      </c>
      <c r="S158" s="269">
        <v>958</v>
      </c>
      <c r="T158" s="269">
        <v>610</v>
      </c>
      <c r="U158" s="269">
        <v>774</v>
      </c>
      <c r="V158" s="269">
        <v>668</v>
      </c>
      <c r="W158" s="269">
        <v>668</v>
      </c>
      <c r="X158" s="269">
        <v>18</v>
      </c>
      <c r="Y158" s="269">
        <v>48</v>
      </c>
      <c r="Z158" s="269">
        <v>986</v>
      </c>
    </row>
    <row r="159" spans="1:26" x14ac:dyDescent="0.25">
      <c r="A159" s="271" t="s">
        <v>551</v>
      </c>
      <c r="B159" s="269" t="s">
        <v>168</v>
      </c>
      <c r="C159" s="269" t="s">
        <v>375</v>
      </c>
      <c r="D159" s="269" t="s">
        <v>49</v>
      </c>
      <c r="E159" s="269" t="s">
        <v>50</v>
      </c>
      <c r="F159" s="269">
        <v>45</v>
      </c>
      <c r="G159" s="269">
        <v>0</v>
      </c>
      <c r="H159" s="269">
        <v>32</v>
      </c>
      <c r="I159" s="269">
        <v>39</v>
      </c>
      <c r="J159" s="269">
        <v>40</v>
      </c>
      <c r="K159" s="269">
        <v>40</v>
      </c>
      <c r="L159" s="269">
        <v>124</v>
      </c>
      <c r="M159" s="269">
        <v>0</v>
      </c>
      <c r="N159" s="269">
        <v>84</v>
      </c>
      <c r="O159" s="269">
        <v>98</v>
      </c>
      <c r="P159" s="269">
        <v>107</v>
      </c>
      <c r="Q159" s="269">
        <v>107</v>
      </c>
      <c r="R159" s="269">
        <v>2001</v>
      </c>
      <c r="S159" s="269">
        <v>1940</v>
      </c>
      <c r="T159" s="269">
        <v>1420</v>
      </c>
      <c r="U159" s="269">
        <v>1662</v>
      </c>
      <c r="V159" s="269">
        <v>1626</v>
      </c>
      <c r="W159" s="269">
        <v>1626</v>
      </c>
      <c r="X159" s="269">
        <v>45</v>
      </c>
      <c r="Y159" s="269">
        <v>124</v>
      </c>
      <c r="Z159" s="269">
        <v>2003</v>
      </c>
    </row>
    <row r="160" spans="1:26" x14ac:dyDescent="0.25">
      <c r="A160" s="271" t="s">
        <v>551</v>
      </c>
      <c r="B160" s="269" t="s">
        <v>168</v>
      </c>
      <c r="C160" s="269" t="s">
        <v>417</v>
      </c>
      <c r="D160" s="269" t="s">
        <v>49</v>
      </c>
      <c r="E160" s="269" t="s">
        <v>50</v>
      </c>
      <c r="F160" s="269">
        <v>12</v>
      </c>
      <c r="G160" s="269">
        <v>0</v>
      </c>
      <c r="H160" s="269">
        <v>11</v>
      </c>
      <c r="I160" s="269">
        <v>11</v>
      </c>
      <c r="J160" s="269">
        <v>12</v>
      </c>
      <c r="K160" s="269">
        <v>12</v>
      </c>
      <c r="L160" s="269">
        <v>32</v>
      </c>
      <c r="M160" s="269">
        <v>0</v>
      </c>
      <c r="N160" s="269">
        <v>27</v>
      </c>
      <c r="O160" s="269">
        <v>29</v>
      </c>
      <c r="P160" s="269">
        <v>30</v>
      </c>
      <c r="Q160" s="269">
        <v>30</v>
      </c>
      <c r="R160" s="269">
        <v>698</v>
      </c>
      <c r="S160" s="269">
        <v>686</v>
      </c>
      <c r="T160" s="269">
        <v>508</v>
      </c>
      <c r="U160" s="269">
        <v>561</v>
      </c>
      <c r="V160" s="269">
        <v>556</v>
      </c>
      <c r="W160" s="269">
        <v>556</v>
      </c>
      <c r="X160" s="269">
        <v>12</v>
      </c>
      <c r="Y160" s="269">
        <v>32</v>
      </c>
      <c r="Z160" s="269">
        <v>698</v>
      </c>
    </row>
    <row r="161" spans="1:26" x14ac:dyDescent="0.25">
      <c r="A161" s="271" t="s">
        <v>551</v>
      </c>
      <c r="B161" s="269" t="s">
        <v>168</v>
      </c>
      <c r="C161" s="269" t="s">
        <v>231</v>
      </c>
      <c r="D161" s="269" t="s">
        <v>49</v>
      </c>
      <c r="E161" s="269" t="s">
        <v>50</v>
      </c>
      <c r="F161" s="269">
        <v>30</v>
      </c>
      <c r="G161" s="269">
        <v>0</v>
      </c>
      <c r="H161" s="269">
        <v>20</v>
      </c>
      <c r="I161" s="269">
        <v>26</v>
      </c>
      <c r="J161" s="269">
        <v>25</v>
      </c>
      <c r="K161" s="269">
        <v>25</v>
      </c>
      <c r="L161" s="269">
        <v>80</v>
      </c>
      <c r="M161" s="269">
        <v>1</v>
      </c>
      <c r="N161" s="269">
        <v>49</v>
      </c>
      <c r="O161" s="269">
        <v>68</v>
      </c>
      <c r="P161" s="269">
        <v>61</v>
      </c>
      <c r="Q161" s="269">
        <v>61</v>
      </c>
      <c r="R161" s="269">
        <v>2118</v>
      </c>
      <c r="S161" s="269">
        <v>2058</v>
      </c>
      <c r="T161" s="269">
        <v>1134</v>
      </c>
      <c r="U161" s="269">
        <v>1589</v>
      </c>
      <c r="V161" s="269">
        <v>1549</v>
      </c>
      <c r="W161" s="269">
        <v>1549</v>
      </c>
      <c r="X161" s="269">
        <v>30</v>
      </c>
      <c r="Y161" s="269">
        <v>80</v>
      </c>
      <c r="Z161" s="269">
        <v>2118</v>
      </c>
    </row>
    <row r="162" spans="1:26" x14ac:dyDescent="0.25">
      <c r="A162" s="271" t="s">
        <v>551</v>
      </c>
      <c r="B162" s="269" t="s">
        <v>168</v>
      </c>
      <c r="C162" s="269" t="s">
        <v>342</v>
      </c>
      <c r="D162" s="269" t="s">
        <v>49</v>
      </c>
      <c r="E162" s="269" t="s">
        <v>50</v>
      </c>
      <c r="F162" s="269">
        <v>10</v>
      </c>
      <c r="G162" s="269">
        <v>3</v>
      </c>
      <c r="H162" s="269">
        <v>5</v>
      </c>
      <c r="I162" s="269">
        <v>5</v>
      </c>
      <c r="J162" s="269">
        <v>3</v>
      </c>
      <c r="K162" s="269">
        <v>3</v>
      </c>
      <c r="L162" s="269">
        <v>27</v>
      </c>
      <c r="M162" s="269">
        <v>3</v>
      </c>
      <c r="N162" s="269">
        <v>17</v>
      </c>
      <c r="O162" s="269">
        <v>21</v>
      </c>
      <c r="P162" s="269">
        <v>17</v>
      </c>
      <c r="Q162" s="269">
        <v>17</v>
      </c>
      <c r="R162" s="269">
        <v>598</v>
      </c>
      <c r="S162" s="269">
        <v>583</v>
      </c>
      <c r="T162" s="269">
        <v>413</v>
      </c>
      <c r="U162" s="269">
        <v>495</v>
      </c>
      <c r="V162" s="269">
        <v>462</v>
      </c>
      <c r="W162" s="269">
        <v>474</v>
      </c>
      <c r="X162" s="269">
        <v>10</v>
      </c>
      <c r="Y162" s="269">
        <v>27</v>
      </c>
      <c r="Z162" s="269">
        <v>598</v>
      </c>
    </row>
    <row r="163" spans="1:26" x14ac:dyDescent="0.25">
      <c r="A163" s="271" t="s">
        <v>551</v>
      </c>
      <c r="B163" s="269" t="s">
        <v>168</v>
      </c>
      <c r="C163" s="269" t="s">
        <v>302</v>
      </c>
      <c r="D163" s="269" t="s">
        <v>49</v>
      </c>
      <c r="E163" s="269" t="s">
        <v>50</v>
      </c>
      <c r="F163" s="269">
        <v>30</v>
      </c>
      <c r="G163" s="269">
        <v>0</v>
      </c>
      <c r="H163" s="269">
        <v>19</v>
      </c>
      <c r="I163" s="269">
        <v>24</v>
      </c>
      <c r="J163" s="269">
        <v>22</v>
      </c>
      <c r="K163" s="269">
        <v>22</v>
      </c>
      <c r="L163" s="269">
        <v>80</v>
      </c>
      <c r="M163" s="269">
        <v>1</v>
      </c>
      <c r="N163" s="269">
        <v>57</v>
      </c>
      <c r="O163" s="269">
        <v>67</v>
      </c>
      <c r="P163" s="269">
        <v>59</v>
      </c>
      <c r="Q163" s="269">
        <v>59</v>
      </c>
      <c r="R163" s="269">
        <v>1915</v>
      </c>
      <c r="S163" s="269">
        <v>1893</v>
      </c>
      <c r="T163" s="269">
        <v>1134</v>
      </c>
      <c r="U163" s="269">
        <v>1481</v>
      </c>
      <c r="V163" s="269">
        <v>1374</v>
      </c>
      <c r="W163" s="269">
        <v>1374</v>
      </c>
      <c r="X163" s="269">
        <v>30</v>
      </c>
      <c r="Y163" s="269">
        <v>80</v>
      </c>
      <c r="Z163" s="269">
        <v>1915</v>
      </c>
    </row>
    <row r="164" spans="1:26" x14ac:dyDescent="0.25">
      <c r="A164" s="271" t="s">
        <v>551</v>
      </c>
      <c r="B164" s="269" t="s">
        <v>168</v>
      </c>
      <c r="C164" s="269" t="s">
        <v>258</v>
      </c>
      <c r="D164" s="269" t="s">
        <v>49</v>
      </c>
      <c r="E164" s="269" t="s">
        <v>50</v>
      </c>
      <c r="F164" s="269">
        <v>66</v>
      </c>
      <c r="G164" s="269">
        <v>4</v>
      </c>
      <c r="H164" s="269">
        <v>36</v>
      </c>
      <c r="I164" s="269">
        <v>50</v>
      </c>
      <c r="J164" s="269">
        <v>39</v>
      </c>
      <c r="K164" s="269">
        <v>39</v>
      </c>
      <c r="L164" s="269">
        <v>176</v>
      </c>
      <c r="M164" s="269">
        <v>5</v>
      </c>
      <c r="N164" s="269">
        <v>114</v>
      </c>
      <c r="O164" s="269">
        <v>145</v>
      </c>
      <c r="P164" s="269">
        <v>126</v>
      </c>
      <c r="Q164" s="269">
        <v>126</v>
      </c>
      <c r="R164" s="269">
        <v>3736</v>
      </c>
      <c r="S164" s="269">
        <v>3650</v>
      </c>
      <c r="T164" s="269">
        <v>2033</v>
      </c>
      <c r="U164" s="269">
        <v>2701</v>
      </c>
      <c r="V164" s="269">
        <v>2693</v>
      </c>
      <c r="W164" s="269">
        <v>2693</v>
      </c>
      <c r="X164" s="269">
        <v>66</v>
      </c>
      <c r="Y164" s="269">
        <v>176</v>
      </c>
      <c r="Z164" s="269">
        <v>3737</v>
      </c>
    </row>
    <row r="165" spans="1:26" x14ac:dyDescent="0.25">
      <c r="A165" s="271" t="s">
        <v>551</v>
      </c>
      <c r="B165" s="269" t="s">
        <v>168</v>
      </c>
      <c r="C165" s="269" t="s">
        <v>338</v>
      </c>
      <c r="D165" s="269" t="s">
        <v>49</v>
      </c>
      <c r="E165" s="269" t="s">
        <v>50</v>
      </c>
      <c r="F165" s="269">
        <v>12</v>
      </c>
      <c r="G165" s="269">
        <v>0</v>
      </c>
      <c r="H165" s="269">
        <v>8</v>
      </c>
      <c r="I165" s="269">
        <v>11</v>
      </c>
      <c r="J165" s="269">
        <v>11</v>
      </c>
      <c r="K165" s="269">
        <v>11</v>
      </c>
      <c r="L165" s="269">
        <v>32</v>
      </c>
      <c r="M165" s="269">
        <v>0</v>
      </c>
      <c r="N165" s="269">
        <v>20</v>
      </c>
      <c r="O165" s="269">
        <v>26</v>
      </c>
      <c r="P165" s="269">
        <v>29</v>
      </c>
      <c r="Q165" s="269">
        <v>29</v>
      </c>
      <c r="R165" s="269">
        <v>695</v>
      </c>
      <c r="S165" s="269">
        <v>687</v>
      </c>
      <c r="T165" s="269">
        <v>462</v>
      </c>
      <c r="U165" s="269">
        <v>556</v>
      </c>
      <c r="V165" s="269">
        <v>502</v>
      </c>
      <c r="W165" s="269">
        <v>504</v>
      </c>
      <c r="X165" s="269">
        <v>12</v>
      </c>
      <c r="Y165" s="269">
        <v>32</v>
      </c>
      <c r="Z165" s="269">
        <v>695</v>
      </c>
    </row>
    <row r="166" spans="1:26" x14ac:dyDescent="0.25">
      <c r="A166" s="271" t="s">
        <v>551</v>
      </c>
      <c r="B166" s="269" t="s">
        <v>168</v>
      </c>
      <c r="C166" s="269" t="s">
        <v>235</v>
      </c>
      <c r="D166" s="269" t="s">
        <v>49</v>
      </c>
      <c r="E166" s="269" t="s">
        <v>50</v>
      </c>
      <c r="F166" s="269">
        <v>27</v>
      </c>
      <c r="G166" s="269">
        <v>0</v>
      </c>
      <c r="H166" s="269">
        <v>21</v>
      </c>
      <c r="I166" s="269">
        <v>25</v>
      </c>
      <c r="J166" s="269">
        <v>16</v>
      </c>
      <c r="K166" s="269">
        <v>16</v>
      </c>
      <c r="L166" s="269">
        <v>74</v>
      </c>
      <c r="M166" s="269">
        <v>0</v>
      </c>
      <c r="N166" s="269">
        <v>57</v>
      </c>
      <c r="O166" s="269">
        <v>63</v>
      </c>
      <c r="P166" s="269">
        <v>51</v>
      </c>
      <c r="Q166" s="269">
        <v>51</v>
      </c>
      <c r="R166" s="269">
        <v>1730</v>
      </c>
      <c r="S166" s="269">
        <v>1708</v>
      </c>
      <c r="T166" s="269">
        <v>1204</v>
      </c>
      <c r="U166" s="269">
        <v>1418</v>
      </c>
      <c r="V166" s="269">
        <v>1333</v>
      </c>
      <c r="W166" s="269">
        <v>1333</v>
      </c>
      <c r="X166" s="269">
        <v>27</v>
      </c>
      <c r="Y166" s="269">
        <v>74</v>
      </c>
      <c r="Z166" s="269">
        <v>1729</v>
      </c>
    </row>
    <row r="167" spans="1:26" x14ac:dyDescent="0.25">
      <c r="A167" s="271" t="s">
        <v>551</v>
      </c>
      <c r="B167" s="269" t="s">
        <v>168</v>
      </c>
      <c r="C167" s="269" t="s">
        <v>370</v>
      </c>
      <c r="D167" s="269" t="s">
        <v>49</v>
      </c>
      <c r="E167" s="269" t="s">
        <v>50</v>
      </c>
      <c r="F167" s="269">
        <v>10</v>
      </c>
      <c r="G167" s="269">
        <v>0</v>
      </c>
      <c r="H167" s="269">
        <v>7</v>
      </c>
      <c r="I167" s="269">
        <v>9</v>
      </c>
      <c r="J167" s="269">
        <v>8</v>
      </c>
      <c r="K167" s="269">
        <v>8</v>
      </c>
      <c r="L167" s="269">
        <v>27</v>
      </c>
      <c r="M167" s="269">
        <v>0</v>
      </c>
      <c r="N167" s="269">
        <v>21</v>
      </c>
      <c r="O167" s="269">
        <v>25</v>
      </c>
      <c r="P167" s="269">
        <v>22</v>
      </c>
      <c r="Q167" s="269">
        <v>22</v>
      </c>
      <c r="R167" s="269">
        <v>599</v>
      </c>
      <c r="S167" s="269">
        <v>594</v>
      </c>
      <c r="T167" s="269">
        <v>453</v>
      </c>
      <c r="U167" s="269">
        <v>510</v>
      </c>
      <c r="V167" s="269">
        <v>485</v>
      </c>
      <c r="W167" s="269">
        <v>485</v>
      </c>
      <c r="X167" s="269">
        <v>10</v>
      </c>
      <c r="Y167" s="269">
        <v>27</v>
      </c>
      <c r="Z167" s="269">
        <v>598</v>
      </c>
    </row>
    <row r="168" spans="1:26" x14ac:dyDescent="0.25">
      <c r="A168" s="271" t="s">
        <v>551</v>
      </c>
      <c r="B168" s="269" t="s">
        <v>168</v>
      </c>
      <c r="C168" s="269" t="s">
        <v>232</v>
      </c>
      <c r="D168" s="269" t="s">
        <v>49</v>
      </c>
      <c r="E168" s="269" t="s">
        <v>50</v>
      </c>
      <c r="F168" s="269">
        <v>23</v>
      </c>
      <c r="G168" s="269">
        <v>0</v>
      </c>
      <c r="H168" s="269">
        <v>15</v>
      </c>
      <c r="I168" s="269">
        <v>21</v>
      </c>
      <c r="J168" s="269">
        <v>20</v>
      </c>
      <c r="K168" s="269">
        <v>20</v>
      </c>
      <c r="L168" s="269">
        <v>57</v>
      </c>
      <c r="M168" s="269">
        <v>0</v>
      </c>
      <c r="N168" s="269">
        <v>35</v>
      </c>
      <c r="O168" s="269">
        <v>46</v>
      </c>
      <c r="P168" s="269">
        <v>44</v>
      </c>
      <c r="Q168" s="269">
        <v>44</v>
      </c>
      <c r="R168" s="269">
        <v>810</v>
      </c>
      <c r="S168" s="269">
        <v>805</v>
      </c>
      <c r="T168" s="269">
        <v>482</v>
      </c>
      <c r="U168" s="269">
        <v>620</v>
      </c>
      <c r="V168" s="269">
        <v>580</v>
      </c>
      <c r="W168" s="269">
        <v>580</v>
      </c>
      <c r="X168" s="269">
        <v>24</v>
      </c>
      <c r="Y168" s="269">
        <v>58</v>
      </c>
      <c r="Z168" s="269">
        <v>811</v>
      </c>
    </row>
    <row r="169" spans="1:26" x14ac:dyDescent="0.25">
      <c r="A169" s="271" t="s">
        <v>551</v>
      </c>
      <c r="B169" s="269" t="s">
        <v>168</v>
      </c>
      <c r="C169" s="269" t="s">
        <v>243</v>
      </c>
      <c r="D169" s="269" t="s">
        <v>49</v>
      </c>
      <c r="E169" s="269" t="s">
        <v>50</v>
      </c>
      <c r="F169" s="269">
        <v>8</v>
      </c>
      <c r="G169" s="269">
        <v>0</v>
      </c>
      <c r="H169" s="269">
        <v>8</v>
      </c>
      <c r="I169" s="269">
        <v>8</v>
      </c>
      <c r="J169" s="269">
        <v>8</v>
      </c>
      <c r="K169" s="269">
        <v>8</v>
      </c>
      <c r="L169" s="269">
        <v>28</v>
      </c>
      <c r="M169" s="269">
        <v>0</v>
      </c>
      <c r="N169" s="269">
        <v>24</v>
      </c>
      <c r="O169" s="269">
        <v>26</v>
      </c>
      <c r="P169" s="269">
        <v>25</v>
      </c>
      <c r="Q169" s="269">
        <v>25</v>
      </c>
      <c r="R169" s="269">
        <v>286</v>
      </c>
      <c r="S169" s="269">
        <v>274</v>
      </c>
      <c r="T169" s="269">
        <v>203</v>
      </c>
      <c r="U169" s="269">
        <v>230</v>
      </c>
      <c r="V169" s="269">
        <v>206</v>
      </c>
      <c r="W169" s="269">
        <v>208</v>
      </c>
      <c r="X169" s="269">
        <v>8</v>
      </c>
      <c r="Y169" s="269">
        <v>28</v>
      </c>
      <c r="Z169" s="269">
        <v>286</v>
      </c>
    </row>
    <row r="170" spans="1:26" x14ac:dyDescent="0.25">
      <c r="A170" s="271" t="s">
        <v>551</v>
      </c>
      <c r="B170" s="269" t="s">
        <v>168</v>
      </c>
      <c r="C170" s="269" t="s">
        <v>244</v>
      </c>
      <c r="D170" s="269" t="s">
        <v>49</v>
      </c>
      <c r="E170" s="269" t="s">
        <v>50</v>
      </c>
      <c r="F170" s="269">
        <v>10</v>
      </c>
      <c r="G170" s="269">
        <v>0</v>
      </c>
      <c r="H170" s="269">
        <v>9</v>
      </c>
      <c r="I170" s="269">
        <v>10</v>
      </c>
      <c r="J170" s="269">
        <v>10</v>
      </c>
      <c r="K170" s="269">
        <v>10</v>
      </c>
      <c r="L170" s="269">
        <v>27</v>
      </c>
      <c r="M170" s="269">
        <v>0</v>
      </c>
      <c r="N170" s="269">
        <v>20</v>
      </c>
      <c r="O170" s="269">
        <v>24</v>
      </c>
      <c r="P170" s="269">
        <v>26</v>
      </c>
      <c r="Q170" s="269">
        <v>26</v>
      </c>
      <c r="R170" s="269">
        <v>597</v>
      </c>
      <c r="S170" s="269">
        <v>569</v>
      </c>
      <c r="T170" s="269">
        <v>404</v>
      </c>
      <c r="U170" s="269">
        <v>467</v>
      </c>
      <c r="V170" s="269">
        <v>450</v>
      </c>
      <c r="W170" s="269">
        <v>450</v>
      </c>
      <c r="X170" s="269">
        <v>10</v>
      </c>
      <c r="Y170" s="269">
        <v>27</v>
      </c>
      <c r="Z170" s="269">
        <v>597</v>
      </c>
    </row>
    <row r="171" spans="1:26" x14ac:dyDescent="0.25">
      <c r="A171" s="271" t="s">
        <v>551</v>
      </c>
      <c r="B171" s="269" t="s">
        <v>168</v>
      </c>
      <c r="C171" s="269" t="s">
        <v>366</v>
      </c>
      <c r="D171" s="269" t="s">
        <v>49</v>
      </c>
      <c r="E171" s="269" t="s">
        <v>50</v>
      </c>
      <c r="F171" s="269">
        <v>46</v>
      </c>
      <c r="G171" s="269">
        <v>0</v>
      </c>
      <c r="H171" s="269">
        <v>31</v>
      </c>
      <c r="I171" s="269">
        <v>37</v>
      </c>
      <c r="J171" s="269">
        <v>37</v>
      </c>
      <c r="K171" s="269">
        <v>37</v>
      </c>
      <c r="L171" s="269">
        <v>126</v>
      </c>
      <c r="M171" s="269">
        <v>1</v>
      </c>
      <c r="N171" s="269">
        <v>82</v>
      </c>
      <c r="O171" s="269">
        <v>100</v>
      </c>
      <c r="P171" s="269">
        <v>93</v>
      </c>
      <c r="Q171" s="269">
        <v>93</v>
      </c>
      <c r="R171" s="269">
        <v>3181</v>
      </c>
      <c r="S171" s="269">
        <v>3132</v>
      </c>
      <c r="T171" s="269">
        <v>1906</v>
      </c>
      <c r="U171" s="269">
        <v>2397</v>
      </c>
      <c r="V171" s="269">
        <v>2280</v>
      </c>
      <c r="W171" s="269">
        <v>2280</v>
      </c>
      <c r="X171" s="269">
        <v>47</v>
      </c>
      <c r="Y171" s="269">
        <v>126</v>
      </c>
      <c r="Z171" s="269">
        <v>3182</v>
      </c>
    </row>
    <row r="172" spans="1:26" x14ac:dyDescent="0.25">
      <c r="A172" s="271" t="s">
        <v>551</v>
      </c>
      <c r="B172" s="269" t="s">
        <v>168</v>
      </c>
      <c r="C172" s="269" t="s">
        <v>242</v>
      </c>
      <c r="D172" s="269" t="s">
        <v>49</v>
      </c>
      <c r="E172" s="269" t="s">
        <v>50</v>
      </c>
      <c r="F172" s="269">
        <v>0</v>
      </c>
      <c r="G172" s="269">
        <v>0</v>
      </c>
      <c r="H172" s="269">
        <v>0</v>
      </c>
      <c r="I172" s="269">
        <v>0</v>
      </c>
      <c r="J172" s="269">
        <v>0</v>
      </c>
      <c r="K172" s="269">
        <v>0</v>
      </c>
      <c r="L172" s="269">
        <v>0</v>
      </c>
      <c r="M172" s="269">
        <v>0</v>
      </c>
      <c r="N172" s="269">
        <v>0</v>
      </c>
      <c r="O172" s="269">
        <v>0</v>
      </c>
      <c r="P172" s="269">
        <v>0</v>
      </c>
      <c r="Q172" s="269">
        <v>0</v>
      </c>
      <c r="R172" s="269">
        <v>27</v>
      </c>
      <c r="S172" s="269">
        <v>25</v>
      </c>
      <c r="T172" s="269">
        <v>22</v>
      </c>
      <c r="U172" s="269">
        <v>22</v>
      </c>
      <c r="V172" s="269">
        <v>19</v>
      </c>
      <c r="W172" s="269">
        <v>19</v>
      </c>
      <c r="X172" s="269">
        <v>0</v>
      </c>
      <c r="Y172" s="269">
        <v>0</v>
      </c>
      <c r="Z172" s="269">
        <v>27</v>
      </c>
    </row>
    <row r="173" spans="1:26" x14ac:dyDescent="0.25">
      <c r="A173" s="271" t="s">
        <v>551</v>
      </c>
      <c r="B173" s="269" t="s">
        <v>168</v>
      </c>
      <c r="C173" s="269" t="s">
        <v>343</v>
      </c>
      <c r="D173" s="269" t="s">
        <v>49</v>
      </c>
      <c r="E173" s="269" t="s">
        <v>50</v>
      </c>
      <c r="F173" s="269">
        <v>12</v>
      </c>
      <c r="G173" s="269">
        <v>0</v>
      </c>
      <c r="H173" s="269">
        <v>9</v>
      </c>
      <c r="I173" s="269">
        <v>9</v>
      </c>
      <c r="J173" s="269">
        <v>9</v>
      </c>
      <c r="K173" s="269">
        <v>9</v>
      </c>
      <c r="L173" s="269">
        <v>32</v>
      </c>
      <c r="M173" s="269">
        <v>0</v>
      </c>
      <c r="N173" s="269">
        <v>25</v>
      </c>
      <c r="O173" s="269">
        <v>26</v>
      </c>
      <c r="P173" s="269">
        <v>23</v>
      </c>
      <c r="Q173" s="269">
        <v>23</v>
      </c>
      <c r="R173" s="269">
        <v>806</v>
      </c>
      <c r="S173" s="269">
        <v>768</v>
      </c>
      <c r="T173" s="269">
        <v>379</v>
      </c>
      <c r="U173" s="269">
        <v>541</v>
      </c>
      <c r="V173" s="269">
        <v>499</v>
      </c>
      <c r="W173" s="269">
        <v>499</v>
      </c>
      <c r="X173" s="269">
        <v>12</v>
      </c>
      <c r="Y173" s="269">
        <v>32</v>
      </c>
      <c r="Z173" s="269">
        <v>806</v>
      </c>
    </row>
    <row r="174" spans="1:26" x14ac:dyDescent="0.25">
      <c r="A174" s="271" t="s">
        <v>551</v>
      </c>
      <c r="B174" s="269" t="s">
        <v>167</v>
      </c>
      <c r="C174" s="269" t="s">
        <v>517</v>
      </c>
      <c r="D174" s="269" t="s">
        <v>49</v>
      </c>
      <c r="E174" s="269" t="s">
        <v>50</v>
      </c>
      <c r="F174" s="269">
        <v>12</v>
      </c>
      <c r="G174" s="269">
        <v>0</v>
      </c>
      <c r="H174" s="269">
        <v>7</v>
      </c>
      <c r="I174" s="269">
        <v>9</v>
      </c>
      <c r="J174" s="269">
        <v>11</v>
      </c>
      <c r="K174" s="269">
        <v>11</v>
      </c>
      <c r="L174" s="269">
        <v>32</v>
      </c>
      <c r="M174" s="269">
        <v>1</v>
      </c>
      <c r="N174" s="269">
        <v>18</v>
      </c>
      <c r="O174" s="269">
        <v>25</v>
      </c>
      <c r="P174" s="269">
        <v>26</v>
      </c>
      <c r="Q174" s="269">
        <v>26</v>
      </c>
      <c r="R174" s="269">
        <v>491</v>
      </c>
      <c r="S174" s="269">
        <v>485</v>
      </c>
      <c r="T174" s="269">
        <v>266</v>
      </c>
      <c r="U174" s="269">
        <v>356</v>
      </c>
      <c r="V174" s="269">
        <v>361</v>
      </c>
      <c r="W174" s="269">
        <v>361</v>
      </c>
      <c r="X174" s="269">
        <v>12</v>
      </c>
      <c r="Y174" s="269">
        <v>32</v>
      </c>
      <c r="Z174" s="269">
        <v>492</v>
      </c>
    </row>
    <row r="175" spans="1:26" x14ac:dyDescent="0.25">
      <c r="A175" s="271" t="s">
        <v>551</v>
      </c>
      <c r="B175" s="269" t="s">
        <v>168</v>
      </c>
      <c r="C175" s="269" t="s">
        <v>305</v>
      </c>
      <c r="D175" s="269" t="s">
        <v>49</v>
      </c>
      <c r="E175" s="269" t="s">
        <v>50</v>
      </c>
      <c r="F175" s="269">
        <v>18</v>
      </c>
      <c r="G175" s="269">
        <v>0</v>
      </c>
      <c r="H175" s="269">
        <v>12</v>
      </c>
      <c r="I175" s="269">
        <v>13</v>
      </c>
      <c r="J175" s="269">
        <v>14</v>
      </c>
      <c r="K175" s="269">
        <v>14</v>
      </c>
      <c r="L175" s="269">
        <v>46</v>
      </c>
      <c r="M175" s="269">
        <v>0</v>
      </c>
      <c r="N175" s="269">
        <v>25</v>
      </c>
      <c r="O175" s="269">
        <v>31</v>
      </c>
      <c r="P175" s="269">
        <v>37</v>
      </c>
      <c r="Q175" s="269">
        <v>37</v>
      </c>
      <c r="R175" s="269">
        <v>1037</v>
      </c>
      <c r="S175" s="269">
        <v>1023</v>
      </c>
      <c r="T175" s="269">
        <v>675</v>
      </c>
      <c r="U175" s="269">
        <v>825</v>
      </c>
      <c r="V175" s="269">
        <v>869</v>
      </c>
      <c r="W175" s="269">
        <v>869</v>
      </c>
      <c r="X175" s="269">
        <v>18</v>
      </c>
      <c r="Y175" s="269">
        <v>46</v>
      </c>
      <c r="Z175" s="269">
        <v>1038</v>
      </c>
    </row>
    <row r="176" spans="1:26" x14ac:dyDescent="0.25">
      <c r="A176" s="271" t="s">
        <v>551</v>
      </c>
      <c r="B176" s="269" t="s">
        <v>168</v>
      </c>
      <c r="C176" s="269" t="s">
        <v>290</v>
      </c>
      <c r="D176" s="269" t="s">
        <v>49</v>
      </c>
      <c r="E176" s="269" t="s">
        <v>50</v>
      </c>
      <c r="F176" s="269">
        <v>16</v>
      </c>
      <c r="G176" s="269">
        <v>0</v>
      </c>
      <c r="H176" s="269">
        <v>13</v>
      </c>
      <c r="I176" s="269">
        <v>13</v>
      </c>
      <c r="J176" s="269">
        <v>15</v>
      </c>
      <c r="K176" s="269">
        <v>15</v>
      </c>
      <c r="L176" s="269">
        <v>36</v>
      </c>
      <c r="M176" s="269">
        <v>0</v>
      </c>
      <c r="N176" s="269">
        <v>29</v>
      </c>
      <c r="O176" s="269">
        <v>30</v>
      </c>
      <c r="P176" s="269">
        <v>31</v>
      </c>
      <c r="Q176" s="269">
        <v>31</v>
      </c>
      <c r="R176" s="269">
        <v>1135</v>
      </c>
      <c r="S176" s="269">
        <v>1108</v>
      </c>
      <c r="T176" s="269">
        <v>728</v>
      </c>
      <c r="U176" s="269">
        <v>887</v>
      </c>
      <c r="V176" s="269">
        <v>787</v>
      </c>
      <c r="W176" s="269">
        <v>787</v>
      </c>
      <c r="X176" s="269">
        <v>16</v>
      </c>
      <c r="Y176" s="269">
        <v>36</v>
      </c>
      <c r="Z176" s="269">
        <v>1135</v>
      </c>
    </row>
    <row r="177" spans="1:26" x14ac:dyDescent="0.25">
      <c r="A177" s="271" t="s">
        <v>551</v>
      </c>
      <c r="B177" s="269" t="s">
        <v>168</v>
      </c>
      <c r="C177" s="269" t="s">
        <v>379</v>
      </c>
      <c r="D177" s="269" t="s">
        <v>49</v>
      </c>
      <c r="E177" s="269" t="s">
        <v>50</v>
      </c>
      <c r="F177" s="269">
        <v>24</v>
      </c>
      <c r="G177" s="269">
        <v>0</v>
      </c>
      <c r="H177" s="269">
        <v>15</v>
      </c>
      <c r="I177" s="269">
        <v>17</v>
      </c>
      <c r="J177" s="269">
        <v>18</v>
      </c>
      <c r="K177" s="269">
        <v>18</v>
      </c>
      <c r="L177" s="269">
        <v>64</v>
      </c>
      <c r="M177" s="269">
        <v>0</v>
      </c>
      <c r="N177" s="269">
        <v>46</v>
      </c>
      <c r="O177" s="269">
        <v>50</v>
      </c>
      <c r="P177" s="269">
        <v>50</v>
      </c>
      <c r="Q177" s="269">
        <v>50</v>
      </c>
      <c r="R177" s="269">
        <v>1333</v>
      </c>
      <c r="S177" s="269">
        <v>1295</v>
      </c>
      <c r="T177" s="269">
        <v>816</v>
      </c>
      <c r="U177" s="269">
        <v>1002</v>
      </c>
      <c r="V177" s="269">
        <v>906</v>
      </c>
      <c r="W177" s="269">
        <v>906</v>
      </c>
      <c r="X177" s="269">
        <v>24</v>
      </c>
      <c r="Y177" s="269">
        <v>64</v>
      </c>
      <c r="Z177" s="269">
        <v>1331</v>
      </c>
    </row>
    <row r="178" spans="1:26" x14ac:dyDescent="0.25">
      <c r="A178" s="271" t="s">
        <v>551</v>
      </c>
      <c r="B178" s="269" t="s">
        <v>168</v>
      </c>
      <c r="C178" s="269" t="s">
        <v>369</v>
      </c>
      <c r="D178" s="269" t="s">
        <v>49</v>
      </c>
      <c r="E178" s="269" t="s">
        <v>50</v>
      </c>
      <c r="F178" s="269">
        <v>56</v>
      </c>
      <c r="G178" s="269">
        <v>0</v>
      </c>
      <c r="H178" s="269">
        <v>42</v>
      </c>
      <c r="I178" s="269">
        <v>44</v>
      </c>
      <c r="J178" s="269">
        <v>42</v>
      </c>
      <c r="K178" s="269">
        <v>42</v>
      </c>
      <c r="L178" s="269">
        <v>151</v>
      </c>
      <c r="M178" s="269">
        <v>0</v>
      </c>
      <c r="N178" s="269">
        <v>106</v>
      </c>
      <c r="O178" s="269">
        <v>122</v>
      </c>
      <c r="P178" s="269">
        <v>118</v>
      </c>
      <c r="Q178" s="269">
        <v>118</v>
      </c>
      <c r="R178" s="269">
        <v>3075</v>
      </c>
      <c r="S178" s="269">
        <v>3029</v>
      </c>
      <c r="T178" s="269">
        <v>1898</v>
      </c>
      <c r="U178" s="269">
        <v>2352</v>
      </c>
      <c r="V178" s="269">
        <v>2244</v>
      </c>
      <c r="W178" s="269">
        <v>2244</v>
      </c>
      <c r="X178" s="269">
        <v>56</v>
      </c>
      <c r="Y178" s="269">
        <v>151</v>
      </c>
      <c r="Z178" s="269">
        <v>3075</v>
      </c>
    </row>
    <row r="179" spans="1:26" x14ac:dyDescent="0.25">
      <c r="A179" s="271" t="s">
        <v>551</v>
      </c>
      <c r="B179" s="269" t="s">
        <v>167</v>
      </c>
      <c r="C179" s="269" t="s">
        <v>264</v>
      </c>
      <c r="D179" s="269" t="s">
        <v>49</v>
      </c>
      <c r="E179" s="269" t="s">
        <v>50</v>
      </c>
      <c r="F179" s="269">
        <v>24</v>
      </c>
      <c r="G179" s="269">
        <v>0</v>
      </c>
      <c r="H179" s="269">
        <v>13</v>
      </c>
      <c r="I179" s="269">
        <v>15</v>
      </c>
      <c r="J179" s="269">
        <v>21</v>
      </c>
      <c r="K179" s="269">
        <v>21</v>
      </c>
      <c r="L179" s="269">
        <v>64</v>
      </c>
      <c r="M179" s="269">
        <v>0</v>
      </c>
      <c r="N179" s="269">
        <v>33</v>
      </c>
      <c r="O179" s="269">
        <v>41</v>
      </c>
      <c r="P179" s="269">
        <v>50</v>
      </c>
      <c r="Q179" s="269">
        <v>50</v>
      </c>
      <c r="R179" s="269">
        <v>1327</v>
      </c>
      <c r="S179" s="269">
        <v>1322</v>
      </c>
      <c r="T179" s="269">
        <v>659</v>
      </c>
      <c r="U179" s="269">
        <v>951</v>
      </c>
      <c r="V179" s="269">
        <v>1109</v>
      </c>
      <c r="W179" s="269">
        <v>1109</v>
      </c>
      <c r="X179" s="269">
        <v>24</v>
      </c>
      <c r="Y179" s="269">
        <v>64</v>
      </c>
      <c r="Z179" s="269">
        <v>1328</v>
      </c>
    </row>
    <row r="180" spans="1:26" x14ac:dyDescent="0.25">
      <c r="A180" s="271" t="s">
        <v>551</v>
      </c>
      <c r="B180" s="269" t="s">
        <v>168</v>
      </c>
      <c r="C180" s="269" t="s">
        <v>416</v>
      </c>
      <c r="D180" s="269" t="s">
        <v>49</v>
      </c>
      <c r="E180" s="269" t="s">
        <v>50</v>
      </c>
      <c r="F180" s="269">
        <v>70</v>
      </c>
      <c r="G180" s="269">
        <v>0</v>
      </c>
      <c r="H180" s="269">
        <v>61</v>
      </c>
      <c r="I180" s="269">
        <v>66</v>
      </c>
      <c r="J180" s="269">
        <v>67</v>
      </c>
      <c r="K180" s="269">
        <v>67</v>
      </c>
      <c r="L180" s="269">
        <v>193</v>
      </c>
      <c r="M180" s="269">
        <v>0</v>
      </c>
      <c r="N180" s="269">
        <v>154</v>
      </c>
      <c r="O180" s="269">
        <v>174</v>
      </c>
      <c r="P180" s="269">
        <v>178</v>
      </c>
      <c r="Q180" s="269">
        <v>178</v>
      </c>
      <c r="R180" s="269">
        <v>4968</v>
      </c>
      <c r="S180" s="269">
        <v>4851</v>
      </c>
      <c r="T180" s="269">
        <v>3567</v>
      </c>
      <c r="U180" s="269">
        <v>4148</v>
      </c>
      <c r="V180" s="269">
        <v>4241</v>
      </c>
      <c r="W180" s="269">
        <v>4241</v>
      </c>
      <c r="X180" s="269">
        <v>70</v>
      </c>
      <c r="Y180" s="269">
        <v>193</v>
      </c>
      <c r="Z180" s="269">
        <v>4966</v>
      </c>
    </row>
    <row r="181" spans="1:26" x14ac:dyDescent="0.25">
      <c r="A181" s="271" t="s">
        <v>551</v>
      </c>
      <c r="B181" s="269" t="s">
        <v>168</v>
      </c>
      <c r="C181" s="269" t="s">
        <v>410</v>
      </c>
      <c r="D181" s="269" t="s">
        <v>49</v>
      </c>
      <c r="E181" s="269" t="s">
        <v>50</v>
      </c>
      <c r="F181" s="269">
        <v>12</v>
      </c>
      <c r="G181" s="269">
        <v>0</v>
      </c>
      <c r="H181" s="269">
        <v>8</v>
      </c>
      <c r="I181" s="269">
        <v>9</v>
      </c>
      <c r="J181" s="269">
        <v>9</v>
      </c>
      <c r="K181" s="269">
        <v>9</v>
      </c>
      <c r="L181" s="269">
        <v>32</v>
      </c>
      <c r="M181" s="269">
        <v>0</v>
      </c>
      <c r="N181" s="269">
        <v>24</v>
      </c>
      <c r="O181" s="269">
        <v>26</v>
      </c>
      <c r="P181" s="269">
        <v>27</v>
      </c>
      <c r="Q181" s="269">
        <v>27</v>
      </c>
      <c r="R181" s="269">
        <v>699</v>
      </c>
      <c r="S181" s="269">
        <v>689</v>
      </c>
      <c r="T181" s="269">
        <v>480</v>
      </c>
      <c r="U181" s="269">
        <v>558</v>
      </c>
      <c r="V181" s="269">
        <v>510</v>
      </c>
      <c r="W181" s="269">
        <v>510</v>
      </c>
      <c r="X181" s="269">
        <v>12</v>
      </c>
      <c r="Y181" s="269">
        <v>32</v>
      </c>
      <c r="Z181" s="269">
        <v>699</v>
      </c>
    </row>
    <row r="182" spans="1:26" x14ac:dyDescent="0.25">
      <c r="A182" s="271" t="s">
        <v>551</v>
      </c>
      <c r="B182" s="269" t="s">
        <v>167</v>
      </c>
      <c r="C182" s="269" t="s">
        <v>549</v>
      </c>
      <c r="D182" s="269" t="s">
        <v>49</v>
      </c>
      <c r="E182" s="269" t="s">
        <v>50</v>
      </c>
      <c r="F182" s="269">
        <v>6</v>
      </c>
      <c r="G182" s="269">
        <v>0</v>
      </c>
      <c r="H182" s="269">
        <v>5</v>
      </c>
      <c r="I182" s="269">
        <v>5</v>
      </c>
      <c r="J182" s="269">
        <v>5</v>
      </c>
      <c r="K182" s="269">
        <v>5</v>
      </c>
      <c r="L182" s="269">
        <v>16</v>
      </c>
      <c r="M182" s="269">
        <v>0</v>
      </c>
      <c r="N182" s="269">
        <v>10</v>
      </c>
      <c r="O182" s="269">
        <v>12</v>
      </c>
      <c r="P182" s="269">
        <v>14</v>
      </c>
      <c r="Q182" s="269">
        <v>14</v>
      </c>
      <c r="R182" s="269">
        <v>402</v>
      </c>
      <c r="S182" s="269">
        <v>398</v>
      </c>
      <c r="T182" s="269">
        <v>196</v>
      </c>
      <c r="U182" s="269">
        <v>269</v>
      </c>
      <c r="V182" s="269">
        <v>304</v>
      </c>
      <c r="W182" s="269">
        <v>304</v>
      </c>
      <c r="X182" s="269">
        <v>6</v>
      </c>
      <c r="Y182" s="269">
        <v>16</v>
      </c>
      <c r="Z182" s="269">
        <v>403</v>
      </c>
    </row>
    <row r="183" spans="1:26" x14ac:dyDescent="0.25">
      <c r="A183" s="271" t="s">
        <v>551</v>
      </c>
      <c r="B183" s="269" t="s">
        <v>168</v>
      </c>
      <c r="C183" s="269" t="s">
        <v>295</v>
      </c>
      <c r="D183" s="269" t="s">
        <v>49</v>
      </c>
      <c r="E183" s="269" t="s">
        <v>50</v>
      </c>
      <c r="F183" s="269">
        <v>13</v>
      </c>
      <c r="G183" s="269">
        <v>0</v>
      </c>
      <c r="H183" s="269">
        <v>13</v>
      </c>
      <c r="I183" s="269">
        <v>13</v>
      </c>
      <c r="J183" s="269">
        <v>11</v>
      </c>
      <c r="K183" s="269">
        <v>11</v>
      </c>
      <c r="L183" s="269">
        <v>35</v>
      </c>
      <c r="M183" s="269">
        <v>1</v>
      </c>
      <c r="N183" s="269">
        <v>29</v>
      </c>
      <c r="O183" s="269">
        <v>31</v>
      </c>
      <c r="P183" s="269">
        <v>28</v>
      </c>
      <c r="Q183" s="269">
        <v>28</v>
      </c>
      <c r="R183" s="269">
        <v>899</v>
      </c>
      <c r="S183" s="269">
        <v>876</v>
      </c>
      <c r="T183" s="269">
        <v>502</v>
      </c>
      <c r="U183" s="269">
        <v>632</v>
      </c>
      <c r="V183" s="269">
        <v>657</v>
      </c>
      <c r="W183" s="269">
        <v>658</v>
      </c>
      <c r="X183" s="269">
        <v>13</v>
      </c>
      <c r="Y183" s="269">
        <v>35</v>
      </c>
      <c r="Z183" s="269">
        <v>900</v>
      </c>
    </row>
    <row r="184" spans="1:26" x14ac:dyDescent="0.25">
      <c r="A184" s="271" t="s">
        <v>551</v>
      </c>
      <c r="B184" s="269" t="s">
        <v>168</v>
      </c>
      <c r="C184" s="269" t="s">
        <v>348</v>
      </c>
      <c r="D184" s="269" t="s">
        <v>49</v>
      </c>
      <c r="E184" s="269" t="s">
        <v>50</v>
      </c>
      <c r="F184" s="269">
        <v>6</v>
      </c>
      <c r="G184" s="269">
        <v>0</v>
      </c>
      <c r="H184" s="269">
        <v>5</v>
      </c>
      <c r="I184" s="269">
        <v>6</v>
      </c>
      <c r="J184" s="269">
        <v>6</v>
      </c>
      <c r="K184" s="269">
        <v>6</v>
      </c>
      <c r="L184" s="269">
        <v>16</v>
      </c>
      <c r="M184" s="269">
        <v>0</v>
      </c>
      <c r="N184" s="269">
        <v>13</v>
      </c>
      <c r="O184" s="269">
        <v>14</v>
      </c>
      <c r="P184" s="269">
        <v>13</v>
      </c>
      <c r="Q184" s="269">
        <v>13</v>
      </c>
      <c r="R184" s="269">
        <v>506</v>
      </c>
      <c r="S184" s="269">
        <v>475</v>
      </c>
      <c r="T184" s="269">
        <v>363</v>
      </c>
      <c r="U184" s="269">
        <v>413</v>
      </c>
      <c r="V184" s="269">
        <v>397</v>
      </c>
      <c r="W184" s="269">
        <v>397</v>
      </c>
      <c r="X184" s="269">
        <v>6</v>
      </c>
      <c r="Y184" s="269">
        <v>16</v>
      </c>
      <c r="Z184" s="269">
        <v>506</v>
      </c>
    </row>
    <row r="185" spans="1:26" x14ac:dyDescent="0.25">
      <c r="A185" s="271" t="s">
        <v>551</v>
      </c>
      <c r="B185" s="269" t="s">
        <v>168</v>
      </c>
      <c r="C185" s="269" t="s">
        <v>335</v>
      </c>
      <c r="D185" s="269" t="s">
        <v>49</v>
      </c>
      <c r="E185" s="269" t="s">
        <v>50</v>
      </c>
      <c r="F185" s="269">
        <v>18</v>
      </c>
      <c r="G185" s="269">
        <v>1</v>
      </c>
      <c r="H185" s="269">
        <v>11</v>
      </c>
      <c r="I185" s="269">
        <v>12</v>
      </c>
      <c r="J185" s="269">
        <v>12</v>
      </c>
      <c r="K185" s="269">
        <v>12</v>
      </c>
      <c r="L185" s="269">
        <v>48</v>
      </c>
      <c r="M185" s="269">
        <v>1</v>
      </c>
      <c r="N185" s="269">
        <v>30</v>
      </c>
      <c r="O185" s="269">
        <v>37</v>
      </c>
      <c r="P185" s="269">
        <v>33</v>
      </c>
      <c r="Q185" s="269">
        <v>33</v>
      </c>
      <c r="R185" s="269">
        <v>957</v>
      </c>
      <c r="S185" s="269">
        <v>938</v>
      </c>
      <c r="T185" s="269">
        <v>595</v>
      </c>
      <c r="U185" s="269">
        <v>751</v>
      </c>
      <c r="V185" s="269">
        <v>701</v>
      </c>
      <c r="W185" s="269">
        <v>701</v>
      </c>
      <c r="X185" s="269">
        <v>18</v>
      </c>
      <c r="Y185" s="269">
        <v>48</v>
      </c>
      <c r="Z185" s="269">
        <v>957</v>
      </c>
    </row>
    <row r="186" spans="1:26" x14ac:dyDescent="0.25">
      <c r="A186" s="271" t="s">
        <v>551</v>
      </c>
      <c r="B186" s="269" t="s">
        <v>168</v>
      </c>
      <c r="C186" s="269" t="s">
        <v>408</v>
      </c>
      <c r="D186" s="269" t="s">
        <v>49</v>
      </c>
      <c r="E186" s="269" t="s">
        <v>50</v>
      </c>
      <c r="F186" s="269">
        <v>10</v>
      </c>
      <c r="G186" s="269">
        <v>0</v>
      </c>
      <c r="H186" s="269">
        <v>8</v>
      </c>
      <c r="I186" s="269">
        <v>9</v>
      </c>
      <c r="J186" s="269">
        <v>7</v>
      </c>
      <c r="K186" s="269">
        <v>7</v>
      </c>
      <c r="L186" s="269">
        <v>28</v>
      </c>
      <c r="M186" s="269">
        <v>0</v>
      </c>
      <c r="N186" s="269">
        <v>23</v>
      </c>
      <c r="O186" s="269">
        <v>25</v>
      </c>
      <c r="P186" s="269">
        <v>24</v>
      </c>
      <c r="Q186" s="269">
        <v>24</v>
      </c>
      <c r="R186" s="269">
        <v>598</v>
      </c>
      <c r="S186" s="269">
        <v>591</v>
      </c>
      <c r="T186" s="269">
        <v>461</v>
      </c>
      <c r="U186" s="269">
        <v>504</v>
      </c>
      <c r="V186" s="269">
        <v>459</v>
      </c>
      <c r="W186" s="269">
        <v>459</v>
      </c>
      <c r="X186" s="269">
        <v>10</v>
      </c>
      <c r="Y186" s="269">
        <v>28</v>
      </c>
      <c r="Z186" s="269">
        <v>598</v>
      </c>
    </row>
    <row r="187" spans="1:26" x14ac:dyDescent="0.25">
      <c r="A187" s="271" t="s">
        <v>551</v>
      </c>
      <c r="B187" s="269" t="s">
        <v>167</v>
      </c>
      <c r="C187" s="269" t="s">
        <v>332</v>
      </c>
      <c r="D187" s="269" t="s">
        <v>49</v>
      </c>
      <c r="E187" s="269" t="s">
        <v>50</v>
      </c>
      <c r="F187" s="269">
        <v>3</v>
      </c>
      <c r="G187" s="269">
        <v>0</v>
      </c>
      <c r="H187" s="269">
        <v>1</v>
      </c>
      <c r="I187" s="269">
        <v>2</v>
      </c>
      <c r="J187" s="269">
        <v>3</v>
      </c>
      <c r="K187" s="269">
        <v>3</v>
      </c>
      <c r="L187" s="269">
        <v>7</v>
      </c>
      <c r="M187" s="269">
        <v>0</v>
      </c>
      <c r="N187" s="269">
        <v>2</v>
      </c>
      <c r="O187" s="269">
        <v>4</v>
      </c>
      <c r="P187" s="269">
        <v>7</v>
      </c>
      <c r="Q187" s="269">
        <v>7</v>
      </c>
      <c r="R187" s="269">
        <v>131</v>
      </c>
      <c r="S187" s="269">
        <v>131</v>
      </c>
      <c r="T187" s="269">
        <v>69</v>
      </c>
      <c r="U187" s="269">
        <v>92</v>
      </c>
      <c r="V187" s="269">
        <v>104</v>
      </c>
      <c r="W187" s="269">
        <v>104</v>
      </c>
      <c r="X187" s="269">
        <v>3</v>
      </c>
      <c r="Y187" s="269">
        <v>7</v>
      </c>
      <c r="Z187" s="269">
        <v>131</v>
      </c>
    </row>
    <row r="188" spans="1:26" x14ac:dyDescent="0.25">
      <c r="A188" s="271" t="s">
        <v>551</v>
      </c>
      <c r="B188" s="269" t="s">
        <v>167</v>
      </c>
      <c r="C188" s="269" t="s">
        <v>293</v>
      </c>
      <c r="D188" s="269" t="s">
        <v>49</v>
      </c>
      <c r="E188" s="269" t="s">
        <v>50</v>
      </c>
      <c r="F188" s="269">
        <v>42</v>
      </c>
      <c r="G188" s="269">
        <v>0</v>
      </c>
      <c r="H188" s="269">
        <v>33</v>
      </c>
      <c r="I188" s="269">
        <v>38</v>
      </c>
      <c r="J188" s="269">
        <v>34</v>
      </c>
      <c r="K188" s="269">
        <v>34</v>
      </c>
      <c r="L188" s="269">
        <v>112</v>
      </c>
      <c r="M188" s="269">
        <v>0</v>
      </c>
      <c r="N188" s="269">
        <v>83</v>
      </c>
      <c r="O188" s="269">
        <v>98</v>
      </c>
      <c r="P188" s="269">
        <v>86</v>
      </c>
      <c r="Q188" s="269">
        <v>86</v>
      </c>
      <c r="R188" s="269">
        <v>2162</v>
      </c>
      <c r="S188" s="269">
        <v>2107</v>
      </c>
      <c r="T188" s="269">
        <v>1281</v>
      </c>
      <c r="U188" s="269">
        <v>1703</v>
      </c>
      <c r="V188" s="269">
        <v>1637</v>
      </c>
      <c r="W188" s="269">
        <v>1637</v>
      </c>
      <c r="X188" s="269">
        <v>42</v>
      </c>
      <c r="Y188" s="269">
        <v>112</v>
      </c>
      <c r="Z188" s="269">
        <v>2162</v>
      </c>
    </row>
    <row r="189" spans="1:26" x14ac:dyDescent="0.25">
      <c r="A189" s="271" t="s">
        <v>551</v>
      </c>
      <c r="B189" s="269" t="s">
        <v>167</v>
      </c>
      <c r="C189" s="269" t="s">
        <v>429</v>
      </c>
      <c r="D189" s="269" t="s">
        <v>49</v>
      </c>
      <c r="E189" s="269" t="s">
        <v>50</v>
      </c>
      <c r="F189" s="269">
        <v>3</v>
      </c>
      <c r="G189" s="269">
        <v>0</v>
      </c>
      <c r="H189" s="269">
        <v>3</v>
      </c>
      <c r="I189" s="269">
        <v>3</v>
      </c>
      <c r="J189" s="269">
        <v>3</v>
      </c>
      <c r="K189" s="269">
        <v>3</v>
      </c>
      <c r="L189" s="269">
        <v>11</v>
      </c>
      <c r="M189" s="269">
        <v>0</v>
      </c>
      <c r="N189" s="269">
        <v>7</v>
      </c>
      <c r="O189" s="269">
        <v>8</v>
      </c>
      <c r="P189" s="269">
        <v>8</v>
      </c>
      <c r="Q189" s="269">
        <v>8</v>
      </c>
      <c r="R189" s="269">
        <v>599</v>
      </c>
      <c r="S189" s="269">
        <v>592</v>
      </c>
      <c r="T189" s="269">
        <v>376</v>
      </c>
      <c r="U189" s="269">
        <v>468</v>
      </c>
      <c r="V189" s="269">
        <v>400</v>
      </c>
      <c r="W189" s="269">
        <v>400</v>
      </c>
      <c r="X189" s="269">
        <v>3</v>
      </c>
      <c r="Y189" s="269">
        <v>11</v>
      </c>
      <c r="Z189" s="269">
        <v>599</v>
      </c>
    </row>
    <row r="190" spans="1:26" x14ac:dyDescent="0.25">
      <c r="A190" s="271" t="s">
        <v>551</v>
      </c>
      <c r="B190" s="269" t="s">
        <v>168</v>
      </c>
      <c r="C190" s="269" t="s">
        <v>406</v>
      </c>
      <c r="D190" s="269" t="s">
        <v>49</v>
      </c>
      <c r="E190" s="269" t="s">
        <v>50</v>
      </c>
      <c r="F190" s="269">
        <v>12</v>
      </c>
      <c r="G190" s="269">
        <v>0</v>
      </c>
      <c r="H190" s="269">
        <v>8</v>
      </c>
      <c r="I190" s="269">
        <v>9</v>
      </c>
      <c r="J190" s="269">
        <v>7</v>
      </c>
      <c r="K190" s="269">
        <v>7</v>
      </c>
      <c r="L190" s="269">
        <v>32</v>
      </c>
      <c r="M190" s="269">
        <v>0</v>
      </c>
      <c r="N190" s="269">
        <v>23</v>
      </c>
      <c r="O190" s="269">
        <v>26</v>
      </c>
      <c r="P190" s="269">
        <v>25</v>
      </c>
      <c r="Q190" s="269">
        <v>25</v>
      </c>
      <c r="R190" s="269">
        <v>612</v>
      </c>
      <c r="S190" s="269">
        <v>606</v>
      </c>
      <c r="T190" s="269">
        <v>405</v>
      </c>
      <c r="U190" s="269">
        <v>510</v>
      </c>
      <c r="V190" s="269">
        <v>507</v>
      </c>
      <c r="W190" s="269">
        <v>507</v>
      </c>
      <c r="X190" s="269">
        <v>12</v>
      </c>
      <c r="Y190" s="269">
        <v>32</v>
      </c>
      <c r="Z190" s="269">
        <v>612</v>
      </c>
    </row>
    <row r="191" spans="1:26" x14ac:dyDescent="0.25">
      <c r="A191" s="271" t="s">
        <v>551</v>
      </c>
      <c r="B191" s="269" t="s">
        <v>168</v>
      </c>
      <c r="C191" s="269" t="s">
        <v>415</v>
      </c>
      <c r="D191" s="269" t="s">
        <v>49</v>
      </c>
      <c r="E191" s="269" t="s">
        <v>50</v>
      </c>
      <c r="F191" s="269">
        <v>18</v>
      </c>
      <c r="G191" s="269">
        <v>0</v>
      </c>
      <c r="H191" s="269">
        <v>16</v>
      </c>
      <c r="I191" s="269">
        <v>18</v>
      </c>
      <c r="J191" s="269">
        <v>15</v>
      </c>
      <c r="K191" s="269">
        <v>15</v>
      </c>
      <c r="L191" s="269">
        <v>48</v>
      </c>
      <c r="M191" s="269">
        <v>0</v>
      </c>
      <c r="N191" s="269">
        <v>36</v>
      </c>
      <c r="O191" s="269">
        <v>45</v>
      </c>
      <c r="P191" s="269">
        <v>42</v>
      </c>
      <c r="Q191" s="269">
        <v>42</v>
      </c>
      <c r="R191" s="269">
        <v>1015</v>
      </c>
      <c r="S191" s="269">
        <v>998</v>
      </c>
      <c r="T191" s="269">
        <v>607</v>
      </c>
      <c r="U191" s="269">
        <v>769</v>
      </c>
      <c r="V191" s="269">
        <v>727</v>
      </c>
      <c r="W191" s="269">
        <v>727</v>
      </c>
      <c r="X191" s="269">
        <v>18</v>
      </c>
      <c r="Y191" s="269">
        <v>48</v>
      </c>
      <c r="Z191" s="269">
        <v>1015</v>
      </c>
    </row>
    <row r="192" spans="1:26" x14ac:dyDescent="0.25">
      <c r="A192" s="271" t="s">
        <v>551</v>
      </c>
      <c r="B192" s="269" t="s">
        <v>167</v>
      </c>
      <c r="C192" s="269" t="s">
        <v>328</v>
      </c>
      <c r="D192" s="269" t="s">
        <v>49</v>
      </c>
      <c r="E192" s="269" t="s">
        <v>50</v>
      </c>
      <c r="F192" s="269">
        <v>12</v>
      </c>
      <c r="G192" s="269">
        <v>0</v>
      </c>
      <c r="H192" s="269">
        <v>4</v>
      </c>
      <c r="I192" s="269">
        <v>9</v>
      </c>
      <c r="J192" s="269">
        <v>8</v>
      </c>
      <c r="K192" s="269">
        <v>8</v>
      </c>
      <c r="L192" s="269">
        <v>32</v>
      </c>
      <c r="M192" s="269">
        <v>0</v>
      </c>
      <c r="N192" s="269">
        <v>19</v>
      </c>
      <c r="O192" s="269">
        <v>29</v>
      </c>
      <c r="P192" s="269">
        <v>22</v>
      </c>
      <c r="Q192" s="269">
        <v>22</v>
      </c>
      <c r="R192" s="269">
        <v>615</v>
      </c>
      <c r="S192" s="269">
        <v>612</v>
      </c>
      <c r="T192" s="269">
        <v>346</v>
      </c>
      <c r="U192" s="269">
        <v>463</v>
      </c>
      <c r="V192" s="269">
        <v>493</v>
      </c>
      <c r="W192" s="269">
        <v>493</v>
      </c>
      <c r="X192" s="269">
        <v>12</v>
      </c>
      <c r="Y192" s="269">
        <v>32</v>
      </c>
      <c r="Z192" s="269">
        <v>615</v>
      </c>
    </row>
    <row r="193" spans="1:26" x14ac:dyDescent="0.25">
      <c r="A193" s="271" t="s">
        <v>551</v>
      </c>
      <c r="B193" s="269" t="s">
        <v>168</v>
      </c>
      <c r="C193" s="269" t="s">
        <v>307</v>
      </c>
      <c r="D193" s="269" t="s">
        <v>49</v>
      </c>
      <c r="E193" s="269" t="s">
        <v>50</v>
      </c>
      <c r="F193" s="269">
        <v>24</v>
      </c>
      <c r="G193" s="269">
        <v>0</v>
      </c>
      <c r="H193" s="269">
        <v>19</v>
      </c>
      <c r="I193" s="269">
        <v>22</v>
      </c>
      <c r="J193" s="269">
        <v>22</v>
      </c>
      <c r="K193" s="269">
        <v>22</v>
      </c>
      <c r="L193" s="269">
        <v>64</v>
      </c>
      <c r="M193" s="269">
        <v>0</v>
      </c>
      <c r="N193" s="269">
        <v>51</v>
      </c>
      <c r="O193" s="269">
        <v>57</v>
      </c>
      <c r="P193" s="269">
        <v>56</v>
      </c>
      <c r="Q193" s="269">
        <v>56</v>
      </c>
      <c r="R193" s="269">
        <v>1437</v>
      </c>
      <c r="S193" s="269">
        <v>1416</v>
      </c>
      <c r="T193" s="269">
        <v>988</v>
      </c>
      <c r="U193" s="269">
        <v>1181</v>
      </c>
      <c r="V193" s="269">
        <v>1199</v>
      </c>
      <c r="W193" s="269">
        <v>1199</v>
      </c>
      <c r="X193" s="269">
        <v>24</v>
      </c>
      <c r="Y193" s="269">
        <v>64</v>
      </c>
      <c r="Z193" s="269">
        <v>1438</v>
      </c>
    </row>
    <row r="194" spans="1:26" x14ac:dyDescent="0.25">
      <c r="A194" s="271" t="s">
        <v>551</v>
      </c>
      <c r="B194" s="269" t="s">
        <v>168</v>
      </c>
      <c r="C194" s="269" t="s">
        <v>421</v>
      </c>
      <c r="D194" s="269" t="s">
        <v>49</v>
      </c>
      <c r="E194" s="269" t="s">
        <v>50</v>
      </c>
      <c r="F194" s="269">
        <v>10</v>
      </c>
      <c r="G194" s="269">
        <v>0</v>
      </c>
      <c r="H194" s="269">
        <v>9</v>
      </c>
      <c r="I194" s="269">
        <v>9</v>
      </c>
      <c r="J194" s="269">
        <v>10</v>
      </c>
      <c r="K194" s="269">
        <v>10</v>
      </c>
      <c r="L194" s="269">
        <v>28</v>
      </c>
      <c r="M194" s="269">
        <v>0</v>
      </c>
      <c r="N194" s="269">
        <v>22</v>
      </c>
      <c r="O194" s="269">
        <v>25</v>
      </c>
      <c r="P194" s="269">
        <v>27</v>
      </c>
      <c r="Q194" s="269">
        <v>27</v>
      </c>
      <c r="R194" s="269">
        <v>582</v>
      </c>
      <c r="S194" s="269">
        <v>563</v>
      </c>
      <c r="T194" s="269">
        <v>372</v>
      </c>
      <c r="U194" s="269">
        <v>459</v>
      </c>
      <c r="V194" s="269">
        <v>476</v>
      </c>
      <c r="W194" s="269">
        <v>476</v>
      </c>
      <c r="X194" s="269">
        <v>10</v>
      </c>
      <c r="Y194" s="269">
        <v>28</v>
      </c>
      <c r="Z194" s="269">
        <v>582</v>
      </c>
    </row>
    <row r="195" spans="1:26" x14ac:dyDescent="0.25">
      <c r="A195" s="271" t="s">
        <v>551</v>
      </c>
      <c r="B195" s="269" t="s">
        <v>168</v>
      </c>
      <c r="C195" s="269" t="s">
        <v>414</v>
      </c>
      <c r="D195" s="269" t="s">
        <v>49</v>
      </c>
      <c r="E195" s="269" t="s">
        <v>50</v>
      </c>
      <c r="F195" s="269">
        <v>29</v>
      </c>
      <c r="G195" s="269">
        <v>0</v>
      </c>
      <c r="H195" s="269">
        <v>23</v>
      </c>
      <c r="I195" s="269">
        <v>24</v>
      </c>
      <c r="J195" s="269">
        <v>27</v>
      </c>
      <c r="K195" s="269">
        <v>27</v>
      </c>
      <c r="L195" s="269">
        <v>78</v>
      </c>
      <c r="M195" s="269">
        <v>0</v>
      </c>
      <c r="N195" s="269">
        <v>55</v>
      </c>
      <c r="O195" s="269">
        <v>63</v>
      </c>
      <c r="P195" s="269">
        <v>65</v>
      </c>
      <c r="Q195" s="269">
        <v>65</v>
      </c>
      <c r="R195" s="269">
        <v>1370</v>
      </c>
      <c r="S195" s="269">
        <v>1348</v>
      </c>
      <c r="T195" s="269">
        <v>788</v>
      </c>
      <c r="U195" s="269">
        <v>994</v>
      </c>
      <c r="V195" s="269">
        <v>1023</v>
      </c>
      <c r="W195" s="269">
        <v>1023</v>
      </c>
      <c r="X195" s="269">
        <v>29</v>
      </c>
      <c r="Y195" s="269">
        <v>78</v>
      </c>
      <c r="Z195" s="269">
        <v>1372</v>
      </c>
    </row>
    <row r="196" spans="1:26" x14ac:dyDescent="0.25">
      <c r="A196" s="271" t="s">
        <v>551</v>
      </c>
      <c r="B196" s="269" t="s">
        <v>168</v>
      </c>
      <c r="C196" s="269" t="s">
        <v>326</v>
      </c>
      <c r="D196" s="269" t="s">
        <v>49</v>
      </c>
      <c r="E196" s="269" t="s">
        <v>50</v>
      </c>
      <c r="F196" s="269">
        <v>63</v>
      </c>
      <c r="G196" s="269">
        <v>0</v>
      </c>
      <c r="H196" s="269">
        <v>49</v>
      </c>
      <c r="I196" s="269">
        <v>52</v>
      </c>
      <c r="J196" s="269">
        <v>54</v>
      </c>
      <c r="K196" s="269">
        <v>54</v>
      </c>
      <c r="L196" s="269">
        <v>169</v>
      </c>
      <c r="M196" s="269">
        <v>0</v>
      </c>
      <c r="N196" s="269">
        <v>119</v>
      </c>
      <c r="O196" s="269">
        <v>136</v>
      </c>
      <c r="P196" s="269">
        <v>127</v>
      </c>
      <c r="Q196" s="269">
        <v>127</v>
      </c>
      <c r="R196" s="269">
        <v>4116</v>
      </c>
      <c r="S196" s="269">
        <v>4060</v>
      </c>
      <c r="T196" s="269">
        <v>2175</v>
      </c>
      <c r="U196" s="269">
        <v>2931</v>
      </c>
      <c r="V196" s="269">
        <v>2989</v>
      </c>
      <c r="W196" s="269">
        <v>2989</v>
      </c>
      <c r="X196" s="269">
        <v>63</v>
      </c>
      <c r="Y196" s="269">
        <v>169</v>
      </c>
      <c r="Z196" s="269">
        <v>4117</v>
      </c>
    </row>
    <row r="197" spans="1:26" x14ac:dyDescent="0.25">
      <c r="A197" s="271" t="s">
        <v>551</v>
      </c>
      <c r="B197" s="269" t="s">
        <v>168</v>
      </c>
      <c r="C197" s="269" t="s">
        <v>402</v>
      </c>
      <c r="D197" s="269" t="s">
        <v>49</v>
      </c>
      <c r="E197" s="269" t="s">
        <v>50</v>
      </c>
      <c r="F197" s="269">
        <v>11</v>
      </c>
      <c r="G197" s="269">
        <v>1</v>
      </c>
      <c r="H197" s="269">
        <v>5</v>
      </c>
      <c r="I197" s="269">
        <v>9</v>
      </c>
      <c r="J197" s="269">
        <v>6</v>
      </c>
      <c r="K197" s="269">
        <v>6</v>
      </c>
      <c r="L197" s="269">
        <v>31</v>
      </c>
      <c r="M197" s="269">
        <v>1</v>
      </c>
      <c r="N197" s="269">
        <v>17</v>
      </c>
      <c r="O197" s="269">
        <v>25</v>
      </c>
      <c r="P197" s="269">
        <v>17</v>
      </c>
      <c r="Q197" s="269">
        <v>17</v>
      </c>
      <c r="R197" s="269">
        <v>879</v>
      </c>
      <c r="S197" s="269">
        <v>850</v>
      </c>
      <c r="T197" s="269">
        <v>521</v>
      </c>
      <c r="U197" s="269">
        <v>680</v>
      </c>
      <c r="V197" s="269">
        <v>631</v>
      </c>
      <c r="W197" s="269">
        <v>631</v>
      </c>
      <c r="X197" s="269">
        <v>11</v>
      </c>
      <c r="Y197" s="269">
        <v>31</v>
      </c>
      <c r="Z197" s="269">
        <v>880</v>
      </c>
    </row>
    <row r="198" spans="1:26" x14ac:dyDescent="0.25">
      <c r="A198" s="271" t="s">
        <v>551</v>
      </c>
      <c r="B198" s="269" t="s">
        <v>168</v>
      </c>
      <c r="C198" s="269" t="s">
        <v>241</v>
      </c>
      <c r="D198" s="269" t="s">
        <v>49</v>
      </c>
      <c r="E198" s="269" t="s">
        <v>50</v>
      </c>
      <c r="F198" s="269">
        <v>10</v>
      </c>
      <c r="G198" s="269">
        <v>0</v>
      </c>
      <c r="H198" s="269">
        <v>10</v>
      </c>
      <c r="I198" s="269">
        <v>10</v>
      </c>
      <c r="J198" s="269">
        <v>10</v>
      </c>
      <c r="K198" s="269">
        <v>10</v>
      </c>
      <c r="L198" s="269">
        <v>27</v>
      </c>
      <c r="M198" s="269">
        <v>0</v>
      </c>
      <c r="N198" s="269">
        <v>26</v>
      </c>
      <c r="O198" s="269">
        <v>27</v>
      </c>
      <c r="P198" s="269">
        <v>27</v>
      </c>
      <c r="Q198" s="269">
        <v>27</v>
      </c>
      <c r="R198" s="269">
        <v>605</v>
      </c>
      <c r="S198" s="269">
        <v>599</v>
      </c>
      <c r="T198" s="269">
        <v>497</v>
      </c>
      <c r="U198" s="269">
        <v>532</v>
      </c>
      <c r="V198" s="269">
        <v>502</v>
      </c>
      <c r="W198" s="269">
        <v>502</v>
      </c>
      <c r="X198" s="269">
        <v>10</v>
      </c>
      <c r="Y198" s="269">
        <v>27</v>
      </c>
      <c r="Z198" s="269">
        <v>606</v>
      </c>
    </row>
    <row r="199" spans="1:26" x14ac:dyDescent="0.25">
      <c r="A199" s="271" t="s">
        <v>551</v>
      </c>
      <c r="B199" s="269" t="s">
        <v>168</v>
      </c>
      <c r="C199" s="269" t="s">
        <v>439</v>
      </c>
      <c r="D199" s="269" t="s">
        <v>49</v>
      </c>
      <c r="E199" s="269" t="s">
        <v>50</v>
      </c>
      <c r="F199" s="269">
        <v>0</v>
      </c>
      <c r="G199" s="269">
        <v>0</v>
      </c>
      <c r="H199" s="269">
        <v>0</v>
      </c>
      <c r="I199" s="269">
        <v>0</v>
      </c>
      <c r="J199" s="269">
        <v>0</v>
      </c>
      <c r="K199" s="269">
        <v>0</v>
      </c>
      <c r="L199" s="269">
        <v>1</v>
      </c>
      <c r="M199" s="269">
        <v>0</v>
      </c>
      <c r="N199" s="269">
        <v>0</v>
      </c>
      <c r="O199" s="269">
        <v>0</v>
      </c>
      <c r="P199" s="269">
        <v>0</v>
      </c>
      <c r="Q199" s="269">
        <v>0</v>
      </c>
      <c r="R199" s="269">
        <v>77</v>
      </c>
      <c r="S199" s="269">
        <v>77</v>
      </c>
      <c r="T199" s="269">
        <v>53</v>
      </c>
      <c r="U199" s="269">
        <v>63</v>
      </c>
      <c r="V199" s="269">
        <v>57</v>
      </c>
      <c r="W199" s="269">
        <v>57</v>
      </c>
      <c r="X199" s="269">
        <v>0</v>
      </c>
      <c r="Y199" s="269">
        <v>1</v>
      </c>
      <c r="Z199" s="269">
        <v>77</v>
      </c>
    </row>
    <row r="200" spans="1:26" x14ac:dyDescent="0.25">
      <c r="A200" s="271" t="s">
        <v>551</v>
      </c>
      <c r="B200" s="269" t="s">
        <v>168</v>
      </c>
      <c r="C200" s="269" t="s">
        <v>337</v>
      </c>
      <c r="D200" s="269" t="s">
        <v>49</v>
      </c>
      <c r="E200" s="269" t="s">
        <v>50</v>
      </c>
      <c r="F200" s="269">
        <v>15</v>
      </c>
      <c r="G200" s="269">
        <v>0</v>
      </c>
      <c r="H200" s="269">
        <v>9</v>
      </c>
      <c r="I200" s="269">
        <v>12</v>
      </c>
      <c r="J200" s="269">
        <v>12</v>
      </c>
      <c r="K200" s="269">
        <v>12</v>
      </c>
      <c r="L200" s="269">
        <v>41</v>
      </c>
      <c r="M200" s="269">
        <v>0</v>
      </c>
      <c r="N200" s="269">
        <v>27</v>
      </c>
      <c r="O200" s="269">
        <v>33</v>
      </c>
      <c r="P200" s="269">
        <v>32</v>
      </c>
      <c r="Q200" s="269">
        <v>32</v>
      </c>
      <c r="R200" s="269">
        <v>912</v>
      </c>
      <c r="S200" s="269">
        <v>898</v>
      </c>
      <c r="T200" s="269">
        <v>633</v>
      </c>
      <c r="U200" s="269">
        <v>758</v>
      </c>
      <c r="V200" s="269">
        <v>745</v>
      </c>
      <c r="W200" s="269">
        <v>745</v>
      </c>
      <c r="X200" s="269">
        <v>15</v>
      </c>
      <c r="Y200" s="269">
        <v>41</v>
      </c>
      <c r="Z200" s="269">
        <v>912</v>
      </c>
    </row>
    <row r="201" spans="1:26" x14ac:dyDescent="0.25">
      <c r="A201" s="271" t="s">
        <v>551</v>
      </c>
      <c r="B201" s="269" t="s">
        <v>168</v>
      </c>
      <c r="C201" s="269" t="s">
        <v>411</v>
      </c>
      <c r="D201" s="269" t="s">
        <v>49</v>
      </c>
      <c r="E201" s="269" t="s">
        <v>50</v>
      </c>
      <c r="F201" s="269">
        <v>37</v>
      </c>
      <c r="G201" s="269">
        <v>0</v>
      </c>
      <c r="H201" s="269">
        <v>32</v>
      </c>
      <c r="I201" s="269">
        <v>35</v>
      </c>
      <c r="J201" s="269">
        <v>34</v>
      </c>
      <c r="K201" s="269">
        <v>34</v>
      </c>
      <c r="L201" s="269">
        <v>102</v>
      </c>
      <c r="M201" s="269">
        <v>1</v>
      </c>
      <c r="N201" s="269">
        <v>85</v>
      </c>
      <c r="O201" s="269">
        <v>93</v>
      </c>
      <c r="P201" s="269">
        <v>83</v>
      </c>
      <c r="Q201" s="269">
        <v>83</v>
      </c>
      <c r="R201" s="269">
        <v>1713</v>
      </c>
      <c r="S201" s="269">
        <v>1667</v>
      </c>
      <c r="T201" s="269">
        <v>1200</v>
      </c>
      <c r="U201" s="269">
        <v>1425</v>
      </c>
      <c r="V201" s="269">
        <v>1339</v>
      </c>
      <c r="W201" s="269">
        <v>1339</v>
      </c>
      <c r="X201" s="269">
        <v>37</v>
      </c>
      <c r="Y201" s="269">
        <v>102</v>
      </c>
      <c r="Z201" s="269">
        <v>1712</v>
      </c>
    </row>
    <row r="202" spans="1:26" x14ac:dyDescent="0.25">
      <c r="A202" s="271" t="s">
        <v>551</v>
      </c>
      <c r="B202" s="269" t="s">
        <v>168</v>
      </c>
      <c r="C202" s="269" t="s">
        <v>308</v>
      </c>
      <c r="D202" s="269" t="s">
        <v>49</v>
      </c>
      <c r="E202" s="269" t="s">
        <v>50</v>
      </c>
      <c r="F202" s="269">
        <v>17</v>
      </c>
      <c r="G202" s="269">
        <v>0</v>
      </c>
      <c r="H202" s="269">
        <v>13</v>
      </c>
      <c r="I202" s="269">
        <v>13</v>
      </c>
      <c r="J202" s="269">
        <v>16</v>
      </c>
      <c r="K202" s="269">
        <v>16</v>
      </c>
      <c r="L202" s="269">
        <v>45</v>
      </c>
      <c r="M202" s="269">
        <v>0</v>
      </c>
      <c r="N202" s="269">
        <v>33</v>
      </c>
      <c r="O202" s="269">
        <v>36</v>
      </c>
      <c r="P202" s="269">
        <v>38</v>
      </c>
      <c r="Q202" s="269">
        <v>38</v>
      </c>
      <c r="R202" s="269">
        <v>1005</v>
      </c>
      <c r="S202" s="269">
        <v>993</v>
      </c>
      <c r="T202" s="269">
        <v>603</v>
      </c>
      <c r="U202" s="269">
        <v>758</v>
      </c>
      <c r="V202" s="269">
        <v>752</v>
      </c>
      <c r="W202" s="269">
        <v>752</v>
      </c>
      <c r="X202" s="269">
        <v>17</v>
      </c>
      <c r="Y202" s="269">
        <v>45</v>
      </c>
      <c r="Z202" s="269">
        <v>1005</v>
      </c>
    </row>
    <row r="203" spans="1:26" x14ac:dyDescent="0.25">
      <c r="A203" s="271" t="s">
        <v>551</v>
      </c>
      <c r="B203" s="269" t="s">
        <v>168</v>
      </c>
      <c r="C203" s="269" t="s">
        <v>393</v>
      </c>
      <c r="D203" s="269" t="s">
        <v>49</v>
      </c>
      <c r="E203" s="269" t="s">
        <v>50</v>
      </c>
      <c r="F203" s="269">
        <v>24</v>
      </c>
      <c r="G203" s="269">
        <v>0</v>
      </c>
      <c r="H203" s="269">
        <v>17</v>
      </c>
      <c r="I203" s="269">
        <v>20</v>
      </c>
      <c r="J203" s="269">
        <v>20</v>
      </c>
      <c r="K203" s="269">
        <v>20</v>
      </c>
      <c r="L203" s="269">
        <v>64</v>
      </c>
      <c r="M203" s="269">
        <v>0</v>
      </c>
      <c r="N203" s="269">
        <v>48</v>
      </c>
      <c r="O203" s="269">
        <v>55</v>
      </c>
      <c r="P203" s="269">
        <v>54</v>
      </c>
      <c r="Q203" s="269">
        <v>54</v>
      </c>
      <c r="R203" s="269">
        <v>1166</v>
      </c>
      <c r="S203" s="269">
        <v>1123</v>
      </c>
      <c r="T203" s="269">
        <v>628</v>
      </c>
      <c r="U203" s="269">
        <v>858</v>
      </c>
      <c r="V203" s="269">
        <v>771</v>
      </c>
      <c r="W203" s="269">
        <v>771</v>
      </c>
      <c r="X203" s="269">
        <v>24</v>
      </c>
      <c r="Y203" s="269">
        <v>64</v>
      </c>
      <c r="Z203" s="269">
        <v>1166</v>
      </c>
    </row>
    <row r="204" spans="1:26" x14ac:dyDescent="0.25">
      <c r="A204" s="271" t="s">
        <v>551</v>
      </c>
      <c r="B204" s="269" t="s">
        <v>167</v>
      </c>
      <c r="C204" s="269" t="s">
        <v>433</v>
      </c>
      <c r="D204" s="269" t="s">
        <v>49</v>
      </c>
      <c r="E204" s="269" t="s">
        <v>50</v>
      </c>
      <c r="F204" s="269">
        <v>1</v>
      </c>
      <c r="G204" s="269">
        <v>0</v>
      </c>
      <c r="H204" s="269">
        <v>0</v>
      </c>
      <c r="I204" s="269">
        <v>1</v>
      </c>
      <c r="J204" s="269">
        <v>1</v>
      </c>
      <c r="K204" s="269">
        <v>1</v>
      </c>
      <c r="L204" s="269">
        <v>1</v>
      </c>
      <c r="M204" s="269">
        <v>0</v>
      </c>
      <c r="N204" s="269">
        <v>0</v>
      </c>
      <c r="O204" s="269">
        <v>1</v>
      </c>
      <c r="P204" s="269">
        <v>1</v>
      </c>
      <c r="Q204" s="269">
        <v>1</v>
      </c>
      <c r="R204" s="269">
        <v>35</v>
      </c>
      <c r="S204" s="269">
        <v>34</v>
      </c>
      <c r="T204" s="269">
        <v>10</v>
      </c>
      <c r="U204" s="269">
        <v>20</v>
      </c>
      <c r="V204" s="269">
        <v>28</v>
      </c>
      <c r="W204" s="269">
        <v>28</v>
      </c>
      <c r="X204" s="269">
        <v>1</v>
      </c>
      <c r="Y204" s="269">
        <v>1</v>
      </c>
      <c r="Z204" s="269">
        <v>35</v>
      </c>
    </row>
    <row r="205" spans="1:26" x14ac:dyDescent="0.25">
      <c r="A205" s="271" t="s">
        <v>551</v>
      </c>
      <c r="B205" s="269" t="s">
        <v>168</v>
      </c>
      <c r="C205" s="269" t="s">
        <v>236</v>
      </c>
      <c r="D205" s="269" t="s">
        <v>49</v>
      </c>
      <c r="E205" s="269" t="s">
        <v>50</v>
      </c>
      <c r="F205" s="269">
        <v>33</v>
      </c>
      <c r="G205" s="269">
        <v>0</v>
      </c>
      <c r="H205" s="269">
        <v>23</v>
      </c>
      <c r="I205" s="269">
        <v>28</v>
      </c>
      <c r="J205" s="269">
        <v>28</v>
      </c>
      <c r="K205" s="269">
        <v>28</v>
      </c>
      <c r="L205" s="269">
        <v>91</v>
      </c>
      <c r="M205" s="269">
        <v>0</v>
      </c>
      <c r="N205" s="269">
        <v>67</v>
      </c>
      <c r="O205" s="269">
        <v>79</v>
      </c>
      <c r="P205" s="269">
        <v>79</v>
      </c>
      <c r="Q205" s="269">
        <v>79</v>
      </c>
      <c r="R205" s="269">
        <v>1750</v>
      </c>
      <c r="S205" s="269">
        <v>1722</v>
      </c>
      <c r="T205" s="269">
        <v>1091</v>
      </c>
      <c r="U205" s="269">
        <v>1373</v>
      </c>
      <c r="V205" s="269">
        <v>1387</v>
      </c>
      <c r="W205" s="269">
        <v>1387</v>
      </c>
      <c r="X205" s="269">
        <v>33</v>
      </c>
      <c r="Y205" s="269">
        <v>91</v>
      </c>
      <c r="Z205" s="269">
        <v>1751</v>
      </c>
    </row>
    <row r="206" spans="1:26" x14ac:dyDescent="0.25">
      <c r="A206" s="271" t="s">
        <v>551</v>
      </c>
      <c r="B206" s="269" t="s">
        <v>168</v>
      </c>
      <c r="C206" s="269" t="s">
        <v>218</v>
      </c>
      <c r="D206" s="269" t="s">
        <v>49</v>
      </c>
      <c r="E206" s="269" t="s">
        <v>50</v>
      </c>
      <c r="F206" s="269">
        <v>66</v>
      </c>
      <c r="G206" s="269">
        <v>0</v>
      </c>
      <c r="H206" s="269">
        <v>51</v>
      </c>
      <c r="I206" s="269">
        <v>56</v>
      </c>
      <c r="J206" s="269">
        <v>50</v>
      </c>
      <c r="K206" s="269">
        <v>50</v>
      </c>
      <c r="L206" s="269">
        <v>168</v>
      </c>
      <c r="M206" s="269">
        <v>0</v>
      </c>
      <c r="N206" s="269">
        <v>117</v>
      </c>
      <c r="O206" s="269">
        <v>135</v>
      </c>
      <c r="P206" s="269">
        <v>122</v>
      </c>
      <c r="Q206" s="269">
        <v>122</v>
      </c>
      <c r="R206" s="269">
        <v>5164</v>
      </c>
      <c r="S206" s="269">
        <v>4916</v>
      </c>
      <c r="T206" s="269">
        <v>3156</v>
      </c>
      <c r="U206" s="269">
        <v>3979</v>
      </c>
      <c r="V206" s="269">
        <v>3648</v>
      </c>
      <c r="W206" s="269">
        <v>3658</v>
      </c>
      <c r="X206" s="269">
        <v>66</v>
      </c>
      <c r="Y206" s="269">
        <v>168</v>
      </c>
      <c r="Z206" s="269">
        <v>5165</v>
      </c>
    </row>
    <row r="207" spans="1:26" x14ac:dyDescent="0.25">
      <c r="A207" s="271" t="s">
        <v>551</v>
      </c>
      <c r="B207" s="269" t="s">
        <v>168</v>
      </c>
      <c r="C207" s="269" t="s">
        <v>260</v>
      </c>
      <c r="D207" s="269" t="s">
        <v>49</v>
      </c>
      <c r="E207" s="269" t="s">
        <v>50</v>
      </c>
      <c r="F207" s="269">
        <v>5</v>
      </c>
      <c r="G207" s="269">
        <v>0</v>
      </c>
      <c r="H207" s="269">
        <v>2</v>
      </c>
      <c r="I207" s="269">
        <v>4</v>
      </c>
      <c r="J207" s="269">
        <v>4</v>
      </c>
      <c r="K207" s="269">
        <v>4</v>
      </c>
      <c r="L207" s="269">
        <v>14</v>
      </c>
      <c r="M207" s="269">
        <v>1</v>
      </c>
      <c r="N207" s="269">
        <v>6</v>
      </c>
      <c r="O207" s="269">
        <v>10</v>
      </c>
      <c r="P207" s="269">
        <v>8</v>
      </c>
      <c r="Q207" s="269">
        <v>8</v>
      </c>
      <c r="R207" s="269">
        <v>345</v>
      </c>
      <c r="S207" s="269">
        <v>341</v>
      </c>
      <c r="T207" s="269">
        <v>189</v>
      </c>
      <c r="U207" s="269">
        <v>254</v>
      </c>
      <c r="V207" s="269">
        <v>219</v>
      </c>
      <c r="W207" s="269">
        <v>219</v>
      </c>
      <c r="X207" s="269">
        <v>5</v>
      </c>
      <c r="Y207" s="269">
        <v>14</v>
      </c>
      <c r="Z207" s="269">
        <v>345</v>
      </c>
    </row>
    <row r="208" spans="1:26" x14ac:dyDescent="0.25">
      <c r="A208" s="271" t="s">
        <v>551</v>
      </c>
      <c r="B208" s="269" t="s">
        <v>167</v>
      </c>
      <c r="C208" s="269" t="s">
        <v>250</v>
      </c>
      <c r="D208" s="269" t="s">
        <v>49</v>
      </c>
      <c r="E208" s="269" t="s">
        <v>50</v>
      </c>
      <c r="F208" s="269">
        <v>3</v>
      </c>
      <c r="G208" s="269">
        <v>0</v>
      </c>
      <c r="H208" s="269">
        <v>1</v>
      </c>
      <c r="I208" s="269">
        <v>4</v>
      </c>
      <c r="J208" s="269">
        <v>3</v>
      </c>
      <c r="K208" s="269">
        <v>3</v>
      </c>
      <c r="L208" s="269">
        <v>8</v>
      </c>
      <c r="M208" s="269">
        <v>2</v>
      </c>
      <c r="N208" s="269">
        <v>2</v>
      </c>
      <c r="O208" s="269">
        <v>5</v>
      </c>
      <c r="P208" s="269">
        <v>4</v>
      </c>
      <c r="Q208" s="269">
        <v>4</v>
      </c>
      <c r="R208" s="269">
        <v>173</v>
      </c>
      <c r="S208" s="269">
        <v>122</v>
      </c>
      <c r="T208" s="269">
        <v>73</v>
      </c>
      <c r="U208" s="269">
        <v>94</v>
      </c>
      <c r="V208" s="269">
        <v>97</v>
      </c>
      <c r="W208" s="269">
        <v>97</v>
      </c>
      <c r="X208" s="269">
        <v>4</v>
      </c>
      <c r="Y208" s="269">
        <v>8</v>
      </c>
      <c r="Z208" s="269">
        <v>175</v>
      </c>
    </row>
    <row r="209" spans="1:26" x14ac:dyDescent="0.25">
      <c r="A209" s="271" t="s">
        <v>551</v>
      </c>
      <c r="B209" s="269" t="s">
        <v>168</v>
      </c>
      <c r="C209" s="269" t="s">
        <v>315</v>
      </c>
      <c r="D209" s="269" t="s">
        <v>49</v>
      </c>
      <c r="E209" s="269" t="s">
        <v>50</v>
      </c>
      <c r="F209" s="269">
        <v>30</v>
      </c>
      <c r="G209" s="269">
        <v>0</v>
      </c>
      <c r="H209" s="269">
        <v>21</v>
      </c>
      <c r="I209" s="269">
        <v>25</v>
      </c>
      <c r="J209" s="269">
        <v>21</v>
      </c>
      <c r="K209" s="269">
        <v>21</v>
      </c>
      <c r="L209" s="269">
        <v>80</v>
      </c>
      <c r="M209" s="269">
        <v>0</v>
      </c>
      <c r="N209" s="269">
        <v>55</v>
      </c>
      <c r="O209" s="269">
        <v>63</v>
      </c>
      <c r="P209" s="269">
        <v>57</v>
      </c>
      <c r="Q209" s="269">
        <v>57</v>
      </c>
      <c r="R209" s="269">
        <v>1566</v>
      </c>
      <c r="S209" s="269">
        <v>1507</v>
      </c>
      <c r="T209" s="269">
        <v>901</v>
      </c>
      <c r="U209" s="269">
        <v>1123</v>
      </c>
      <c r="V209" s="269">
        <v>966</v>
      </c>
      <c r="W209" s="269">
        <v>966</v>
      </c>
      <c r="X209" s="269">
        <v>30</v>
      </c>
      <c r="Y209" s="269">
        <v>80</v>
      </c>
      <c r="Z209" s="269">
        <v>1566</v>
      </c>
    </row>
    <row r="210" spans="1:26" x14ac:dyDescent="0.25">
      <c r="A210" s="271" t="s">
        <v>551</v>
      </c>
      <c r="B210" s="269" t="s">
        <v>168</v>
      </c>
      <c r="C210" s="269" t="s">
        <v>358</v>
      </c>
      <c r="D210" s="269" t="s">
        <v>49</v>
      </c>
      <c r="E210" s="269" t="s">
        <v>50</v>
      </c>
      <c r="F210" s="269">
        <v>7</v>
      </c>
      <c r="G210" s="269">
        <v>0</v>
      </c>
      <c r="H210" s="269">
        <v>6</v>
      </c>
      <c r="I210" s="269">
        <v>6</v>
      </c>
      <c r="J210" s="269">
        <v>6</v>
      </c>
      <c r="K210" s="269">
        <v>6</v>
      </c>
      <c r="L210" s="269">
        <v>17</v>
      </c>
      <c r="M210" s="269">
        <v>0</v>
      </c>
      <c r="N210" s="269">
        <v>12</v>
      </c>
      <c r="O210" s="269">
        <v>15</v>
      </c>
      <c r="P210" s="269">
        <v>15</v>
      </c>
      <c r="Q210" s="269">
        <v>15</v>
      </c>
      <c r="R210" s="269">
        <v>876</v>
      </c>
      <c r="S210" s="269">
        <v>849</v>
      </c>
      <c r="T210" s="269">
        <v>589</v>
      </c>
      <c r="U210" s="269">
        <v>716</v>
      </c>
      <c r="V210" s="269">
        <v>636</v>
      </c>
      <c r="W210" s="269">
        <v>636</v>
      </c>
      <c r="X210" s="269">
        <v>7</v>
      </c>
      <c r="Y210" s="269">
        <v>17</v>
      </c>
      <c r="Z210" s="269">
        <v>876</v>
      </c>
    </row>
    <row r="211" spans="1:26" x14ac:dyDescent="0.25">
      <c r="A211" s="271" t="s">
        <v>551</v>
      </c>
      <c r="B211" s="269" t="s">
        <v>168</v>
      </c>
      <c r="C211" s="269" t="s">
        <v>391</v>
      </c>
      <c r="D211" s="269" t="s">
        <v>49</v>
      </c>
      <c r="E211" s="269" t="s">
        <v>50</v>
      </c>
      <c r="F211" s="269">
        <v>42</v>
      </c>
      <c r="G211" s="269">
        <v>0</v>
      </c>
      <c r="H211" s="269">
        <v>28</v>
      </c>
      <c r="I211" s="269">
        <v>34</v>
      </c>
      <c r="J211" s="269">
        <v>33</v>
      </c>
      <c r="K211" s="269">
        <v>33</v>
      </c>
      <c r="L211" s="269">
        <v>112</v>
      </c>
      <c r="M211" s="269">
        <v>0</v>
      </c>
      <c r="N211" s="269">
        <v>82</v>
      </c>
      <c r="O211" s="269">
        <v>95</v>
      </c>
      <c r="P211" s="269">
        <v>95</v>
      </c>
      <c r="Q211" s="269">
        <v>95</v>
      </c>
      <c r="R211" s="269">
        <v>2338</v>
      </c>
      <c r="S211" s="269">
        <v>2294</v>
      </c>
      <c r="T211" s="269">
        <v>1426</v>
      </c>
      <c r="U211" s="269">
        <v>1784</v>
      </c>
      <c r="V211" s="269">
        <v>1708</v>
      </c>
      <c r="W211" s="269">
        <v>1708</v>
      </c>
      <c r="X211" s="269">
        <v>42</v>
      </c>
      <c r="Y211" s="269">
        <v>112</v>
      </c>
      <c r="Z211" s="269">
        <v>2338</v>
      </c>
    </row>
    <row r="212" spans="1:26" x14ac:dyDescent="0.25">
      <c r="A212" s="271" t="s">
        <v>551</v>
      </c>
      <c r="B212" s="269" t="s">
        <v>168</v>
      </c>
      <c r="C212" s="269" t="s">
        <v>259</v>
      </c>
      <c r="D212" s="269" t="s">
        <v>49</v>
      </c>
      <c r="E212" s="269" t="s">
        <v>50</v>
      </c>
      <c r="F212" s="269">
        <v>30</v>
      </c>
      <c r="G212" s="269">
        <v>0</v>
      </c>
      <c r="H212" s="269">
        <v>17</v>
      </c>
      <c r="I212" s="269">
        <v>28</v>
      </c>
      <c r="J212" s="269">
        <v>26</v>
      </c>
      <c r="K212" s="269">
        <v>26</v>
      </c>
      <c r="L212" s="269">
        <v>80</v>
      </c>
      <c r="M212" s="269">
        <v>0</v>
      </c>
      <c r="N212" s="269">
        <v>47</v>
      </c>
      <c r="O212" s="269">
        <v>63</v>
      </c>
      <c r="P212" s="269">
        <v>67</v>
      </c>
      <c r="Q212" s="269">
        <v>67</v>
      </c>
      <c r="R212" s="269">
        <v>1713</v>
      </c>
      <c r="S212" s="269">
        <v>1654</v>
      </c>
      <c r="T212" s="269">
        <v>841</v>
      </c>
      <c r="U212" s="269">
        <v>1190</v>
      </c>
      <c r="V212" s="269">
        <v>1287</v>
      </c>
      <c r="W212" s="269">
        <v>1289</v>
      </c>
      <c r="X212" s="269">
        <v>30</v>
      </c>
      <c r="Y212" s="269">
        <v>80</v>
      </c>
      <c r="Z212" s="269">
        <v>1713</v>
      </c>
    </row>
    <row r="213" spans="1:26" x14ac:dyDescent="0.25">
      <c r="A213" s="271" t="s">
        <v>551</v>
      </c>
      <c r="B213" s="269" t="s">
        <v>168</v>
      </c>
      <c r="C213" s="269" t="s">
        <v>281</v>
      </c>
      <c r="D213" s="269" t="s">
        <v>49</v>
      </c>
      <c r="E213" s="269" t="s">
        <v>50</v>
      </c>
      <c r="F213" s="269">
        <v>56</v>
      </c>
      <c r="G213" s="269">
        <v>0</v>
      </c>
      <c r="H213" s="269">
        <v>46</v>
      </c>
      <c r="I213" s="269">
        <v>51</v>
      </c>
      <c r="J213" s="269">
        <v>46</v>
      </c>
      <c r="K213" s="269">
        <v>46</v>
      </c>
      <c r="L213" s="269">
        <v>146</v>
      </c>
      <c r="M213" s="269">
        <v>0</v>
      </c>
      <c r="N213" s="269">
        <v>117</v>
      </c>
      <c r="O213" s="269">
        <v>130</v>
      </c>
      <c r="P213" s="269">
        <v>115</v>
      </c>
      <c r="Q213" s="269">
        <v>115</v>
      </c>
      <c r="R213" s="269">
        <v>2918</v>
      </c>
      <c r="S213" s="269">
        <v>2895</v>
      </c>
      <c r="T213" s="269">
        <v>1794</v>
      </c>
      <c r="U213" s="269">
        <v>2282</v>
      </c>
      <c r="V213" s="269">
        <v>2112</v>
      </c>
      <c r="W213" s="269">
        <v>2112</v>
      </c>
      <c r="X213" s="269">
        <v>56</v>
      </c>
      <c r="Y213" s="269">
        <v>146</v>
      </c>
      <c r="Z213" s="269">
        <v>2919</v>
      </c>
    </row>
    <row r="214" spans="1:26" x14ac:dyDescent="0.25">
      <c r="A214" s="271" t="s">
        <v>551</v>
      </c>
      <c r="B214" s="269" t="s">
        <v>168</v>
      </c>
      <c r="C214" s="269" t="s">
        <v>257</v>
      </c>
      <c r="D214" s="269" t="s">
        <v>49</v>
      </c>
      <c r="E214" s="269" t="s">
        <v>50</v>
      </c>
      <c r="F214" s="269">
        <v>36</v>
      </c>
      <c r="G214" s="269">
        <v>0</v>
      </c>
      <c r="H214" s="269">
        <v>22</v>
      </c>
      <c r="I214" s="269">
        <v>28</v>
      </c>
      <c r="J214" s="269">
        <v>25</v>
      </c>
      <c r="K214" s="269">
        <v>25</v>
      </c>
      <c r="L214" s="269">
        <v>96</v>
      </c>
      <c r="M214" s="269">
        <v>0</v>
      </c>
      <c r="N214" s="269">
        <v>63</v>
      </c>
      <c r="O214" s="269">
        <v>73</v>
      </c>
      <c r="P214" s="269">
        <v>68</v>
      </c>
      <c r="Q214" s="269">
        <v>68</v>
      </c>
      <c r="R214" s="269">
        <v>2150</v>
      </c>
      <c r="S214" s="269">
        <v>2121</v>
      </c>
      <c r="T214" s="269">
        <v>1061</v>
      </c>
      <c r="U214" s="269">
        <v>1425</v>
      </c>
      <c r="V214" s="269">
        <v>1395</v>
      </c>
      <c r="W214" s="269">
        <v>1395</v>
      </c>
      <c r="X214" s="269">
        <v>36</v>
      </c>
      <c r="Y214" s="269">
        <v>96</v>
      </c>
      <c r="Z214" s="269">
        <v>2150</v>
      </c>
    </row>
    <row r="215" spans="1:26" x14ac:dyDescent="0.25">
      <c r="A215" s="271" t="s">
        <v>551</v>
      </c>
      <c r="B215" s="269" t="s">
        <v>168</v>
      </c>
      <c r="C215" s="269" t="s">
        <v>292</v>
      </c>
      <c r="D215" s="269" t="s">
        <v>49</v>
      </c>
      <c r="E215" s="269" t="s">
        <v>50</v>
      </c>
      <c r="F215" s="269">
        <v>30</v>
      </c>
      <c r="G215" s="269">
        <v>0</v>
      </c>
      <c r="H215" s="269">
        <v>27</v>
      </c>
      <c r="I215" s="269">
        <v>27</v>
      </c>
      <c r="J215" s="269">
        <v>27</v>
      </c>
      <c r="K215" s="269">
        <v>27</v>
      </c>
      <c r="L215" s="269">
        <v>80</v>
      </c>
      <c r="M215" s="269">
        <v>0</v>
      </c>
      <c r="N215" s="269">
        <v>57</v>
      </c>
      <c r="O215" s="269">
        <v>72</v>
      </c>
      <c r="P215" s="269">
        <v>68</v>
      </c>
      <c r="Q215" s="269">
        <v>68</v>
      </c>
      <c r="R215" s="269">
        <v>1712</v>
      </c>
      <c r="S215" s="269">
        <v>1690</v>
      </c>
      <c r="T215" s="269">
        <v>1142</v>
      </c>
      <c r="U215" s="269">
        <v>1451</v>
      </c>
      <c r="V215" s="269">
        <v>1335</v>
      </c>
      <c r="W215" s="269">
        <v>1335</v>
      </c>
      <c r="X215" s="269">
        <v>30</v>
      </c>
      <c r="Y215" s="269">
        <v>80</v>
      </c>
      <c r="Z215" s="269">
        <v>1713</v>
      </c>
    </row>
    <row r="216" spans="1:26" x14ac:dyDescent="0.25">
      <c r="A216" s="107" t="s">
        <v>551</v>
      </c>
      <c r="B216" t="s">
        <v>167</v>
      </c>
      <c r="C216" t="s">
        <v>550</v>
      </c>
      <c r="D216" t="s">
        <v>49</v>
      </c>
      <c r="E216" t="s">
        <v>50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">
        <v>244</v>
      </c>
      <c r="S216" s="3">
        <v>244</v>
      </c>
      <c r="T216">
        <v>149</v>
      </c>
      <c r="U216" s="3">
        <v>184</v>
      </c>
      <c r="V216">
        <v>182</v>
      </c>
      <c r="W216">
        <v>182</v>
      </c>
      <c r="X216">
        <v>0</v>
      </c>
      <c r="Y216">
        <v>0</v>
      </c>
      <c r="Z216" s="3">
        <v>244</v>
      </c>
    </row>
    <row r="217" spans="1:26" x14ac:dyDescent="0.25">
      <c r="A217" s="107" t="s">
        <v>551</v>
      </c>
      <c r="B217" t="s">
        <v>168</v>
      </c>
      <c r="C217" t="s">
        <v>319</v>
      </c>
      <c r="D217" t="s">
        <v>49</v>
      </c>
      <c r="E217" t="s">
        <v>50</v>
      </c>
      <c r="F217">
        <v>45</v>
      </c>
      <c r="G217">
        <v>0</v>
      </c>
      <c r="H217">
        <v>39</v>
      </c>
      <c r="I217">
        <v>43</v>
      </c>
      <c r="J217">
        <v>42</v>
      </c>
      <c r="K217">
        <v>42</v>
      </c>
      <c r="L217">
        <v>124</v>
      </c>
      <c r="M217">
        <v>0</v>
      </c>
      <c r="N217">
        <v>97</v>
      </c>
      <c r="O217">
        <v>114</v>
      </c>
      <c r="P217">
        <v>110</v>
      </c>
      <c r="Q217">
        <v>110</v>
      </c>
      <c r="R217">
        <v>3426</v>
      </c>
      <c r="S217">
        <v>3340</v>
      </c>
      <c r="T217">
        <v>2380</v>
      </c>
      <c r="U217">
        <v>2837</v>
      </c>
      <c r="V217">
        <v>2633</v>
      </c>
      <c r="W217">
        <v>2636</v>
      </c>
      <c r="X217">
        <v>45</v>
      </c>
      <c r="Y217">
        <v>124</v>
      </c>
      <c r="Z217">
        <v>3424</v>
      </c>
    </row>
    <row r="218" spans="1:26" x14ac:dyDescent="0.25">
      <c r="A218" s="107" t="s">
        <v>551</v>
      </c>
      <c r="B218" t="s">
        <v>168</v>
      </c>
      <c r="C218" t="s">
        <v>362</v>
      </c>
      <c r="D218" t="s">
        <v>49</v>
      </c>
      <c r="E218" t="s">
        <v>50</v>
      </c>
      <c r="F218">
        <v>24</v>
      </c>
      <c r="G218">
        <v>0</v>
      </c>
      <c r="H218">
        <v>13</v>
      </c>
      <c r="I218">
        <v>18</v>
      </c>
      <c r="J218">
        <v>20</v>
      </c>
      <c r="K218">
        <v>20</v>
      </c>
      <c r="L218">
        <v>64</v>
      </c>
      <c r="M218">
        <v>0</v>
      </c>
      <c r="N218">
        <v>38</v>
      </c>
      <c r="O218">
        <v>51</v>
      </c>
      <c r="P218">
        <v>56</v>
      </c>
      <c r="Q218">
        <v>56</v>
      </c>
      <c r="R218">
        <v>1539</v>
      </c>
      <c r="S218">
        <v>1512</v>
      </c>
      <c r="T218">
        <v>1009</v>
      </c>
      <c r="U218">
        <v>1235</v>
      </c>
      <c r="V218">
        <v>1202</v>
      </c>
      <c r="W218">
        <v>1202</v>
      </c>
      <c r="X218">
        <v>24</v>
      </c>
      <c r="Y218">
        <v>64</v>
      </c>
      <c r="Z218">
        <v>1539</v>
      </c>
    </row>
    <row r="219" spans="1:26" x14ac:dyDescent="0.25">
      <c r="A219" s="107" t="s">
        <v>551</v>
      </c>
      <c r="B219" t="s">
        <v>168</v>
      </c>
      <c r="C219" t="s">
        <v>401</v>
      </c>
      <c r="D219" t="s">
        <v>49</v>
      </c>
      <c r="E219" t="s">
        <v>50</v>
      </c>
      <c r="F219">
        <v>16</v>
      </c>
      <c r="G219">
        <v>0</v>
      </c>
      <c r="H219">
        <v>13</v>
      </c>
      <c r="I219">
        <v>14</v>
      </c>
      <c r="J219">
        <v>12</v>
      </c>
      <c r="K219">
        <v>12</v>
      </c>
      <c r="L219">
        <v>43</v>
      </c>
      <c r="M219">
        <v>0</v>
      </c>
      <c r="N219">
        <v>37</v>
      </c>
      <c r="O219">
        <v>39</v>
      </c>
      <c r="P219">
        <v>36</v>
      </c>
      <c r="Q219">
        <v>36</v>
      </c>
      <c r="R219" s="3">
        <v>947</v>
      </c>
      <c r="S219" s="3">
        <v>928</v>
      </c>
      <c r="T219">
        <v>660</v>
      </c>
      <c r="U219">
        <v>754</v>
      </c>
      <c r="V219">
        <v>716</v>
      </c>
      <c r="W219">
        <v>716</v>
      </c>
      <c r="X219">
        <v>16</v>
      </c>
      <c r="Y219">
        <v>43</v>
      </c>
      <c r="Z219" s="3">
        <v>947</v>
      </c>
    </row>
    <row r="220" spans="1:26" x14ac:dyDescent="0.25">
      <c r="A220" s="107" t="s">
        <v>551</v>
      </c>
      <c r="B220" t="s">
        <v>168</v>
      </c>
      <c r="C220" t="s">
        <v>361</v>
      </c>
      <c r="D220" t="s">
        <v>49</v>
      </c>
      <c r="E220" t="s">
        <v>50</v>
      </c>
      <c r="F220">
        <v>27</v>
      </c>
      <c r="G220">
        <v>0</v>
      </c>
      <c r="H220">
        <v>18</v>
      </c>
      <c r="I220">
        <v>18</v>
      </c>
      <c r="J220">
        <v>20</v>
      </c>
      <c r="K220">
        <v>20</v>
      </c>
      <c r="L220">
        <v>75</v>
      </c>
      <c r="M220">
        <v>0</v>
      </c>
      <c r="N220">
        <v>54</v>
      </c>
      <c r="O220">
        <v>59</v>
      </c>
      <c r="P220">
        <v>62</v>
      </c>
      <c r="Q220">
        <v>62</v>
      </c>
      <c r="R220">
        <v>1678</v>
      </c>
      <c r="S220">
        <v>1647</v>
      </c>
      <c r="T220">
        <v>1052</v>
      </c>
      <c r="U220">
        <v>1282</v>
      </c>
      <c r="V220">
        <v>1271</v>
      </c>
      <c r="W220">
        <v>1271</v>
      </c>
      <c r="X220">
        <v>27</v>
      </c>
      <c r="Y220">
        <v>75</v>
      </c>
      <c r="Z220">
        <v>1679</v>
      </c>
    </row>
    <row r="221" spans="1:26" x14ac:dyDescent="0.25">
      <c r="A221" s="107" t="s">
        <v>551</v>
      </c>
      <c r="B221" t="s">
        <v>168</v>
      </c>
      <c r="C221" t="s">
        <v>371</v>
      </c>
      <c r="D221" t="s">
        <v>49</v>
      </c>
      <c r="E221" t="s">
        <v>50</v>
      </c>
      <c r="F221">
        <v>65</v>
      </c>
      <c r="G221">
        <v>0</v>
      </c>
      <c r="H221">
        <v>39</v>
      </c>
      <c r="I221">
        <v>51</v>
      </c>
      <c r="J221">
        <v>54</v>
      </c>
      <c r="K221">
        <v>54</v>
      </c>
      <c r="L221">
        <v>175</v>
      </c>
      <c r="M221">
        <v>0</v>
      </c>
      <c r="N221">
        <v>119</v>
      </c>
      <c r="O221">
        <v>148</v>
      </c>
      <c r="P221">
        <v>144</v>
      </c>
      <c r="Q221">
        <v>144</v>
      </c>
      <c r="R221">
        <v>3785</v>
      </c>
      <c r="S221">
        <v>3748</v>
      </c>
      <c r="T221">
        <v>2359</v>
      </c>
      <c r="U221">
        <v>2997</v>
      </c>
      <c r="V221">
        <v>3075</v>
      </c>
      <c r="W221">
        <v>3075</v>
      </c>
      <c r="X221">
        <v>65</v>
      </c>
      <c r="Y221">
        <v>175</v>
      </c>
      <c r="Z221">
        <v>3785</v>
      </c>
    </row>
    <row r="222" spans="1:26" x14ac:dyDescent="0.25">
      <c r="A222" s="107" t="s">
        <v>551</v>
      </c>
      <c r="B222" t="s">
        <v>168</v>
      </c>
      <c r="C222" t="s">
        <v>306</v>
      </c>
      <c r="D222" t="s">
        <v>49</v>
      </c>
      <c r="E222" t="s">
        <v>50</v>
      </c>
      <c r="F222">
        <v>42</v>
      </c>
      <c r="G222">
        <v>0</v>
      </c>
      <c r="H222">
        <v>29</v>
      </c>
      <c r="I222">
        <v>36</v>
      </c>
      <c r="J222">
        <v>32</v>
      </c>
      <c r="K222">
        <v>32</v>
      </c>
      <c r="L222">
        <v>112</v>
      </c>
      <c r="M222">
        <v>0</v>
      </c>
      <c r="N222">
        <v>78</v>
      </c>
      <c r="O222">
        <v>97</v>
      </c>
      <c r="P222">
        <v>80</v>
      </c>
      <c r="Q222">
        <v>80</v>
      </c>
      <c r="R222">
        <v>2792</v>
      </c>
      <c r="S222">
        <v>2751</v>
      </c>
      <c r="T222">
        <v>1496</v>
      </c>
      <c r="U222">
        <v>1975</v>
      </c>
      <c r="V222">
        <v>1778</v>
      </c>
      <c r="W222">
        <v>1778</v>
      </c>
      <c r="X222">
        <v>42</v>
      </c>
      <c r="Y222">
        <v>112</v>
      </c>
      <c r="Z222">
        <v>2792</v>
      </c>
    </row>
    <row r="223" spans="1:26" x14ac:dyDescent="0.25">
      <c r="A223" s="107" t="s">
        <v>551</v>
      </c>
      <c r="B223" t="s">
        <v>168</v>
      </c>
      <c r="C223" t="s">
        <v>276</v>
      </c>
      <c r="D223" t="s">
        <v>49</v>
      </c>
      <c r="E223" t="s">
        <v>50</v>
      </c>
      <c r="F223">
        <v>18</v>
      </c>
      <c r="G223">
        <v>0</v>
      </c>
      <c r="H223">
        <v>13</v>
      </c>
      <c r="I223">
        <v>15</v>
      </c>
      <c r="J223">
        <v>13</v>
      </c>
      <c r="K223">
        <v>13</v>
      </c>
      <c r="L223">
        <v>61</v>
      </c>
      <c r="M223">
        <v>0</v>
      </c>
      <c r="N223">
        <v>41</v>
      </c>
      <c r="O223">
        <v>48</v>
      </c>
      <c r="P223">
        <v>48</v>
      </c>
      <c r="Q223">
        <v>48</v>
      </c>
      <c r="R223">
        <v>585</v>
      </c>
      <c r="S223">
        <v>574</v>
      </c>
      <c r="T223">
        <v>339</v>
      </c>
      <c r="U223">
        <v>429</v>
      </c>
      <c r="V223">
        <v>399</v>
      </c>
      <c r="W223">
        <v>399</v>
      </c>
      <c r="X223">
        <v>17</v>
      </c>
      <c r="Y223">
        <v>60</v>
      </c>
      <c r="Z223">
        <v>584</v>
      </c>
    </row>
    <row r="224" spans="1:26" x14ac:dyDescent="0.25">
      <c r="A224" s="107" t="s">
        <v>551</v>
      </c>
      <c r="B224" t="s">
        <v>168</v>
      </c>
      <c r="C224" t="s">
        <v>288</v>
      </c>
      <c r="D224" t="s">
        <v>49</v>
      </c>
      <c r="E224" t="s">
        <v>50</v>
      </c>
      <c r="F224">
        <v>29</v>
      </c>
      <c r="G224">
        <v>0</v>
      </c>
      <c r="H224">
        <v>25</v>
      </c>
      <c r="I224">
        <v>25</v>
      </c>
      <c r="J224">
        <v>26</v>
      </c>
      <c r="K224">
        <v>26</v>
      </c>
      <c r="L224">
        <v>75</v>
      </c>
      <c r="M224">
        <v>0</v>
      </c>
      <c r="N224">
        <v>62</v>
      </c>
      <c r="O224">
        <v>65</v>
      </c>
      <c r="P224">
        <v>65</v>
      </c>
      <c r="Q224">
        <v>65</v>
      </c>
      <c r="R224" s="3">
        <v>1481</v>
      </c>
      <c r="S224" s="3">
        <v>1459</v>
      </c>
      <c r="T224" s="3">
        <v>920</v>
      </c>
      <c r="U224" s="3">
        <v>1143</v>
      </c>
      <c r="V224" s="3">
        <v>1167</v>
      </c>
      <c r="W224" s="3">
        <v>1167</v>
      </c>
      <c r="X224">
        <v>29</v>
      </c>
      <c r="Y224">
        <v>75</v>
      </c>
      <c r="Z224" s="3">
        <v>1482</v>
      </c>
    </row>
    <row r="225" spans="1:26" x14ac:dyDescent="0.25">
      <c r="A225" s="107"/>
    </row>
    <row r="226" spans="1:26" x14ac:dyDescent="0.25">
      <c r="A226" s="107"/>
      <c r="R226" s="3"/>
      <c r="S226" s="3"/>
      <c r="T226" s="3"/>
      <c r="U226" s="3"/>
      <c r="V226" s="3"/>
      <c r="W226" s="3"/>
      <c r="Z226" s="3"/>
    </row>
    <row r="227" spans="1:26" x14ac:dyDescent="0.25">
      <c r="A227" s="107"/>
    </row>
    <row r="228" spans="1:26" x14ac:dyDescent="0.25">
      <c r="A228" s="107"/>
    </row>
    <row r="229" spans="1:26" x14ac:dyDescent="0.25">
      <c r="A229" s="107"/>
    </row>
    <row r="230" spans="1:26" x14ac:dyDescent="0.25">
      <c r="A230" s="107"/>
      <c r="R230" s="3"/>
      <c r="S230" s="3"/>
      <c r="T230" s="3"/>
      <c r="U230" s="3"/>
      <c r="V230" s="3"/>
      <c r="W230" s="3"/>
      <c r="Z230" s="3"/>
    </row>
    <row r="231" spans="1:26" x14ac:dyDescent="0.25">
      <c r="A231" s="107"/>
    </row>
    <row r="232" spans="1:26" x14ac:dyDescent="0.25">
      <c r="A232" s="107"/>
      <c r="R232" s="3"/>
      <c r="S232" s="3"/>
      <c r="Z232" s="3"/>
    </row>
    <row r="233" spans="1:26" x14ac:dyDescent="0.25">
      <c r="A233" s="107"/>
      <c r="R233" s="3"/>
      <c r="S233" s="3"/>
      <c r="T233" s="3"/>
      <c r="U233" s="3"/>
      <c r="V233" s="3"/>
      <c r="W233" s="3"/>
      <c r="Z233" s="3"/>
    </row>
    <row r="234" spans="1:26" x14ac:dyDescent="0.25">
      <c r="A234" s="107"/>
    </row>
    <row r="235" spans="1:26" x14ac:dyDescent="0.25">
      <c r="A235" s="107"/>
      <c r="R235" s="3"/>
      <c r="S235" s="3"/>
      <c r="Z235" s="3"/>
    </row>
    <row r="236" spans="1:26" x14ac:dyDescent="0.25">
      <c r="A236" s="107"/>
      <c r="R236" s="3"/>
      <c r="S236" s="3"/>
      <c r="U236" s="3"/>
      <c r="Z236" s="3"/>
    </row>
    <row r="237" spans="1:26" x14ac:dyDescent="0.25">
      <c r="A237" s="107"/>
    </row>
    <row r="238" spans="1:26" x14ac:dyDescent="0.25">
      <c r="A238" s="107"/>
    </row>
    <row r="239" spans="1:26" x14ac:dyDescent="0.25">
      <c r="A239" s="107"/>
    </row>
    <row r="240" spans="1:26" x14ac:dyDescent="0.25">
      <c r="A240" s="107"/>
      <c r="R240" s="3"/>
      <c r="S240" s="3"/>
      <c r="Z240" s="3"/>
    </row>
    <row r="241" spans="1:26" x14ac:dyDescent="0.25">
      <c r="A241" s="107"/>
    </row>
    <row r="242" spans="1:26" x14ac:dyDescent="0.25">
      <c r="A242" s="107"/>
    </row>
    <row r="243" spans="1:26" x14ac:dyDescent="0.25">
      <c r="A243" s="107"/>
    </row>
    <row r="244" spans="1:26" x14ac:dyDescent="0.25">
      <c r="A244" s="107"/>
      <c r="R244" s="3"/>
      <c r="S244" s="3"/>
      <c r="T244" s="3"/>
      <c r="U244" s="3"/>
      <c r="V244" s="3"/>
      <c r="W244" s="3"/>
      <c r="Z244" s="3"/>
    </row>
    <row r="245" spans="1:26" x14ac:dyDescent="0.25">
      <c r="A245" s="107"/>
    </row>
    <row r="246" spans="1:26" x14ac:dyDescent="0.25">
      <c r="A246" s="107"/>
    </row>
    <row r="247" spans="1:26" x14ac:dyDescent="0.25">
      <c r="A247" s="107"/>
    </row>
    <row r="248" spans="1:26" x14ac:dyDescent="0.25">
      <c r="A248" s="107"/>
      <c r="R248" s="3"/>
      <c r="S248" s="3"/>
      <c r="U248" s="3"/>
      <c r="V248" s="3"/>
      <c r="W248" s="3"/>
      <c r="Z248" s="3"/>
    </row>
    <row r="249" spans="1:26" x14ac:dyDescent="0.25">
      <c r="A249" s="107"/>
      <c r="R249" s="3"/>
      <c r="S249" s="3"/>
      <c r="T249" s="3"/>
      <c r="U249" s="3"/>
      <c r="V249" s="3"/>
      <c r="W249" s="3"/>
      <c r="Z249" s="3"/>
    </row>
    <row r="250" spans="1:26" x14ac:dyDescent="0.25">
      <c r="A250" s="107"/>
    </row>
    <row r="251" spans="1:26" x14ac:dyDescent="0.25">
      <c r="A251" s="107"/>
    </row>
    <row r="252" spans="1:26" x14ac:dyDescent="0.25">
      <c r="A252" s="107"/>
    </row>
    <row r="253" spans="1:26" x14ac:dyDescent="0.25">
      <c r="A253" s="107"/>
      <c r="R253" s="3"/>
      <c r="S253" s="3"/>
      <c r="T253" s="3"/>
      <c r="U253" s="3"/>
      <c r="V253" s="3"/>
      <c r="W253" s="3"/>
      <c r="Z253" s="3"/>
    </row>
    <row r="254" spans="1:26" x14ac:dyDescent="0.25">
      <c r="A254" s="107"/>
    </row>
    <row r="255" spans="1:26" x14ac:dyDescent="0.2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5"/>
  <sheetViews>
    <sheetView workbookViewId="0">
      <selection activeCell="N2" sqref="N2"/>
    </sheetView>
  </sheetViews>
  <sheetFormatPr defaultRowHeight="15" x14ac:dyDescent="0.25"/>
  <cols>
    <col min="17" max="17" width="16.5703125" customWidth="1"/>
  </cols>
  <sheetData>
    <row r="1" spans="1:19" x14ac:dyDescent="0.25">
      <c r="A1" s="295" t="s">
        <v>472</v>
      </c>
      <c r="B1" s="295" t="s">
        <v>523</v>
      </c>
      <c r="C1" s="295" t="s">
        <v>524</v>
      </c>
      <c r="D1" s="295" t="s">
        <v>525</v>
      </c>
      <c r="E1" s="295" t="s">
        <v>526</v>
      </c>
      <c r="F1" s="295" t="s">
        <v>527</v>
      </c>
      <c r="G1" s="295" t="s">
        <v>528</v>
      </c>
      <c r="H1" s="295" t="s">
        <v>529</v>
      </c>
      <c r="I1" s="295" t="s">
        <v>530</v>
      </c>
      <c r="J1" s="295" t="s">
        <v>531</v>
      </c>
      <c r="K1" s="295" t="s">
        <v>532</v>
      </c>
      <c r="L1" s="295" t="s">
        <v>533</v>
      </c>
      <c r="M1" s="295" t="s">
        <v>534</v>
      </c>
      <c r="N1" s="295" t="s">
        <v>176</v>
      </c>
      <c r="O1" s="295" t="s">
        <v>535</v>
      </c>
      <c r="P1" s="295" t="s">
        <v>536</v>
      </c>
      <c r="Q1" s="295" t="s">
        <v>537</v>
      </c>
      <c r="R1" s="295" t="s">
        <v>538</v>
      </c>
      <c r="S1" s="295" t="s">
        <v>539</v>
      </c>
    </row>
    <row r="2" spans="1:19" x14ac:dyDescent="0.25">
      <c r="A2" s="295" t="s">
        <v>177</v>
      </c>
      <c r="B2" s="297">
        <v>914</v>
      </c>
      <c r="C2" s="297">
        <v>1163</v>
      </c>
      <c r="D2" s="297">
        <v>2077</v>
      </c>
      <c r="E2" s="295">
        <v>238</v>
      </c>
      <c r="F2" s="295">
        <v>80</v>
      </c>
      <c r="G2" s="295">
        <v>58</v>
      </c>
      <c r="H2" s="295">
        <v>34</v>
      </c>
      <c r="I2" s="295">
        <v>104</v>
      </c>
      <c r="J2" s="295">
        <v>37</v>
      </c>
      <c r="K2" s="295">
        <v>22</v>
      </c>
      <c r="L2" s="295">
        <v>21</v>
      </c>
      <c r="M2" s="295">
        <v>353</v>
      </c>
      <c r="N2" s="297">
        <v>9526</v>
      </c>
      <c r="O2" s="295">
        <v>9.5947931975645595</v>
      </c>
      <c r="P2" s="295">
        <v>12.2086920008398</v>
      </c>
      <c r="Q2" s="295">
        <v>21.803485198404299</v>
      </c>
      <c r="R2" s="295">
        <v>2.4984253621666999</v>
      </c>
      <c r="S2" s="295">
        <v>0.83980684442578202</v>
      </c>
    </row>
    <row r="3" spans="1:19" x14ac:dyDescent="0.25">
      <c r="A3" s="286"/>
      <c r="B3" s="287"/>
      <c r="C3" s="287"/>
      <c r="D3" s="287"/>
      <c r="E3" s="286"/>
      <c r="F3" s="286"/>
      <c r="G3" s="286"/>
      <c r="H3" s="286"/>
      <c r="I3" s="286"/>
      <c r="J3" s="286"/>
      <c r="K3" s="286"/>
      <c r="L3" s="286"/>
      <c r="M3" s="286"/>
      <c r="N3" s="287"/>
      <c r="O3" s="286"/>
      <c r="P3" s="286"/>
      <c r="Q3" s="286"/>
      <c r="R3" s="286"/>
      <c r="S3" s="286"/>
    </row>
    <row r="4" spans="1:19" x14ac:dyDescent="0.25">
      <c r="B4" s="3"/>
      <c r="C4" s="3"/>
      <c r="D4" s="3"/>
      <c r="M4" s="3"/>
    </row>
    <row r="5" spans="1:19" x14ac:dyDescent="0.25">
      <c r="B5" s="308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I24" sqref="I24"/>
    </sheetView>
  </sheetViews>
  <sheetFormatPr defaultRowHeight="15" x14ac:dyDescent="0.25"/>
  <sheetData>
    <row r="1" spans="1:7" ht="15.75" thickBot="1" x14ac:dyDescent="0.3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.75" thickBot="1" x14ac:dyDescent="0.3">
      <c r="A2" s="204" t="s">
        <v>167</v>
      </c>
      <c r="B2" s="204" t="s">
        <v>51</v>
      </c>
      <c r="C2" s="204" t="s">
        <v>179</v>
      </c>
      <c r="D2" s="204">
        <v>48</v>
      </c>
      <c r="E2" s="204">
        <v>41</v>
      </c>
      <c r="F2" s="204">
        <v>48</v>
      </c>
      <c r="G2" s="204"/>
    </row>
    <row r="3" spans="1:7" ht="15.75" thickBot="1" x14ac:dyDescent="0.3">
      <c r="A3" s="205" t="s">
        <v>168</v>
      </c>
      <c r="B3" s="205" t="s">
        <v>52</v>
      </c>
      <c r="C3" s="205" t="s">
        <v>179</v>
      </c>
      <c r="D3" s="205">
        <v>703</v>
      </c>
      <c r="E3" s="205">
        <v>565</v>
      </c>
      <c r="F3" s="205">
        <v>703</v>
      </c>
      <c r="G3" s="205"/>
    </row>
    <row r="4" spans="1:7" ht="15.75" thickBot="1" x14ac:dyDescent="0.3">
      <c r="A4" s="206" t="s">
        <v>167</v>
      </c>
      <c r="B4" s="206" t="s">
        <v>52</v>
      </c>
      <c r="C4" s="206" t="s">
        <v>179</v>
      </c>
      <c r="D4" s="206">
        <v>35</v>
      </c>
      <c r="E4" s="206">
        <v>21</v>
      </c>
      <c r="F4" s="206">
        <v>35</v>
      </c>
      <c r="G4" s="206"/>
    </row>
    <row r="5" spans="1:7" ht="15.75" thickBot="1" x14ac:dyDescent="0.3">
      <c r="A5" s="205" t="s">
        <v>71</v>
      </c>
      <c r="B5" s="205" t="s">
        <v>52</v>
      </c>
      <c r="C5" s="205" t="s">
        <v>179</v>
      </c>
      <c r="D5" s="205">
        <v>745</v>
      </c>
      <c r="E5" s="205">
        <v>538</v>
      </c>
      <c r="F5" s="205">
        <v>745</v>
      </c>
      <c r="G5" s="205"/>
    </row>
    <row r="6" spans="1:7" ht="15.75" thickBot="1" x14ac:dyDescent="0.3">
      <c r="A6" s="206" t="s">
        <v>71</v>
      </c>
      <c r="B6" s="206" t="s">
        <v>51</v>
      </c>
      <c r="C6" s="206" t="s">
        <v>179</v>
      </c>
      <c r="D6" s="206">
        <v>1133</v>
      </c>
      <c r="E6" s="206">
        <v>958</v>
      </c>
      <c r="F6" s="206">
        <v>1132</v>
      </c>
      <c r="G6" s="206"/>
    </row>
    <row r="7" spans="1:7" ht="15.75" thickBot="1" x14ac:dyDescent="0.3">
      <c r="A7" s="205" t="s">
        <v>168</v>
      </c>
      <c r="B7" s="205" t="s">
        <v>51</v>
      </c>
      <c r="C7" s="205" t="s">
        <v>179</v>
      </c>
      <c r="D7" s="205">
        <v>1155</v>
      </c>
      <c r="E7" s="205">
        <v>884</v>
      </c>
      <c r="F7" s="205">
        <v>1153</v>
      </c>
      <c r="G7" s="205"/>
    </row>
    <row r="8" spans="1:7" ht="15.75" thickBot="1" x14ac:dyDescent="0.3">
      <c r="A8" s="206" t="s">
        <v>71</v>
      </c>
      <c r="B8" s="206" t="s">
        <v>117</v>
      </c>
      <c r="C8" s="206" t="s">
        <v>179</v>
      </c>
      <c r="D8" s="206">
        <v>403</v>
      </c>
      <c r="E8" s="206">
        <v>266</v>
      </c>
      <c r="F8" s="206">
        <v>402</v>
      </c>
      <c r="G8" s="206"/>
    </row>
    <row r="9" spans="1:7" ht="15.75" thickBot="1" x14ac:dyDescent="0.3">
      <c r="A9" s="207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499</v>
      </c>
    </row>
    <row r="2" spans="1:1" x14ac:dyDescent="0.25">
      <c r="A2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Bansal, Spriha</cp:lastModifiedBy>
  <cp:lastPrinted>2023-03-21T12:57:48Z</cp:lastPrinted>
  <dcterms:created xsi:type="dcterms:W3CDTF">2019-08-12T13:11:40Z</dcterms:created>
  <dcterms:modified xsi:type="dcterms:W3CDTF">2023-12-18T05:34:40Z</dcterms:modified>
</cp:coreProperties>
</file>