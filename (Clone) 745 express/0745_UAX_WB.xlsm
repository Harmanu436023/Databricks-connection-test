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436023\Downloads\"/>
    </mc:Choice>
  </mc:AlternateContent>
  <xr:revisionPtr revIDLastSave="0" documentId="13_ncr:1_{839245F1-4FBE-465A-89E2-F984EDF16211}" xr6:coauthVersionLast="47" xr6:coauthVersionMax="47" xr10:uidLastSave="{00000000-0000-0000-0000-000000000000}"/>
  <bookViews>
    <workbookView xWindow="-120" yWindow="-16320" windowWidth="29040" windowHeight="15720" tabRatio="985" firstSheet="4" activeTab="7" xr2:uid="{00000000-000D-0000-FFFF-FFFF00000000}"/>
  </bookViews>
  <sheets>
    <sheet name="PDF_page" sheetId="5" state="hidden" r:id="rId1"/>
    <sheet name="HTML_NAME" sheetId="23" state="hidden" r:id="rId2"/>
    <sheet name="PAGE_1 (2)" sheetId="27" state="hidden" r:id="rId3"/>
    <sheet name="PAGE_1 (4)" sheetId="31" state="hidden" r:id="rId4"/>
    <sheet name="PAGE_1" sheetId="30" r:id="rId5"/>
    <sheet name="PAGE_1_old" sheetId="7" state="hidden" r:id="rId6"/>
    <sheet name="Pg1" sheetId="34" r:id="rId7"/>
    <sheet name="Pg2" sheetId="36" r:id="rId8"/>
    <sheet name="RANK" sheetId="10" r:id="rId9"/>
    <sheet name="ES_MATRIX" sheetId="12" r:id="rId10"/>
    <sheet name="EX_Goals" sheetId="18" r:id="rId11"/>
    <sheet name="UA_SQL_1" sheetId="6" r:id="rId12"/>
    <sheet name="UA_L7D" sheetId="39" r:id="rId13"/>
    <sheet name="UA_SQL_1_2019" sheetId="38" r:id="rId14"/>
    <sheet name="OA_SQL_1" sheetId="9" r:id="rId15"/>
    <sheet name="CNXL_SQL_2" sheetId="11" r:id="rId16"/>
    <sheet name="RES_CNXL_SQL_3" sheetId="19" r:id="rId17"/>
    <sheet name="SCH_DEP_SQL_4" sheetId="22" r:id="rId18"/>
    <sheet name="DIVERTS_SQL_5_2019" sheetId="41" r:id="rId19"/>
    <sheet name="TOTAL_DIVERTS_SQL_5" sheetId="24" r:id="rId20"/>
    <sheet name="UA_HUB_SQL_7" sheetId="29" r:id="rId21"/>
    <sheet name="UA_SeatCnxl_2019" sheetId="47" r:id="rId22"/>
    <sheet name="UA_Seat_cancels" sheetId="46" r:id="rId23"/>
    <sheet name="RECOVERED_DIVERTS_2019" sheetId="42" r:id="rId24"/>
    <sheet name="OA_SQL_2" sheetId="28" r:id="rId25"/>
    <sheet name="OA_SeatCnxl" sheetId="48" r:id="rId26"/>
    <sheet name="DIVERTS_RECOVERED_SQL_6" sheetId="25" r:id="rId27"/>
    <sheet name="FLIGHTS_NOT_DEPARTED_SQL_8" sheetId="32" r:id="rId28"/>
    <sheet name="REPOSITIONED_FLIGHTS_SQL_13" sheetId="33" r:id="rId29"/>
    <sheet name="UA_Line" sheetId="43" r:id="rId30"/>
    <sheet name="Delays_Info" sheetId="40" r:id="rId31"/>
    <sheet name="Sheet3" sheetId="50" r:id="rId32"/>
    <sheet name="Sheet2" sheetId="45" r:id="rId33"/>
    <sheet name="OA_Line" sheetId="44" r:id="rId34"/>
  </sheets>
  <definedNames>
    <definedName name="_xlnm._FilterDatabase" localSheetId="24" hidden="1">OA_SQL_2!$A$1:$Q$26</definedName>
    <definedName name="_xlnm._FilterDatabase" localSheetId="20" hidden="1">UA_HUB_SQL_7!$A$1:$Y$12</definedName>
    <definedName name="_xlnm.Print_Area" localSheetId="4">PAGE_1!$A$1:$Q$55</definedName>
    <definedName name="_xlnm.Print_Area" localSheetId="2">'PAGE_1 (2)'!$A$1:$Q$44</definedName>
    <definedName name="_xlnm.Print_Area" localSheetId="3">'PAGE_1 (4)'!$A$1:$Q$52</definedName>
    <definedName name="_xlnm.Print_Area" localSheetId="5">PAGE_1_old!$A$1:$Q$52</definedName>
    <definedName name="_xlnm.Print_Area" localSheetId="6">'Pg1'!$A$1:$M$32</definedName>
    <definedName name="_xlnm.Print_Area" localSheetId="7">'Pg2'!$A$1:$R$64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10" l="1"/>
  <c r="P13" i="34" l="1"/>
  <c r="T3" i="34"/>
  <c r="S3" i="34"/>
  <c r="H6" i="34" l="1"/>
  <c r="G6" i="34"/>
  <c r="F6" i="34"/>
  <c r="E6" i="34"/>
  <c r="E5" i="34" l="1"/>
  <c r="D9" i="10" l="1"/>
  <c r="D10" i="10"/>
  <c r="D11" i="10"/>
  <c r="D12" i="10"/>
  <c r="D13" i="10"/>
  <c r="D15" i="10"/>
  <c r="D17" i="10"/>
  <c r="D16" i="10"/>
  <c r="C17" i="10"/>
  <c r="C16" i="10"/>
  <c r="C15" i="10"/>
  <c r="C12" i="10"/>
  <c r="C10" i="10"/>
  <c r="C9" i="10"/>
  <c r="E26" i="10"/>
  <c r="E25" i="10"/>
  <c r="D28" i="10"/>
  <c r="C28" i="10"/>
  <c r="D27" i="10"/>
  <c r="D26" i="10"/>
  <c r="C27" i="10"/>
  <c r="C26" i="10"/>
  <c r="D24" i="10"/>
  <c r="D23" i="10"/>
  <c r="C23" i="10"/>
  <c r="D22" i="10"/>
  <c r="D21" i="10"/>
  <c r="C21" i="10"/>
  <c r="D20" i="10"/>
  <c r="C20" i="10"/>
  <c r="J12" i="10"/>
  <c r="K11" i="10"/>
  <c r="K10" i="10"/>
  <c r="K9" i="10"/>
  <c r="J10" i="10"/>
  <c r="J9" i="10"/>
  <c r="H7" i="34"/>
  <c r="H5" i="34"/>
  <c r="E7" i="34"/>
  <c r="F7" i="34"/>
  <c r="G7" i="34"/>
  <c r="G5" i="34"/>
  <c r="I5" i="34" s="1"/>
  <c r="F5" i="34"/>
  <c r="J7" i="34" l="1"/>
  <c r="I7" i="34"/>
  <c r="R3" i="34"/>
  <c r="U3" i="34" s="1"/>
  <c r="K7" i="34" s="1"/>
  <c r="R2" i="10"/>
  <c r="J5" i="34" s="1"/>
  <c r="T2" i="10" l="1"/>
  <c r="K5" i="34" s="1"/>
  <c r="F8" i="34"/>
  <c r="F9" i="34"/>
  <c r="F10" i="34"/>
  <c r="F11" i="34"/>
  <c r="F12" i="34"/>
  <c r="I2" i="10"/>
  <c r="F30" i="12" l="1"/>
  <c r="Q40" i="36" s="1"/>
  <c r="F29" i="12"/>
  <c r="Q39" i="36" s="1"/>
  <c r="F28" i="12"/>
  <c r="Q38" i="36" s="1"/>
  <c r="F27" i="12"/>
  <c r="Q37" i="36" s="1"/>
  <c r="F26" i="12"/>
  <c r="Q36" i="36" s="1"/>
  <c r="F25" i="12"/>
  <c r="Q35" i="36" s="1"/>
  <c r="B30" i="12"/>
  <c r="Q27" i="36" s="1"/>
  <c r="B29" i="12"/>
  <c r="Q26" i="36" s="1"/>
  <c r="B28" i="12"/>
  <c r="Q25" i="36" s="1"/>
  <c r="B27" i="12"/>
  <c r="Q24" i="36" s="1"/>
  <c r="B26" i="12"/>
  <c r="Q23" i="36" s="1"/>
  <c r="B25" i="12"/>
  <c r="Q22" i="36" s="1"/>
  <c r="Q41" i="36" l="1"/>
  <c r="Q28" i="36"/>
  <c r="D5" i="10" l="1"/>
  <c r="D4" i="10"/>
  <c r="D3" i="10"/>
  <c r="B5" i="10"/>
  <c r="C5" i="10"/>
  <c r="C4" i="10"/>
  <c r="C3" i="10"/>
  <c r="D2" i="10"/>
  <c r="C2" i="10"/>
  <c r="E15" i="10"/>
  <c r="E14" i="10"/>
  <c r="R4" i="10"/>
  <c r="Q4" i="10"/>
  <c r="Q15" i="10"/>
  <c r="Q12" i="10"/>
  <c r="Q10" i="10"/>
  <c r="Q9" i="10"/>
  <c r="P15" i="10"/>
  <c r="P14" i="10"/>
  <c r="P13" i="10"/>
  <c r="P12" i="10"/>
  <c r="P11" i="10"/>
  <c r="P10" i="10"/>
  <c r="P9" i="10"/>
  <c r="P8" i="10"/>
  <c r="F5" i="10" l="1"/>
  <c r="B15" i="10"/>
  <c r="B14" i="10"/>
  <c r="B13" i="10"/>
  <c r="B12" i="10"/>
  <c r="B11" i="10"/>
  <c r="B10" i="10"/>
  <c r="B9" i="10"/>
  <c r="B8" i="10"/>
  <c r="L10" i="36"/>
  <c r="C13" i="10" l="1"/>
  <c r="D12" i="36"/>
  <c r="D11" i="36"/>
  <c r="D10" i="36"/>
  <c r="D9" i="36"/>
  <c r="D8" i="36"/>
  <c r="D7" i="36"/>
  <c r="D6" i="36"/>
  <c r="D5" i="36"/>
  <c r="E12" i="36"/>
  <c r="E11" i="36"/>
  <c r="E10" i="36"/>
  <c r="E9" i="36"/>
  <c r="E8" i="36"/>
  <c r="E7" i="36"/>
  <c r="E6" i="36"/>
  <c r="E13" i="36"/>
  <c r="E14" i="36"/>
  <c r="E5" i="36"/>
  <c r="G24" i="36"/>
  <c r="F24" i="36"/>
  <c r="E24" i="36"/>
  <c r="E10" i="34" l="1"/>
  <c r="D14" i="10"/>
  <c r="C14" i="10"/>
  <c r="M11" i="36" l="1"/>
  <c r="M5" i="36"/>
  <c r="H14" i="36" l="1"/>
  <c r="N13" i="36" l="1"/>
  <c r="H23" i="34" l="1"/>
  <c r="H22" i="34"/>
  <c r="H21" i="34"/>
  <c r="H19" i="34"/>
  <c r="H18" i="34"/>
  <c r="H17" i="34"/>
  <c r="H20" i="34"/>
  <c r="H16" i="34"/>
  <c r="H15" i="34"/>
  <c r="G11" i="36" l="1"/>
  <c r="L5" i="36"/>
  <c r="L11" i="36"/>
  <c r="B28" i="10"/>
  <c r="F28" i="10" s="1"/>
  <c r="B27" i="10"/>
  <c r="B26" i="10"/>
  <c r="F26" i="10" s="1"/>
  <c r="B25" i="10"/>
  <c r="F25" i="10" s="1"/>
  <c r="B24" i="10"/>
  <c r="B23" i="10"/>
  <c r="M9" i="36" s="1"/>
  <c r="B22" i="10"/>
  <c r="F22" i="10" s="1"/>
  <c r="B21" i="10"/>
  <c r="F21" i="10" s="1"/>
  <c r="B20" i="10"/>
  <c r="F20" i="10" s="1"/>
  <c r="B19" i="10"/>
  <c r="B17" i="10"/>
  <c r="B16" i="10"/>
  <c r="F8" i="36"/>
  <c r="C11" i="10"/>
  <c r="G9" i="36"/>
  <c r="G7" i="36"/>
  <c r="R5" i="10"/>
  <c r="R3" i="10"/>
  <c r="Q5" i="10"/>
  <c r="Q3" i="10"/>
  <c r="P4" i="10"/>
  <c r="P5" i="10"/>
  <c r="P3" i="10"/>
  <c r="K14" i="36"/>
  <c r="K13" i="36"/>
  <c r="D14" i="36"/>
  <c r="D13" i="36"/>
  <c r="S25" i="10"/>
  <c r="R25" i="10"/>
  <c r="Q25" i="10"/>
  <c r="P25" i="10"/>
  <c r="T25" i="10" s="1"/>
  <c r="S24" i="10"/>
  <c r="P24" i="10"/>
  <c r="T24" i="10" s="1"/>
  <c r="R23" i="10"/>
  <c r="P23" i="10"/>
  <c r="T23" i="10" s="1"/>
  <c r="R22" i="10"/>
  <c r="Q22" i="10"/>
  <c r="P22" i="10"/>
  <c r="T22" i="10" s="1"/>
  <c r="R21" i="10"/>
  <c r="P21" i="10"/>
  <c r="T21" i="10" s="1"/>
  <c r="R20" i="10"/>
  <c r="Q20" i="10"/>
  <c r="P20" i="10"/>
  <c r="T20" i="10" s="1"/>
  <c r="R19" i="10"/>
  <c r="Q19" i="10"/>
  <c r="P19" i="10"/>
  <c r="T19" i="10" s="1"/>
  <c r="Q26" i="10"/>
  <c r="P26" i="10"/>
  <c r="S15" i="10"/>
  <c r="R15" i="10"/>
  <c r="S14" i="10"/>
  <c r="T14" i="10" s="1"/>
  <c r="R13" i="10"/>
  <c r="T13" i="10" s="1"/>
  <c r="R12" i="10"/>
  <c r="T12" i="10" s="1"/>
  <c r="R11" i="10"/>
  <c r="T11" i="10" s="1"/>
  <c r="R10" i="10"/>
  <c r="T10" i="10" s="1"/>
  <c r="R9" i="10"/>
  <c r="T9" i="10"/>
  <c r="B4" i="10"/>
  <c r="B3" i="10"/>
  <c r="B2" i="10"/>
  <c r="H14" i="34"/>
  <c r="I5" i="36"/>
  <c r="F5" i="36"/>
  <c r="L40" i="36"/>
  <c r="K40" i="36"/>
  <c r="J40" i="36"/>
  <c r="I40" i="36"/>
  <c r="H40" i="36"/>
  <c r="G40" i="36"/>
  <c r="F40" i="36"/>
  <c r="L39" i="36"/>
  <c r="K39" i="36"/>
  <c r="J39" i="36"/>
  <c r="I39" i="36"/>
  <c r="H39" i="36"/>
  <c r="G39" i="36"/>
  <c r="F39" i="36"/>
  <c r="L38" i="36"/>
  <c r="K38" i="36"/>
  <c r="J38" i="36"/>
  <c r="I38" i="36"/>
  <c r="H38" i="36"/>
  <c r="G38" i="36"/>
  <c r="F38" i="36"/>
  <c r="L37" i="36"/>
  <c r="K37" i="36"/>
  <c r="J37" i="36"/>
  <c r="I37" i="36"/>
  <c r="H37" i="36"/>
  <c r="G37" i="36"/>
  <c r="F37" i="36"/>
  <c r="L36" i="36"/>
  <c r="K36" i="36"/>
  <c r="J36" i="36"/>
  <c r="I36" i="36"/>
  <c r="H36" i="36"/>
  <c r="G36" i="36"/>
  <c r="F36" i="36"/>
  <c r="L35" i="36"/>
  <c r="K35" i="36"/>
  <c r="J35" i="36"/>
  <c r="I35" i="36"/>
  <c r="H35" i="36"/>
  <c r="G35" i="36"/>
  <c r="F35" i="36"/>
  <c r="E40" i="36"/>
  <c r="E39" i="36"/>
  <c r="E38" i="36"/>
  <c r="E37" i="36"/>
  <c r="E36" i="36"/>
  <c r="E35" i="36"/>
  <c r="D40" i="36"/>
  <c r="D39" i="36"/>
  <c r="D38" i="36"/>
  <c r="D37" i="36"/>
  <c r="D36" i="36"/>
  <c r="D35" i="36"/>
  <c r="L27" i="36"/>
  <c r="K27" i="36"/>
  <c r="J27" i="36"/>
  <c r="I27" i="36"/>
  <c r="H27" i="36"/>
  <c r="G27" i="36"/>
  <c r="F27" i="36"/>
  <c r="L26" i="36"/>
  <c r="K26" i="36"/>
  <c r="J26" i="36"/>
  <c r="I26" i="36"/>
  <c r="H26" i="36"/>
  <c r="G26" i="36"/>
  <c r="F26" i="36"/>
  <c r="L25" i="36"/>
  <c r="K25" i="36"/>
  <c r="J25" i="36"/>
  <c r="I25" i="36"/>
  <c r="H25" i="36"/>
  <c r="G25" i="36"/>
  <c r="F25" i="36"/>
  <c r="L24" i="36"/>
  <c r="K24" i="36"/>
  <c r="J24" i="36"/>
  <c r="I24" i="36"/>
  <c r="H24" i="36"/>
  <c r="L23" i="36"/>
  <c r="K23" i="36"/>
  <c r="J23" i="36"/>
  <c r="I23" i="36"/>
  <c r="H23" i="36"/>
  <c r="G23" i="36"/>
  <c r="F23" i="36"/>
  <c r="L22" i="36"/>
  <c r="K22" i="36"/>
  <c r="J22" i="36"/>
  <c r="I22" i="36"/>
  <c r="H22" i="36"/>
  <c r="G22" i="36"/>
  <c r="F22" i="36"/>
  <c r="E27" i="36"/>
  <c r="E26" i="36"/>
  <c r="E25" i="36"/>
  <c r="E23" i="36"/>
  <c r="E22" i="36"/>
  <c r="G21" i="34"/>
  <c r="F21" i="34"/>
  <c r="G22" i="34"/>
  <c r="F22" i="34"/>
  <c r="G23" i="34"/>
  <c r="F23" i="34"/>
  <c r="E23" i="34"/>
  <c r="E22" i="34"/>
  <c r="E21" i="34"/>
  <c r="G20" i="34"/>
  <c r="E20" i="34"/>
  <c r="F20" i="34"/>
  <c r="G19" i="34"/>
  <c r="G18" i="34"/>
  <c r="F19" i="34"/>
  <c r="E19" i="34"/>
  <c r="F18" i="34"/>
  <c r="E18" i="34"/>
  <c r="G17" i="34"/>
  <c r="F17" i="34"/>
  <c r="E17" i="34"/>
  <c r="I8" i="34" l="1"/>
  <c r="F27" i="10"/>
  <c r="O13" i="36" s="1"/>
  <c r="O14" i="36"/>
  <c r="M10" i="36"/>
  <c r="F24" i="10"/>
  <c r="L12" i="36"/>
  <c r="F23" i="10"/>
  <c r="T15" i="10"/>
  <c r="M6" i="36"/>
  <c r="L6" i="36"/>
  <c r="M7" i="36"/>
  <c r="L7" i="36"/>
  <c r="J9" i="34"/>
  <c r="I9" i="34"/>
  <c r="J8" i="34"/>
  <c r="J10" i="34"/>
  <c r="I10" i="34"/>
  <c r="L8" i="36"/>
  <c r="M8" i="36"/>
  <c r="M12" i="36"/>
  <c r="H11" i="36"/>
  <c r="H12" i="36"/>
  <c r="L9" i="36"/>
  <c r="N11" i="36"/>
  <c r="G14" i="36"/>
  <c r="F14" i="36"/>
  <c r="L14" i="36"/>
  <c r="M14" i="36"/>
  <c r="F13" i="36"/>
  <c r="G13" i="36"/>
  <c r="L13" i="36"/>
  <c r="M13" i="36"/>
  <c r="N12" i="36"/>
  <c r="F16" i="10"/>
  <c r="I13" i="36" s="1"/>
  <c r="N23" i="36"/>
  <c r="N25" i="36"/>
  <c r="N27" i="36"/>
  <c r="N36" i="36"/>
  <c r="N38" i="36"/>
  <c r="N40" i="36"/>
  <c r="N37" i="36"/>
  <c r="N39" i="36"/>
  <c r="N35" i="36"/>
  <c r="N22" i="36"/>
  <c r="N24" i="36"/>
  <c r="N26" i="36"/>
  <c r="F17" i="10"/>
  <c r="I14" i="36" s="1"/>
  <c r="F7" i="36"/>
  <c r="F9" i="36"/>
  <c r="G8" i="36"/>
  <c r="G10" i="36"/>
  <c r="G12" i="36"/>
  <c r="F12" i="36"/>
  <c r="F6" i="36"/>
  <c r="G6" i="36"/>
  <c r="T3" i="10"/>
  <c r="K8" i="34" s="1"/>
  <c r="T4" i="10"/>
  <c r="K10" i="34" s="1"/>
  <c r="T5" i="10"/>
  <c r="K9" i="34" s="1"/>
  <c r="D27" i="36"/>
  <c r="D26" i="36"/>
  <c r="D25" i="36"/>
  <c r="D24" i="36"/>
  <c r="D23" i="36"/>
  <c r="D22" i="36"/>
  <c r="K12" i="36"/>
  <c r="K11" i="36"/>
  <c r="K10" i="36"/>
  <c r="K9" i="36"/>
  <c r="K8" i="36"/>
  <c r="K7" i="36"/>
  <c r="K6" i="36"/>
  <c r="K5" i="36"/>
  <c r="G16" i="34"/>
  <c r="F16" i="34"/>
  <c r="E16" i="34"/>
  <c r="G15" i="34"/>
  <c r="G14" i="34"/>
  <c r="F15" i="34"/>
  <c r="F14" i="34"/>
  <c r="E15" i="34"/>
  <c r="E14" i="34"/>
  <c r="E29" i="34"/>
  <c r="E28" i="34"/>
  <c r="F27" i="34"/>
  <c r="E27" i="34"/>
  <c r="F26" i="34"/>
  <c r="E26" i="34"/>
  <c r="E12" i="34"/>
  <c r="E11" i="34"/>
  <c r="E9" i="34"/>
  <c r="E8" i="34"/>
  <c r="P3" i="34"/>
  <c r="H12" i="34"/>
  <c r="H11" i="34"/>
  <c r="H10" i="34"/>
  <c r="H9" i="34"/>
  <c r="H8" i="34"/>
  <c r="G12" i="34"/>
  <c r="G11" i="34"/>
  <c r="G10" i="34"/>
  <c r="G8" i="34"/>
  <c r="G9" i="34"/>
  <c r="P4" i="34" l="1"/>
  <c r="G26" i="34" s="1"/>
  <c r="C15" i="30"/>
  <c r="C14" i="30"/>
  <c r="C12" i="30"/>
  <c r="C11" i="30"/>
  <c r="C10" i="30"/>
  <c r="C9" i="30"/>
  <c r="C8" i="30"/>
  <c r="C7" i="30"/>
  <c r="M41" i="36"/>
  <c r="K41" i="36"/>
  <c r="I41" i="36"/>
  <c r="G41" i="36"/>
  <c r="M28" i="36"/>
  <c r="K28" i="36"/>
  <c r="I28" i="36"/>
  <c r="G28" i="36"/>
  <c r="K6" i="34"/>
  <c r="J6" i="34"/>
  <c r="I6" i="34"/>
  <c r="G27" i="34" l="1"/>
  <c r="H27" i="34"/>
  <c r="H26" i="34"/>
  <c r="D28" i="36"/>
  <c r="F28" i="36"/>
  <c r="H28" i="36"/>
  <c r="J28" i="36"/>
  <c r="L28" i="36"/>
  <c r="N28" i="36"/>
  <c r="D41" i="36"/>
  <c r="F41" i="36"/>
  <c r="H41" i="36"/>
  <c r="J41" i="36"/>
  <c r="L41" i="36"/>
  <c r="N41" i="36"/>
  <c r="E28" i="36"/>
  <c r="E41" i="36"/>
  <c r="D8" i="30" l="1"/>
  <c r="D20" i="30"/>
  <c r="J49" i="30" l="1"/>
  <c r="J48" i="30"/>
  <c r="J47" i="30"/>
  <c r="J46" i="30"/>
  <c r="J45" i="30"/>
  <c r="J44" i="30"/>
  <c r="J37" i="30"/>
  <c r="J36" i="30"/>
  <c r="J35" i="30"/>
  <c r="J34" i="30"/>
  <c r="J33" i="30"/>
  <c r="J32" i="30"/>
  <c r="H37" i="30"/>
  <c r="H36" i="30"/>
  <c r="H35" i="30"/>
  <c r="H34" i="30"/>
  <c r="H33" i="30"/>
  <c r="H32" i="30"/>
  <c r="F48" i="30" l="1"/>
  <c r="F47" i="30"/>
  <c r="F46" i="30"/>
  <c r="F45" i="30"/>
  <c r="F44" i="30"/>
  <c r="E49" i="30"/>
  <c r="E48" i="30"/>
  <c r="E47" i="30"/>
  <c r="E46" i="30"/>
  <c r="E45" i="30"/>
  <c r="E44" i="30"/>
  <c r="D49" i="30"/>
  <c r="D48" i="30"/>
  <c r="D47" i="30"/>
  <c r="D46" i="30"/>
  <c r="D45" i="30"/>
  <c r="D44" i="30"/>
  <c r="C49" i="30"/>
  <c r="C48" i="30"/>
  <c r="C47" i="30"/>
  <c r="C46" i="30"/>
  <c r="C45" i="30"/>
  <c r="C44" i="30"/>
  <c r="E37" i="30"/>
  <c r="E36" i="30"/>
  <c r="E35" i="30"/>
  <c r="E34" i="30"/>
  <c r="E33" i="30"/>
  <c r="E32" i="30"/>
  <c r="D34" i="30"/>
  <c r="D36" i="30"/>
  <c r="D37" i="30"/>
  <c r="D35" i="30"/>
  <c r="D33" i="30"/>
  <c r="D32" i="30"/>
  <c r="C37" i="30"/>
  <c r="C36" i="30"/>
  <c r="C35" i="30"/>
  <c r="C34" i="30"/>
  <c r="C33" i="30"/>
  <c r="C32" i="30"/>
  <c r="D50" i="30" l="1"/>
  <c r="L26" i="10"/>
  <c r="L25" i="10"/>
  <c r="L15" i="10"/>
  <c r="I24" i="30" l="1"/>
  <c r="D24" i="30"/>
  <c r="C24" i="30"/>
  <c r="I21" i="30"/>
  <c r="D21" i="30"/>
  <c r="C21" i="30"/>
  <c r="I13" i="10" l="1"/>
  <c r="K13" i="10"/>
  <c r="M13" i="10" l="1"/>
  <c r="L27" i="30" l="1"/>
  <c r="K27" i="30"/>
  <c r="J27" i="30"/>
  <c r="I27" i="30"/>
  <c r="K22" i="30"/>
  <c r="K26" i="10"/>
  <c r="J26" i="10"/>
  <c r="I26" i="10"/>
  <c r="K15" i="10"/>
  <c r="K12" i="10"/>
  <c r="J15" i="10"/>
  <c r="I15" i="10"/>
  <c r="G27" i="30"/>
  <c r="F27" i="30"/>
  <c r="F25" i="30"/>
  <c r="O27" i="30"/>
  <c r="N27" i="30"/>
  <c r="E27" i="30"/>
  <c r="E24" i="30"/>
  <c r="C27" i="30"/>
  <c r="M15" i="10" l="1"/>
  <c r="F15" i="10"/>
  <c r="M26" i="10"/>
  <c r="D27" i="30"/>
  <c r="C26" i="30"/>
  <c r="M27" i="30" l="1"/>
  <c r="O12" i="36"/>
  <c r="H27" i="30"/>
  <c r="I12" i="36"/>
  <c r="P49" i="30"/>
  <c r="J21" i="12" l="1"/>
  <c r="J20" i="12"/>
  <c r="J19" i="12"/>
  <c r="J17" i="12"/>
  <c r="J16" i="12"/>
  <c r="J15" i="12"/>
  <c r="J14" i="12"/>
  <c r="J18" i="12"/>
  <c r="J10" i="12"/>
  <c r="J9" i="12"/>
  <c r="J8" i="12"/>
  <c r="J7" i="12"/>
  <c r="J5" i="12"/>
  <c r="J4" i="12"/>
  <c r="J3" i="12"/>
  <c r="J6" i="12"/>
  <c r="I3" i="12"/>
  <c r="N26" i="30" l="1"/>
  <c r="Q5" i="30" l="1"/>
  <c r="L14" i="10" l="1"/>
  <c r="L26" i="30"/>
  <c r="G26" i="30"/>
  <c r="D26" i="30"/>
  <c r="P50" i="31"/>
  <c r="L50" i="31"/>
  <c r="K50" i="31"/>
  <c r="J50" i="31"/>
  <c r="I50" i="31"/>
  <c r="H50" i="31"/>
  <c r="G50" i="31"/>
  <c r="F50" i="31"/>
  <c r="E50" i="31"/>
  <c r="D50" i="31"/>
  <c r="C50" i="31"/>
  <c r="P49" i="31"/>
  <c r="L49" i="31"/>
  <c r="K49" i="31"/>
  <c r="J49" i="31"/>
  <c r="I49" i="31"/>
  <c r="H49" i="31"/>
  <c r="G49" i="31"/>
  <c r="F49" i="31"/>
  <c r="E49" i="31"/>
  <c r="D49" i="31"/>
  <c r="C49" i="31"/>
  <c r="P48" i="31"/>
  <c r="L48" i="31"/>
  <c r="K48" i="31"/>
  <c r="J48" i="31"/>
  <c r="I48" i="31"/>
  <c r="H48" i="31"/>
  <c r="G48" i="31"/>
  <c r="F48" i="31"/>
  <c r="E48" i="31"/>
  <c r="D48" i="31"/>
  <c r="C48" i="31"/>
  <c r="P47" i="31"/>
  <c r="L47" i="31"/>
  <c r="K47" i="31"/>
  <c r="J47" i="31"/>
  <c r="I47" i="31"/>
  <c r="H47" i="31"/>
  <c r="G47" i="31"/>
  <c r="F47" i="31"/>
  <c r="E47" i="31"/>
  <c r="D47" i="31"/>
  <c r="C47" i="31"/>
  <c r="P46" i="31"/>
  <c r="L46" i="31"/>
  <c r="K46" i="31"/>
  <c r="J46" i="31"/>
  <c r="I46" i="31"/>
  <c r="H46" i="31"/>
  <c r="G46" i="31"/>
  <c r="F46" i="31"/>
  <c r="E46" i="31"/>
  <c r="D46" i="31"/>
  <c r="C46" i="31"/>
  <c r="P45" i="31"/>
  <c r="L45" i="31"/>
  <c r="K45" i="31"/>
  <c r="J45" i="31"/>
  <c r="I45" i="31"/>
  <c r="H45" i="31"/>
  <c r="G45" i="31"/>
  <c r="F45" i="31"/>
  <c r="E45" i="31"/>
  <c r="D45" i="31"/>
  <c r="C45" i="31"/>
  <c r="P44" i="31"/>
  <c r="L44" i="31"/>
  <c r="K44" i="31"/>
  <c r="J44" i="31"/>
  <c r="I44" i="31"/>
  <c r="H44" i="31"/>
  <c r="G44" i="31"/>
  <c r="F44" i="31"/>
  <c r="E44" i="31"/>
  <c r="D44" i="31"/>
  <c r="C44" i="31"/>
  <c r="P43" i="31"/>
  <c r="L43" i="31"/>
  <c r="K43" i="31"/>
  <c r="J43" i="31"/>
  <c r="I43" i="31"/>
  <c r="H43" i="31"/>
  <c r="G43" i="31"/>
  <c r="F43" i="31"/>
  <c r="E43" i="31"/>
  <c r="D43" i="31"/>
  <c r="C43" i="31"/>
  <c r="P36" i="31"/>
  <c r="L36" i="31"/>
  <c r="K36" i="31"/>
  <c r="J36" i="31"/>
  <c r="I36" i="31"/>
  <c r="H36" i="31"/>
  <c r="G36" i="31"/>
  <c r="F36" i="31"/>
  <c r="E36" i="31"/>
  <c r="D36" i="31"/>
  <c r="C36" i="31"/>
  <c r="P35" i="31"/>
  <c r="L35" i="31"/>
  <c r="K35" i="31"/>
  <c r="J35" i="31"/>
  <c r="I35" i="31"/>
  <c r="H35" i="31"/>
  <c r="G35" i="31"/>
  <c r="F35" i="31"/>
  <c r="E35" i="31"/>
  <c r="D35" i="31"/>
  <c r="C35" i="31"/>
  <c r="P34" i="31"/>
  <c r="L34" i="31"/>
  <c r="K34" i="31"/>
  <c r="J34" i="31"/>
  <c r="I34" i="31"/>
  <c r="H34" i="31"/>
  <c r="G34" i="31"/>
  <c r="F34" i="31"/>
  <c r="E34" i="31"/>
  <c r="D34" i="31"/>
  <c r="C34" i="31"/>
  <c r="P33" i="31"/>
  <c r="L33" i="31"/>
  <c r="K33" i="31"/>
  <c r="J33" i="31"/>
  <c r="I33" i="31"/>
  <c r="H33" i="31"/>
  <c r="G33" i="31"/>
  <c r="F33" i="31"/>
  <c r="E33" i="31"/>
  <c r="D33" i="31"/>
  <c r="C33" i="31"/>
  <c r="P32" i="31"/>
  <c r="L32" i="31"/>
  <c r="K32" i="31"/>
  <c r="J32" i="31"/>
  <c r="I32" i="31"/>
  <c r="H32" i="31"/>
  <c r="G32" i="31"/>
  <c r="F32" i="31"/>
  <c r="E32" i="31"/>
  <c r="D32" i="31"/>
  <c r="C32" i="31"/>
  <c r="P31" i="31"/>
  <c r="L31" i="31"/>
  <c r="K31" i="31"/>
  <c r="J31" i="31"/>
  <c r="I31" i="31"/>
  <c r="H31" i="31"/>
  <c r="G31" i="31"/>
  <c r="F31" i="31"/>
  <c r="E31" i="31"/>
  <c r="D31" i="31"/>
  <c r="C31" i="31"/>
  <c r="P30" i="31"/>
  <c r="L30" i="31"/>
  <c r="K30" i="31"/>
  <c r="J30" i="31"/>
  <c r="I30" i="31"/>
  <c r="H30" i="31"/>
  <c r="G30" i="31"/>
  <c r="F30" i="31"/>
  <c r="E30" i="31"/>
  <c r="D30" i="31"/>
  <c r="C30" i="31"/>
  <c r="P29" i="31"/>
  <c r="L29" i="31"/>
  <c r="K29" i="31"/>
  <c r="J29" i="31"/>
  <c r="I29" i="31"/>
  <c r="H29" i="31"/>
  <c r="G29" i="31"/>
  <c r="F29" i="31"/>
  <c r="E29" i="31"/>
  <c r="D29" i="31"/>
  <c r="C29" i="31"/>
  <c r="H24" i="31"/>
  <c r="D24" i="31"/>
  <c r="C24" i="31"/>
  <c r="J23" i="31"/>
  <c r="H23" i="31"/>
  <c r="D23" i="31"/>
  <c r="C23" i="31"/>
  <c r="J22" i="31"/>
  <c r="I22" i="31"/>
  <c r="H22" i="31"/>
  <c r="D22" i="31"/>
  <c r="C22" i="31"/>
  <c r="J21" i="31"/>
  <c r="H21" i="31"/>
  <c r="D21" i="31"/>
  <c r="C21" i="31"/>
  <c r="J20" i="31"/>
  <c r="I20" i="31"/>
  <c r="H20" i="31"/>
  <c r="D20" i="31"/>
  <c r="C20" i="31"/>
  <c r="J19" i="31"/>
  <c r="I19" i="31"/>
  <c r="H19" i="31"/>
  <c r="D19" i="31"/>
  <c r="C19" i="31"/>
  <c r="H18" i="31"/>
  <c r="D18" i="31"/>
  <c r="C18" i="31"/>
  <c r="D13" i="31"/>
  <c r="C13" i="31"/>
  <c r="D12" i="31"/>
  <c r="C12" i="31"/>
  <c r="E11" i="31"/>
  <c r="D11" i="31"/>
  <c r="C11" i="31"/>
  <c r="E10" i="31"/>
  <c r="D10" i="31"/>
  <c r="C10" i="31"/>
  <c r="E9" i="31"/>
  <c r="D9" i="31"/>
  <c r="C9" i="31"/>
  <c r="G8" i="31"/>
  <c r="F8" i="31"/>
  <c r="E8" i="31"/>
  <c r="D8" i="31"/>
  <c r="C8" i="31"/>
  <c r="G7" i="31"/>
  <c r="F7" i="31"/>
  <c r="E7" i="31"/>
  <c r="D7" i="31"/>
  <c r="C7" i="31"/>
  <c r="G6" i="31"/>
  <c r="F6" i="31"/>
  <c r="E6" i="31"/>
  <c r="D6" i="31"/>
  <c r="C6" i="31"/>
  <c r="C5" i="31"/>
  <c r="D2" i="31"/>
  <c r="K51" i="31" l="1"/>
  <c r="D37" i="31"/>
  <c r="L37" i="31"/>
  <c r="C51" i="31"/>
  <c r="C37" i="31"/>
  <c r="L51" i="31"/>
  <c r="J51" i="31"/>
  <c r="E37" i="31"/>
  <c r="K37" i="31"/>
  <c r="F37" i="31"/>
  <c r="J37" i="31"/>
  <c r="M43" i="31"/>
  <c r="M45" i="31"/>
  <c r="M47" i="31"/>
  <c r="M49" i="31"/>
  <c r="E51" i="31"/>
  <c r="F51" i="31"/>
  <c r="G51" i="31"/>
  <c r="M44" i="31"/>
  <c r="M48" i="31"/>
  <c r="M50" i="31"/>
  <c r="P51" i="31"/>
  <c r="H51" i="31"/>
  <c r="I51" i="31"/>
  <c r="M46" i="31"/>
  <c r="M31" i="31"/>
  <c r="M33" i="31"/>
  <c r="M35" i="31"/>
  <c r="P37" i="31"/>
  <c r="G37" i="31"/>
  <c r="H37" i="31"/>
  <c r="M30" i="31"/>
  <c r="M34" i="31"/>
  <c r="I37" i="31"/>
  <c r="M32" i="31"/>
  <c r="M36" i="31"/>
  <c r="M29" i="31"/>
  <c r="D51" i="31"/>
  <c r="E21" i="30"/>
  <c r="L49" i="30"/>
  <c r="K49" i="30"/>
  <c r="I49" i="30"/>
  <c r="H49" i="30"/>
  <c r="G49" i="30"/>
  <c r="F49" i="30"/>
  <c r="P48" i="30"/>
  <c r="L48" i="30"/>
  <c r="K48" i="30"/>
  <c r="I48" i="30"/>
  <c r="H48" i="30"/>
  <c r="G48" i="30"/>
  <c r="P47" i="30"/>
  <c r="L47" i="30"/>
  <c r="K47" i="30"/>
  <c r="I47" i="30"/>
  <c r="H47" i="30"/>
  <c r="G47" i="30"/>
  <c r="P46" i="30"/>
  <c r="L46" i="30"/>
  <c r="K46" i="30"/>
  <c r="I46" i="30"/>
  <c r="H46" i="30"/>
  <c r="G46" i="30"/>
  <c r="P45" i="30"/>
  <c r="L45" i="30"/>
  <c r="K45" i="30"/>
  <c r="I45" i="30"/>
  <c r="H45" i="30"/>
  <c r="G45" i="30"/>
  <c r="P44" i="30"/>
  <c r="L44" i="30"/>
  <c r="K44" i="30"/>
  <c r="I44" i="30"/>
  <c r="H44" i="30"/>
  <c r="G44" i="30"/>
  <c r="P37" i="30"/>
  <c r="L37" i="30"/>
  <c r="K37" i="30"/>
  <c r="I37" i="30"/>
  <c r="G37" i="30"/>
  <c r="F37" i="30"/>
  <c r="P36" i="30"/>
  <c r="L36" i="30"/>
  <c r="K36" i="30"/>
  <c r="I36" i="30"/>
  <c r="G36" i="30"/>
  <c r="F36" i="30"/>
  <c r="P35" i="30"/>
  <c r="L35" i="30"/>
  <c r="K35" i="30"/>
  <c r="I35" i="30"/>
  <c r="G35" i="30"/>
  <c r="F35" i="30"/>
  <c r="P34" i="30"/>
  <c r="L34" i="30"/>
  <c r="K34" i="30"/>
  <c r="I34" i="30"/>
  <c r="G34" i="30"/>
  <c r="F34" i="30"/>
  <c r="P33" i="30"/>
  <c r="L33" i="30"/>
  <c r="K33" i="30"/>
  <c r="I33" i="30"/>
  <c r="G33" i="30"/>
  <c r="F33" i="30"/>
  <c r="P32" i="30"/>
  <c r="L32" i="30"/>
  <c r="K32" i="30"/>
  <c r="I32" i="30"/>
  <c r="G32" i="30"/>
  <c r="F32" i="30"/>
  <c r="I26" i="30"/>
  <c r="K25" i="30"/>
  <c r="I25" i="30"/>
  <c r="D25" i="30"/>
  <c r="C25" i="30"/>
  <c r="K24" i="30"/>
  <c r="J24" i="30"/>
  <c r="F24" i="30"/>
  <c r="K23" i="30"/>
  <c r="I23" i="30"/>
  <c r="F23" i="30"/>
  <c r="D23" i="30"/>
  <c r="C23" i="30"/>
  <c r="J22" i="30"/>
  <c r="I22" i="30"/>
  <c r="F22" i="30"/>
  <c r="E22" i="30"/>
  <c r="D22" i="30"/>
  <c r="C22" i="30"/>
  <c r="K21" i="30"/>
  <c r="J21" i="30"/>
  <c r="F21" i="30"/>
  <c r="I20" i="30"/>
  <c r="C20" i="30"/>
  <c r="D13" i="30"/>
  <c r="C13" i="30"/>
  <c r="D12" i="30"/>
  <c r="D11" i="30"/>
  <c r="D10" i="30"/>
  <c r="D9" i="30"/>
  <c r="G8" i="30"/>
  <c r="F8" i="30"/>
  <c r="G7" i="30"/>
  <c r="F7" i="30"/>
  <c r="D7" i="30"/>
  <c r="G6" i="30"/>
  <c r="F6" i="30"/>
  <c r="D6" i="30"/>
  <c r="C6" i="30"/>
  <c r="C5" i="30"/>
  <c r="D2" i="30"/>
  <c r="K20" i="10"/>
  <c r="K21" i="10"/>
  <c r="K22" i="10"/>
  <c r="K23" i="10"/>
  <c r="K24" i="10"/>
  <c r="J19" i="10"/>
  <c r="J20" i="10"/>
  <c r="J21" i="10"/>
  <c r="J23" i="10"/>
  <c r="I20" i="10"/>
  <c r="I21" i="10"/>
  <c r="I22" i="10"/>
  <c r="I23" i="10"/>
  <c r="I24" i="10"/>
  <c r="I25" i="10"/>
  <c r="I19" i="10"/>
  <c r="H18" i="7"/>
  <c r="I9" i="10"/>
  <c r="I10" i="10"/>
  <c r="I11" i="10"/>
  <c r="I12" i="10"/>
  <c r="I14" i="10"/>
  <c r="M14" i="10" s="1"/>
  <c r="I8" i="10"/>
  <c r="F13" i="10"/>
  <c r="F14" i="10"/>
  <c r="I11" i="36" s="1"/>
  <c r="G18" i="7"/>
  <c r="J19" i="7"/>
  <c r="J20" i="7"/>
  <c r="J21" i="7"/>
  <c r="J22" i="7"/>
  <c r="J23" i="7"/>
  <c r="J24" i="7"/>
  <c r="J18" i="7"/>
  <c r="I19" i="7"/>
  <c r="I20" i="7"/>
  <c r="I21" i="7"/>
  <c r="I22" i="7"/>
  <c r="I23" i="7"/>
  <c r="I24" i="7"/>
  <c r="I18" i="7"/>
  <c r="F19" i="7"/>
  <c r="F20" i="7"/>
  <c r="F21" i="7"/>
  <c r="F22" i="7"/>
  <c r="F23" i="7"/>
  <c r="F24" i="7"/>
  <c r="F18" i="7"/>
  <c r="E18" i="7"/>
  <c r="E19" i="7"/>
  <c r="E20" i="7"/>
  <c r="E21" i="7"/>
  <c r="E22" i="7"/>
  <c r="E23" i="7"/>
  <c r="E24" i="7"/>
  <c r="F8" i="7"/>
  <c r="F7" i="7"/>
  <c r="F6" i="7"/>
  <c r="H19" i="7"/>
  <c r="H20" i="7"/>
  <c r="H21" i="7"/>
  <c r="H22" i="7"/>
  <c r="H23" i="7"/>
  <c r="H24" i="7"/>
  <c r="D19" i="7"/>
  <c r="D20" i="7"/>
  <c r="D21" i="7"/>
  <c r="D22" i="7"/>
  <c r="D23" i="7"/>
  <c r="D24" i="7"/>
  <c r="D18" i="7"/>
  <c r="C19" i="7"/>
  <c r="C20" i="7"/>
  <c r="C21" i="7"/>
  <c r="C22" i="7"/>
  <c r="C23" i="7"/>
  <c r="C24" i="7"/>
  <c r="C18" i="7"/>
  <c r="H25" i="30" l="1"/>
  <c r="I10" i="36"/>
  <c r="M32" i="30"/>
  <c r="M33" i="30"/>
  <c r="M34" i="30"/>
  <c r="M35" i="30"/>
  <c r="M36" i="30"/>
  <c r="M37" i="30"/>
  <c r="M21" i="10"/>
  <c r="K20" i="7" s="1"/>
  <c r="M9" i="10"/>
  <c r="O10" i="36"/>
  <c r="M12" i="10"/>
  <c r="M23" i="10"/>
  <c r="K22" i="7" s="1"/>
  <c r="F11" i="10"/>
  <c r="O11" i="36"/>
  <c r="M20" i="10"/>
  <c r="K19" i="7" s="1"/>
  <c r="M19" i="10"/>
  <c r="K18" i="7" s="1"/>
  <c r="M25" i="10"/>
  <c r="K24" i="7" s="1"/>
  <c r="M11" i="10"/>
  <c r="O8" i="36"/>
  <c r="M10" i="10"/>
  <c r="M24" i="10"/>
  <c r="K23" i="7" s="1"/>
  <c r="O6" i="36"/>
  <c r="M22" i="10"/>
  <c r="K21" i="7" s="1"/>
  <c r="F9" i="10"/>
  <c r="F12" i="10"/>
  <c r="F10" i="10"/>
  <c r="I7" i="36" s="1"/>
  <c r="K38" i="30"/>
  <c r="K50" i="30"/>
  <c r="E38" i="30"/>
  <c r="C50" i="30"/>
  <c r="C38" i="30"/>
  <c r="E50" i="30"/>
  <c r="M51" i="31"/>
  <c r="H26" i="30"/>
  <c r="G23" i="31"/>
  <c r="J38" i="30"/>
  <c r="J50" i="30"/>
  <c r="D38" i="30"/>
  <c r="L38" i="30"/>
  <c r="L50" i="30"/>
  <c r="M37" i="31"/>
  <c r="I38" i="30"/>
  <c r="I50" i="30"/>
  <c r="M46" i="30"/>
  <c r="M48" i="30"/>
  <c r="F38" i="30"/>
  <c r="P38" i="30"/>
  <c r="F50" i="30"/>
  <c r="P50" i="30"/>
  <c r="G38" i="30"/>
  <c r="G50" i="30"/>
  <c r="H38" i="30"/>
  <c r="H50" i="30"/>
  <c r="M44" i="30"/>
  <c r="M45" i="30"/>
  <c r="M47" i="30"/>
  <c r="M49" i="30"/>
  <c r="K20" i="31" l="1"/>
  <c r="O7" i="36"/>
  <c r="M24" i="30"/>
  <c r="O9" i="36"/>
  <c r="H24" i="30"/>
  <c r="I9" i="36"/>
  <c r="G21" i="7"/>
  <c r="I8" i="36"/>
  <c r="H21" i="30"/>
  <c r="I6" i="36"/>
  <c r="M38" i="30"/>
  <c r="K19" i="31"/>
  <c r="M21" i="30"/>
  <c r="G24" i="7"/>
  <c r="G23" i="7"/>
  <c r="M22" i="30"/>
  <c r="H23" i="30"/>
  <c r="G21" i="31"/>
  <c r="K21" i="31"/>
  <c r="M23" i="30"/>
  <c r="G19" i="7"/>
  <c r="G19" i="31"/>
  <c r="G22" i="7"/>
  <c r="G22" i="31"/>
  <c r="K22" i="31"/>
  <c r="G20" i="7"/>
  <c r="G20" i="31"/>
  <c r="H22" i="30"/>
  <c r="K23" i="31"/>
  <c r="M25" i="30"/>
  <c r="M50" i="30"/>
  <c r="P42" i="27" l="1"/>
  <c r="L42" i="27"/>
  <c r="K42" i="27"/>
  <c r="J42" i="27"/>
  <c r="I42" i="27"/>
  <c r="H42" i="27"/>
  <c r="G42" i="27"/>
  <c r="F42" i="27"/>
  <c r="E42" i="27"/>
  <c r="D42" i="27"/>
  <c r="C42" i="27"/>
  <c r="P41" i="27"/>
  <c r="L41" i="27"/>
  <c r="K41" i="27"/>
  <c r="J41" i="27"/>
  <c r="I41" i="27"/>
  <c r="H41" i="27"/>
  <c r="G41" i="27"/>
  <c r="F41" i="27"/>
  <c r="E41" i="27"/>
  <c r="D41" i="27"/>
  <c r="C41" i="27"/>
  <c r="P40" i="27"/>
  <c r="L40" i="27"/>
  <c r="K40" i="27"/>
  <c r="J40" i="27"/>
  <c r="I40" i="27"/>
  <c r="H40" i="27"/>
  <c r="G40" i="27"/>
  <c r="F40" i="27"/>
  <c r="E40" i="27"/>
  <c r="D40" i="27"/>
  <c r="C40" i="27"/>
  <c r="P39" i="27"/>
  <c r="L39" i="27"/>
  <c r="K39" i="27"/>
  <c r="J39" i="27"/>
  <c r="I39" i="27"/>
  <c r="H39" i="27"/>
  <c r="G39" i="27"/>
  <c r="F39" i="27"/>
  <c r="E39" i="27"/>
  <c r="D39" i="27"/>
  <c r="C39" i="27"/>
  <c r="P38" i="27"/>
  <c r="L38" i="27"/>
  <c r="K38" i="27"/>
  <c r="J38" i="27"/>
  <c r="I38" i="27"/>
  <c r="H38" i="27"/>
  <c r="G38" i="27"/>
  <c r="F38" i="27"/>
  <c r="E38" i="27"/>
  <c r="D38" i="27"/>
  <c r="C38" i="27"/>
  <c r="P37" i="27"/>
  <c r="L37" i="27"/>
  <c r="K37" i="27"/>
  <c r="J37" i="27"/>
  <c r="I37" i="27"/>
  <c r="H37" i="27"/>
  <c r="G37" i="27"/>
  <c r="F37" i="27"/>
  <c r="E37" i="27"/>
  <c r="D37" i="27"/>
  <c r="C37" i="27"/>
  <c r="P36" i="27"/>
  <c r="L36" i="27"/>
  <c r="K36" i="27"/>
  <c r="J36" i="27"/>
  <c r="I36" i="27"/>
  <c r="H36" i="27"/>
  <c r="G36" i="27"/>
  <c r="F36" i="27"/>
  <c r="E36" i="27"/>
  <c r="D36" i="27"/>
  <c r="C36" i="27"/>
  <c r="P35" i="27"/>
  <c r="L35" i="27"/>
  <c r="K35" i="27"/>
  <c r="J35" i="27"/>
  <c r="I35" i="27"/>
  <c r="H35" i="27"/>
  <c r="G35" i="27"/>
  <c r="F35" i="27"/>
  <c r="E35" i="27"/>
  <c r="D35" i="27"/>
  <c r="C35" i="27"/>
  <c r="P28" i="27"/>
  <c r="L28" i="27"/>
  <c r="K28" i="27"/>
  <c r="J28" i="27"/>
  <c r="I28" i="27"/>
  <c r="H28" i="27"/>
  <c r="G28" i="27"/>
  <c r="F28" i="27"/>
  <c r="E28" i="27"/>
  <c r="D28" i="27"/>
  <c r="C28" i="27"/>
  <c r="P27" i="27"/>
  <c r="L27" i="27"/>
  <c r="K27" i="27"/>
  <c r="J27" i="27"/>
  <c r="I27" i="27"/>
  <c r="H27" i="27"/>
  <c r="G27" i="27"/>
  <c r="F27" i="27"/>
  <c r="E27" i="27"/>
  <c r="D27" i="27"/>
  <c r="C27" i="27"/>
  <c r="P26" i="27"/>
  <c r="L26" i="27"/>
  <c r="K26" i="27"/>
  <c r="J26" i="27"/>
  <c r="I26" i="27"/>
  <c r="H26" i="27"/>
  <c r="G26" i="27"/>
  <c r="F26" i="27"/>
  <c r="E26" i="27"/>
  <c r="D26" i="27"/>
  <c r="C26" i="27"/>
  <c r="P25" i="27"/>
  <c r="L25" i="27"/>
  <c r="K25" i="27"/>
  <c r="J25" i="27"/>
  <c r="I25" i="27"/>
  <c r="H25" i="27"/>
  <c r="G25" i="27"/>
  <c r="F25" i="27"/>
  <c r="E25" i="27"/>
  <c r="D25" i="27"/>
  <c r="C25" i="27"/>
  <c r="P24" i="27"/>
  <c r="L24" i="27"/>
  <c r="K24" i="27"/>
  <c r="J24" i="27"/>
  <c r="I24" i="27"/>
  <c r="H24" i="27"/>
  <c r="G24" i="27"/>
  <c r="F24" i="27"/>
  <c r="E24" i="27"/>
  <c r="D24" i="27"/>
  <c r="C24" i="27"/>
  <c r="P23" i="27"/>
  <c r="L23" i="27"/>
  <c r="K23" i="27"/>
  <c r="J23" i="27"/>
  <c r="I23" i="27"/>
  <c r="H23" i="27"/>
  <c r="G23" i="27"/>
  <c r="F23" i="27"/>
  <c r="E23" i="27"/>
  <c r="D23" i="27"/>
  <c r="C23" i="27"/>
  <c r="P22" i="27"/>
  <c r="L22" i="27"/>
  <c r="K22" i="27"/>
  <c r="J22" i="27"/>
  <c r="I22" i="27"/>
  <c r="H22" i="27"/>
  <c r="G22" i="27"/>
  <c r="F22" i="27"/>
  <c r="E22" i="27"/>
  <c r="D22" i="27"/>
  <c r="C22" i="27"/>
  <c r="P21" i="27"/>
  <c r="L21" i="27"/>
  <c r="K21" i="27"/>
  <c r="J21" i="27"/>
  <c r="I21" i="27"/>
  <c r="H21" i="27"/>
  <c r="G21" i="27"/>
  <c r="F21" i="27"/>
  <c r="E21" i="27"/>
  <c r="D21" i="27"/>
  <c r="C21" i="27"/>
  <c r="D13" i="27"/>
  <c r="C13" i="27"/>
  <c r="D12" i="27"/>
  <c r="C12" i="27"/>
  <c r="D11" i="27"/>
  <c r="C11" i="27"/>
  <c r="D10" i="27"/>
  <c r="C10" i="27"/>
  <c r="D9" i="27"/>
  <c r="C9" i="27"/>
  <c r="G8" i="27"/>
  <c r="F8" i="27"/>
  <c r="D8" i="27"/>
  <c r="C8" i="27"/>
  <c r="G7" i="27"/>
  <c r="F7" i="27"/>
  <c r="D7" i="27"/>
  <c r="C7" i="27"/>
  <c r="G6" i="27"/>
  <c r="F6" i="27"/>
  <c r="D6" i="27"/>
  <c r="C6" i="27"/>
  <c r="I5" i="27"/>
  <c r="E9" i="27" s="1"/>
  <c r="C5" i="27"/>
  <c r="D2" i="27"/>
  <c r="K29" i="27" l="1"/>
  <c r="C43" i="27"/>
  <c r="K43" i="27"/>
  <c r="F43" i="27"/>
  <c r="P43" i="27"/>
  <c r="H29" i="27"/>
  <c r="H43" i="27"/>
  <c r="I29" i="27"/>
  <c r="I43" i="27"/>
  <c r="J43" i="27"/>
  <c r="P29" i="27"/>
  <c r="F29" i="27"/>
  <c r="J29" i="27"/>
  <c r="E10" i="27"/>
  <c r="L29" i="27"/>
  <c r="M23" i="27"/>
  <c r="M35" i="27"/>
  <c r="L43" i="27"/>
  <c r="M37" i="27"/>
  <c r="M39" i="27"/>
  <c r="M41" i="27"/>
  <c r="D29" i="27"/>
  <c r="M21" i="27"/>
  <c r="M25" i="27"/>
  <c r="M27" i="27"/>
  <c r="E43" i="27"/>
  <c r="C29" i="27"/>
  <c r="G43" i="27"/>
  <c r="G29" i="27"/>
  <c r="M36" i="27"/>
  <c r="M38" i="27"/>
  <c r="M40" i="27"/>
  <c r="M42" i="27"/>
  <c r="M22" i="27"/>
  <c r="M24" i="27"/>
  <c r="M26" i="27"/>
  <c r="M28" i="27"/>
  <c r="E11" i="27"/>
  <c r="E6" i="27"/>
  <c r="E7" i="27"/>
  <c r="E8" i="27"/>
  <c r="E29" i="27"/>
  <c r="D43" i="27"/>
  <c r="M43" i="27" l="1"/>
  <c r="M29" i="27"/>
  <c r="C13" i="7" l="1"/>
  <c r="C12" i="7"/>
  <c r="D13" i="7"/>
  <c r="D12" i="7"/>
  <c r="P36" i="7" l="1"/>
  <c r="E29" i="7" l="1"/>
  <c r="E30" i="7"/>
  <c r="E31" i="7"/>
  <c r="E32" i="7"/>
  <c r="E33" i="7"/>
  <c r="E34" i="7"/>
  <c r="E35" i="7"/>
  <c r="E36" i="7"/>
  <c r="C44" i="7" l="1"/>
  <c r="C45" i="7"/>
  <c r="C46" i="7"/>
  <c r="C47" i="7"/>
  <c r="C48" i="7"/>
  <c r="C49" i="7"/>
  <c r="C50" i="7"/>
  <c r="C43" i="7"/>
  <c r="C30" i="7"/>
  <c r="C31" i="7"/>
  <c r="C32" i="7"/>
  <c r="C33" i="7"/>
  <c r="C34" i="7"/>
  <c r="C35" i="7"/>
  <c r="C36" i="7"/>
  <c r="C29" i="7"/>
  <c r="P50" i="7"/>
  <c r="P49" i="7"/>
  <c r="P48" i="7"/>
  <c r="P47" i="7"/>
  <c r="P46" i="7"/>
  <c r="P45" i="7"/>
  <c r="P44" i="7"/>
  <c r="P43" i="7"/>
  <c r="P29" i="7"/>
  <c r="L50" i="7"/>
  <c r="K50" i="7"/>
  <c r="J50" i="7"/>
  <c r="I50" i="7"/>
  <c r="H50" i="7"/>
  <c r="G50" i="7"/>
  <c r="F50" i="7"/>
  <c r="E50" i="7"/>
  <c r="D50" i="7"/>
  <c r="L49" i="7"/>
  <c r="K49" i="7"/>
  <c r="J49" i="7"/>
  <c r="I49" i="7"/>
  <c r="H49" i="7"/>
  <c r="G49" i="7"/>
  <c r="F49" i="7"/>
  <c r="E49" i="7"/>
  <c r="D49" i="7"/>
  <c r="L48" i="7"/>
  <c r="K48" i="7"/>
  <c r="J48" i="7"/>
  <c r="I48" i="7"/>
  <c r="H48" i="7"/>
  <c r="G48" i="7"/>
  <c r="F48" i="7"/>
  <c r="E48" i="7"/>
  <c r="D48" i="7"/>
  <c r="L47" i="7"/>
  <c r="K47" i="7"/>
  <c r="J47" i="7"/>
  <c r="I47" i="7"/>
  <c r="H47" i="7"/>
  <c r="G47" i="7"/>
  <c r="F47" i="7"/>
  <c r="E47" i="7"/>
  <c r="D47" i="7"/>
  <c r="L46" i="7"/>
  <c r="K46" i="7"/>
  <c r="J46" i="7"/>
  <c r="I46" i="7"/>
  <c r="H46" i="7"/>
  <c r="G46" i="7"/>
  <c r="F46" i="7"/>
  <c r="E46" i="7"/>
  <c r="D46" i="7"/>
  <c r="L45" i="7"/>
  <c r="K45" i="7"/>
  <c r="J45" i="7"/>
  <c r="I45" i="7"/>
  <c r="H45" i="7"/>
  <c r="G45" i="7"/>
  <c r="F45" i="7"/>
  <c r="E45" i="7"/>
  <c r="D45" i="7"/>
  <c r="L44" i="7"/>
  <c r="K44" i="7"/>
  <c r="J44" i="7"/>
  <c r="I44" i="7"/>
  <c r="H44" i="7"/>
  <c r="G44" i="7"/>
  <c r="F44" i="7"/>
  <c r="E44" i="7"/>
  <c r="D44" i="7"/>
  <c r="L43" i="7"/>
  <c r="K43" i="7"/>
  <c r="J43" i="7"/>
  <c r="I43" i="7"/>
  <c r="H43" i="7"/>
  <c r="G43" i="7"/>
  <c r="F43" i="7"/>
  <c r="E43" i="7"/>
  <c r="D43" i="7"/>
  <c r="D30" i="7"/>
  <c r="D31" i="7"/>
  <c r="D32" i="7"/>
  <c r="D33" i="7"/>
  <c r="D34" i="7"/>
  <c r="D35" i="7"/>
  <c r="D36" i="7"/>
  <c r="D29" i="7"/>
  <c r="L30" i="7"/>
  <c r="L31" i="7"/>
  <c r="L32" i="7"/>
  <c r="L33" i="7"/>
  <c r="L34" i="7"/>
  <c r="L35" i="7"/>
  <c r="L36" i="7"/>
  <c r="L29" i="7"/>
  <c r="K30" i="7"/>
  <c r="K31" i="7"/>
  <c r="K32" i="7"/>
  <c r="K33" i="7"/>
  <c r="K34" i="7"/>
  <c r="K35" i="7"/>
  <c r="K36" i="7"/>
  <c r="K29" i="7"/>
  <c r="J30" i="7"/>
  <c r="J31" i="7"/>
  <c r="J32" i="7"/>
  <c r="J33" i="7"/>
  <c r="J34" i="7"/>
  <c r="J35" i="7"/>
  <c r="J36" i="7"/>
  <c r="J29" i="7"/>
  <c r="I30" i="7"/>
  <c r="I31" i="7"/>
  <c r="I32" i="7"/>
  <c r="I33" i="7"/>
  <c r="I34" i="7"/>
  <c r="I35" i="7"/>
  <c r="I36" i="7"/>
  <c r="I29" i="7"/>
  <c r="H30" i="7"/>
  <c r="H31" i="7"/>
  <c r="H32" i="7"/>
  <c r="H33" i="7"/>
  <c r="H34" i="7"/>
  <c r="H35" i="7"/>
  <c r="H36" i="7"/>
  <c r="H29" i="7"/>
  <c r="G30" i="7"/>
  <c r="G31" i="7"/>
  <c r="G32" i="7"/>
  <c r="G33" i="7"/>
  <c r="G34" i="7"/>
  <c r="G35" i="7"/>
  <c r="G36" i="7"/>
  <c r="G29" i="7"/>
  <c r="F36" i="7"/>
  <c r="F34" i="7"/>
  <c r="F33" i="7"/>
  <c r="F32" i="7"/>
  <c r="F31" i="7"/>
  <c r="F30" i="7"/>
  <c r="F35" i="7"/>
  <c r="F29" i="7"/>
  <c r="B14" i="12"/>
  <c r="I14" i="12"/>
  <c r="I21" i="12"/>
  <c r="H21" i="12"/>
  <c r="G21" i="12"/>
  <c r="F21" i="12"/>
  <c r="E21" i="12"/>
  <c r="D21" i="12"/>
  <c r="C21" i="12"/>
  <c r="B21" i="12"/>
  <c r="I20" i="12"/>
  <c r="H20" i="12"/>
  <c r="G20" i="12"/>
  <c r="F20" i="12"/>
  <c r="E20" i="12"/>
  <c r="D20" i="12"/>
  <c r="C20" i="12"/>
  <c r="B20" i="12"/>
  <c r="I19" i="12"/>
  <c r="H19" i="12"/>
  <c r="G19" i="12"/>
  <c r="F19" i="12"/>
  <c r="E19" i="12"/>
  <c r="D19" i="12"/>
  <c r="C19" i="12"/>
  <c r="B19" i="12"/>
  <c r="I18" i="12"/>
  <c r="H18" i="12"/>
  <c r="G18" i="12"/>
  <c r="F18" i="12"/>
  <c r="E18" i="12"/>
  <c r="D18" i="12"/>
  <c r="C18" i="12"/>
  <c r="B18" i="12"/>
  <c r="I17" i="12"/>
  <c r="H17" i="12"/>
  <c r="G17" i="12"/>
  <c r="F17" i="12"/>
  <c r="E17" i="12"/>
  <c r="D17" i="12"/>
  <c r="C17" i="12"/>
  <c r="B17" i="12"/>
  <c r="I16" i="12"/>
  <c r="H16" i="12"/>
  <c r="G16" i="12"/>
  <c r="F16" i="12"/>
  <c r="E16" i="12"/>
  <c r="D16" i="12"/>
  <c r="C16" i="12"/>
  <c r="B16" i="12"/>
  <c r="I15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I10" i="12"/>
  <c r="H10" i="12"/>
  <c r="G10" i="12"/>
  <c r="F10" i="12"/>
  <c r="E10" i="12"/>
  <c r="D10" i="12"/>
  <c r="C10" i="12"/>
  <c r="B10" i="12"/>
  <c r="I9" i="12"/>
  <c r="H9" i="12"/>
  <c r="G9" i="12"/>
  <c r="F9" i="12"/>
  <c r="E9" i="12"/>
  <c r="D9" i="12"/>
  <c r="C9" i="12"/>
  <c r="B9" i="12"/>
  <c r="I8" i="12"/>
  <c r="H8" i="12"/>
  <c r="G8" i="12"/>
  <c r="F8" i="12"/>
  <c r="E8" i="12"/>
  <c r="D8" i="12"/>
  <c r="C8" i="12"/>
  <c r="B8" i="12"/>
  <c r="I7" i="12"/>
  <c r="H7" i="12"/>
  <c r="G7" i="12"/>
  <c r="F7" i="12"/>
  <c r="E7" i="12"/>
  <c r="D7" i="12"/>
  <c r="C7" i="12"/>
  <c r="B7" i="12"/>
  <c r="I6" i="12"/>
  <c r="H6" i="12"/>
  <c r="G6" i="12"/>
  <c r="F6" i="12"/>
  <c r="E6" i="12"/>
  <c r="D6" i="12"/>
  <c r="C6" i="12"/>
  <c r="B6" i="12"/>
  <c r="I5" i="12"/>
  <c r="H5" i="12"/>
  <c r="G5" i="12"/>
  <c r="F5" i="12"/>
  <c r="E5" i="12"/>
  <c r="D5" i="12"/>
  <c r="C5" i="12"/>
  <c r="B5" i="12"/>
  <c r="I4" i="12"/>
  <c r="H4" i="12"/>
  <c r="G4" i="12"/>
  <c r="F4" i="12"/>
  <c r="E4" i="12"/>
  <c r="D4" i="12"/>
  <c r="C4" i="12"/>
  <c r="B4" i="12"/>
  <c r="H3" i="12"/>
  <c r="G3" i="12"/>
  <c r="F3" i="12"/>
  <c r="E3" i="12"/>
  <c r="D3" i="12"/>
  <c r="C3" i="12"/>
  <c r="B3" i="12"/>
  <c r="L15" i="12" l="1"/>
  <c r="P35" i="36" s="1"/>
  <c r="K15" i="12"/>
  <c r="O35" i="36" s="1"/>
  <c r="L18" i="12"/>
  <c r="P37" i="36" s="1"/>
  <c r="K18" i="12"/>
  <c r="O37" i="36" s="1"/>
  <c r="L19" i="12"/>
  <c r="P38" i="36" s="1"/>
  <c r="K19" i="12"/>
  <c r="O38" i="36" s="1"/>
  <c r="L20" i="12"/>
  <c r="P39" i="36" s="1"/>
  <c r="K20" i="12"/>
  <c r="O39" i="36" s="1"/>
  <c r="K21" i="12"/>
  <c r="O40" i="36" s="1"/>
  <c r="L21" i="12"/>
  <c r="L16" i="12"/>
  <c r="K16" i="12"/>
  <c r="L14" i="12"/>
  <c r="K14" i="12"/>
  <c r="L17" i="12"/>
  <c r="P36" i="36" s="1"/>
  <c r="K17" i="12"/>
  <c r="O36" i="36" s="1"/>
  <c r="K3" i="12"/>
  <c r="L3" i="12"/>
  <c r="L4" i="12"/>
  <c r="K4" i="12"/>
  <c r="O22" i="36" s="1"/>
  <c r="K5" i="12"/>
  <c r="L5" i="12"/>
  <c r="K6" i="12"/>
  <c r="O23" i="36" s="1"/>
  <c r="L6" i="12"/>
  <c r="K7" i="12"/>
  <c r="O24" i="36" s="1"/>
  <c r="L7" i="12"/>
  <c r="K8" i="12"/>
  <c r="O25" i="36" s="1"/>
  <c r="L8" i="12"/>
  <c r="K9" i="12"/>
  <c r="O26" i="36" s="1"/>
  <c r="L9" i="12"/>
  <c r="K10" i="12"/>
  <c r="O27" i="36" s="1"/>
  <c r="L10" i="12"/>
  <c r="M45" i="7"/>
  <c r="M44" i="7"/>
  <c r="C37" i="7"/>
  <c r="M46" i="7"/>
  <c r="M47" i="7"/>
  <c r="M48" i="7"/>
  <c r="M49" i="7"/>
  <c r="M50" i="7"/>
  <c r="F37" i="7"/>
  <c r="M43" i="7"/>
  <c r="L51" i="7"/>
  <c r="H51" i="7"/>
  <c r="P51" i="7"/>
  <c r="C51" i="7"/>
  <c r="J51" i="7"/>
  <c r="F51" i="7"/>
  <c r="I51" i="7"/>
  <c r="E51" i="7"/>
  <c r="D51" i="7"/>
  <c r="K51" i="7"/>
  <c r="G51" i="7"/>
  <c r="O28" i="36" l="1"/>
  <c r="O49" i="30"/>
  <c r="P40" i="36"/>
  <c r="P41" i="36" s="1"/>
  <c r="O41" i="36"/>
  <c r="O37" i="30"/>
  <c r="P27" i="36"/>
  <c r="O36" i="30"/>
  <c r="P26" i="36"/>
  <c r="O35" i="30"/>
  <c r="P25" i="36"/>
  <c r="O34" i="30"/>
  <c r="P24" i="36"/>
  <c r="O33" i="30"/>
  <c r="P23" i="36"/>
  <c r="O32" i="30"/>
  <c r="P22" i="36"/>
  <c r="O50" i="31"/>
  <c r="O42" i="27"/>
  <c r="N49" i="7"/>
  <c r="N49" i="31"/>
  <c r="N48" i="30"/>
  <c r="N41" i="27"/>
  <c r="N43" i="7"/>
  <c r="N43" i="31"/>
  <c r="N35" i="27"/>
  <c r="O49" i="31"/>
  <c r="O48" i="30"/>
  <c r="O41" i="27"/>
  <c r="O43" i="31"/>
  <c r="O35" i="27"/>
  <c r="N48" i="7"/>
  <c r="N48" i="31"/>
  <c r="N47" i="30"/>
  <c r="N40" i="27"/>
  <c r="N50" i="7"/>
  <c r="N50" i="31"/>
  <c r="N49" i="30"/>
  <c r="N42" i="27"/>
  <c r="N46" i="7"/>
  <c r="N46" i="31"/>
  <c r="N45" i="30"/>
  <c r="N38" i="27"/>
  <c r="O48" i="31"/>
  <c r="O47" i="30"/>
  <c r="O40" i="27"/>
  <c r="N45" i="7"/>
  <c r="N45" i="31"/>
  <c r="N37" i="27"/>
  <c r="N44" i="7"/>
  <c r="N44" i="31"/>
  <c r="N44" i="30"/>
  <c r="N36" i="27"/>
  <c r="O45" i="31"/>
  <c r="O37" i="27"/>
  <c r="N47" i="7"/>
  <c r="N47" i="31"/>
  <c r="N46" i="30"/>
  <c r="N39" i="27"/>
  <c r="O46" i="31"/>
  <c r="O45" i="30"/>
  <c r="O38" i="27"/>
  <c r="O47" i="31"/>
  <c r="O46" i="30"/>
  <c r="O39" i="27"/>
  <c r="O44" i="31"/>
  <c r="O44" i="30"/>
  <c r="O36" i="27"/>
  <c r="N29" i="31"/>
  <c r="N21" i="27"/>
  <c r="O29" i="31"/>
  <c r="O21" i="27"/>
  <c r="O44" i="7"/>
  <c r="O43" i="7"/>
  <c r="O45" i="7"/>
  <c r="O47" i="7"/>
  <c r="M51" i="7"/>
  <c r="O49" i="7"/>
  <c r="O48" i="7"/>
  <c r="O50" i="7"/>
  <c r="O46" i="7"/>
  <c r="O38" i="30" l="1"/>
  <c r="P28" i="36"/>
  <c r="O50" i="30"/>
  <c r="O51" i="31"/>
  <c r="O43" i="27"/>
  <c r="E11" i="7"/>
  <c r="O51" i="7"/>
  <c r="E9" i="7"/>
  <c r="E10" i="7"/>
  <c r="E8" i="7"/>
  <c r="E7" i="7"/>
  <c r="E6" i="7"/>
  <c r="P30" i="7"/>
  <c r="P31" i="7"/>
  <c r="P32" i="7"/>
  <c r="P33" i="7"/>
  <c r="P34" i="7"/>
  <c r="P35" i="7"/>
  <c r="M29" i="7"/>
  <c r="O33" i="31" l="1"/>
  <c r="O25" i="27"/>
  <c r="O34" i="31"/>
  <c r="O26" i="27"/>
  <c r="P37" i="7"/>
  <c r="M35" i="7"/>
  <c r="E37" i="7"/>
  <c r="G37" i="7"/>
  <c r="H37" i="7"/>
  <c r="I37" i="7"/>
  <c r="L37" i="7"/>
  <c r="O29" i="7"/>
  <c r="M30" i="7"/>
  <c r="M33" i="7"/>
  <c r="O33" i="7" s="1"/>
  <c r="M36" i="7"/>
  <c r="M34" i="7"/>
  <c r="O34" i="7" s="1"/>
  <c r="M32" i="7"/>
  <c r="M31" i="7"/>
  <c r="N29" i="7"/>
  <c r="K37" i="7"/>
  <c r="J37" i="7"/>
  <c r="D37" i="7"/>
  <c r="N34" i="7" l="1"/>
  <c r="N34" i="31"/>
  <c r="N35" i="30"/>
  <c r="N26" i="27"/>
  <c r="N36" i="7"/>
  <c r="N36" i="31"/>
  <c r="N37" i="30"/>
  <c r="N28" i="27"/>
  <c r="N35" i="7"/>
  <c r="N35" i="31"/>
  <c r="N36" i="30"/>
  <c r="N27" i="27"/>
  <c r="O35" i="31"/>
  <c r="O27" i="27"/>
  <c r="O30" i="31"/>
  <c r="O22" i="27"/>
  <c r="N30" i="7"/>
  <c r="N30" i="31"/>
  <c r="N32" i="30"/>
  <c r="N22" i="27"/>
  <c r="N31" i="7"/>
  <c r="N31" i="31"/>
  <c r="N23" i="27"/>
  <c r="N32" i="7"/>
  <c r="N32" i="31"/>
  <c r="N33" i="30"/>
  <c r="N24" i="27"/>
  <c r="O31" i="31"/>
  <c r="O23" i="27"/>
  <c r="N33" i="7"/>
  <c r="N33" i="31"/>
  <c r="N34" i="30"/>
  <c r="N25" i="27"/>
  <c r="O36" i="31"/>
  <c r="O28" i="27"/>
  <c r="O32" i="31"/>
  <c r="O24" i="27"/>
  <c r="O30" i="7"/>
  <c r="O31" i="7"/>
  <c r="O35" i="7"/>
  <c r="O36" i="7"/>
  <c r="O32" i="7"/>
  <c r="M37" i="7"/>
  <c r="O37" i="31" l="1"/>
  <c r="O29" i="27"/>
  <c r="O37" i="7"/>
  <c r="C6" i="7"/>
  <c r="D8" i="7"/>
  <c r="D7" i="7"/>
  <c r="D6" i="7"/>
  <c r="K4" i="10"/>
  <c r="J4" i="10"/>
  <c r="K3" i="10"/>
  <c r="J3" i="10"/>
  <c r="K2" i="10"/>
  <c r="J2" i="10"/>
  <c r="I4" i="10"/>
  <c r="I3" i="10"/>
  <c r="G8" i="7"/>
  <c r="G7" i="7"/>
  <c r="G6" i="7"/>
  <c r="D11" i="7"/>
  <c r="D10" i="7"/>
  <c r="D9" i="7"/>
  <c r="C11" i="7"/>
  <c r="C10" i="7"/>
  <c r="C9" i="7"/>
  <c r="C8" i="7"/>
  <c r="C7" i="7"/>
  <c r="F2" i="10" l="1"/>
  <c r="H6" i="31" s="1"/>
  <c r="F4" i="10"/>
  <c r="F3" i="10"/>
  <c r="M3" i="10"/>
  <c r="M2" i="10"/>
  <c r="M4" i="10"/>
  <c r="H6" i="30" l="1"/>
  <c r="H8" i="27"/>
  <c r="H8" i="31"/>
  <c r="H8" i="30"/>
  <c r="H7" i="27"/>
  <c r="H7" i="31"/>
  <c r="H7" i="30"/>
  <c r="H6" i="7"/>
  <c r="H6" i="27"/>
  <c r="H8" i="7"/>
  <c r="H7" i="7"/>
  <c r="C5" i="7" l="1"/>
  <c r="D2" i="7"/>
  <c r="B4" i="5"/>
  <c r="C26" i="5"/>
  <c r="M41" i="5"/>
  <c r="N41" i="5"/>
  <c r="N26" i="5"/>
  <c r="M26" i="5"/>
  <c r="K26" i="5"/>
  <c r="K41" i="5"/>
  <c r="C1" i="5"/>
  <c r="M26" i="3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Hulen, Matt</author>
  </authors>
  <commentList>
    <comment ref="G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G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B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G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B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8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B9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C9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Hulen, Matt</author>
  </authors>
  <commentList>
    <comment ref="H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H7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8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8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H8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9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9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10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D10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Hulen, Matt</author>
  </authors>
  <commentList>
    <comment ref="H6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H7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8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8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H8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9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9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10" authorId="0" shapeId="0" xr:uid="{00000000-0006-0000-0300-000008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D10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Hulen, Matt</author>
  </authors>
  <commentList>
    <comment ref="C8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8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9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10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D10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Hulen, Matt</author>
  </authors>
  <commentList>
    <comment ref="H6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H7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8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8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H8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9" authorId="0" shapeId="0" xr:uid="{00000000-0006-0000-0500-000006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9" authorId="0" shapeId="0" xr:uid="{00000000-0006-0000-0500-000007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10" authorId="0" shapeId="0" xr:uid="{00000000-0006-0000-0500-000008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D10" authorId="0" shapeId="0" xr:uid="{00000000-0006-0000-0500-000009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Hulen, Matt</author>
  </authors>
  <commentList>
    <comment ref="I4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</commentList>
</comments>
</file>

<file path=xl/sharedStrings.xml><?xml version="1.0" encoding="utf-8"?>
<sst xmlns="http://schemas.openxmlformats.org/spreadsheetml/2006/main" count="2461" uniqueCount="534">
  <si>
    <t>UAX Daily Snapshot for</t>
  </si>
  <si>
    <t>Reliability Snapshot</t>
  </si>
  <si>
    <t>Metric</t>
  </si>
  <si>
    <t>MTD</t>
  </si>
  <si>
    <t>Goal</t>
  </si>
  <si>
    <t>DL Difference</t>
  </si>
  <si>
    <t>AA Difference</t>
  </si>
  <si>
    <t>Rank</t>
  </si>
  <si>
    <t>Completion</t>
  </si>
  <si>
    <t>A:00</t>
  </si>
  <si>
    <t xml:space="preserve">D:00 </t>
  </si>
  <si>
    <t xml:space="preserve">CS D:00 </t>
  </si>
  <si>
    <t>STAR D:00</t>
  </si>
  <si>
    <t>Controllable Completion</t>
  </si>
  <si>
    <t>Cancel Detail</t>
  </si>
  <si>
    <t>Express Partner</t>
  </si>
  <si>
    <t>Scheduled</t>
  </si>
  <si>
    <t>Weather &amp;</t>
  </si>
  <si>
    <t>Technical</t>
  </si>
  <si>
    <t>Flight</t>
  </si>
  <si>
    <t>Inflight</t>
  </si>
  <si>
    <t>Airport</t>
  </si>
  <si>
    <t>Network</t>
  </si>
  <si>
    <t>IT</t>
  </si>
  <si>
    <t>Catering Operations</t>
  </si>
  <si>
    <t>Total Cancels</t>
  </si>
  <si>
    <t>ES covered for this partner</t>
  </si>
  <si>
    <t>Total</t>
  </si>
  <si>
    <t>ES covered by this partner</t>
  </si>
  <si>
    <t>Departures</t>
  </si>
  <si>
    <t>ATC</t>
  </si>
  <si>
    <t>Operations</t>
  </si>
  <si>
    <t>Services</t>
  </si>
  <si>
    <t>EV - ExpressJet</t>
  </si>
  <si>
    <t>OO 2, AX 1</t>
  </si>
  <si>
    <t>OO - SkyWest</t>
  </si>
  <si>
    <t>ZW 2</t>
  </si>
  <si>
    <t>AX - Trans States</t>
  </si>
  <si>
    <t>-</t>
  </si>
  <si>
    <t>YX - Republic</t>
  </si>
  <si>
    <t>ZW 1</t>
  </si>
  <si>
    <t>G7 - Go Jet</t>
  </si>
  <si>
    <t>OO 2, AX 5</t>
  </si>
  <si>
    <t>C5 - CommutAir</t>
  </si>
  <si>
    <t>YV - Mesa</t>
  </si>
  <si>
    <t>ZW - Air Wisconsin</t>
  </si>
  <si>
    <t>OO 2, C5 1</t>
  </si>
  <si>
    <t>Total:</t>
  </si>
  <si>
    <t>Residual Cancel Detail</t>
  </si>
  <si>
    <t>HTML_PAGES</t>
  </si>
  <si>
    <t>PAGE_1</t>
  </si>
  <si>
    <t>Reliability Snapshot - Hubs</t>
  </si>
  <si>
    <t>DL Diff.</t>
  </si>
  <si>
    <t>AA Diff.</t>
  </si>
  <si>
    <t>Hub</t>
  </si>
  <si>
    <t>D:00</t>
  </si>
  <si>
    <t>CS D:00</t>
  </si>
  <si>
    <t>DEN</t>
  </si>
  <si>
    <t>EWR</t>
  </si>
  <si>
    <t>IAD</t>
  </si>
  <si>
    <t>IAH</t>
  </si>
  <si>
    <t>LAX</t>
  </si>
  <si>
    <t>ORD</t>
  </si>
  <si>
    <t>Total diverts</t>
  </si>
  <si>
    <t>SFO</t>
  </si>
  <si>
    <t>Diverts recovered</t>
  </si>
  <si>
    <t>Line</t>
  </si>
  <si>
    <t>Scheduled Departures</t>
  </si>
  <si>
    <t>Weather &amp; ATC</t>
  </si>
  <si>
    <t>Technical Operations</t>
  </si>
  <si>
    <t>Flight Operations</t>
  </si>
  <si>
    <t>Inflight Services</t>
  </si>
  <si>
    <t>Airport Operations</t>
  </si>
  <si>
    <t>Network Operations</t>
  </si>
  <si>
    <t>Other</t>
  </si>
  <si>
    <t>Net Cancel</t>
  </si>
  <si>
    <t>EV</t>
  </si>
  <si>
    <t>WEATHER/ATC</t>
  </si>
  <si>
    <t>OO</t>
  </si>
  <si>
    <t>TECHNICAL OPERATIONS-AIRCRAFT</t>
  </si>
  <si>
    <t>AX</t>
  </si>
  <si>
    <t>FLIGHT OPERATIONS</t>
  </si>
  <si>
    <t>YX</t>
  </si>
  <si>
    <t>INFLIGHT SERVICES</t>
  </si>
  <si>
    <t>G7</t>
  </si>
  <si>
    <t>AIRPORT OPERATIONS</t>
  </si>
  <si>
    <t>C5</t>
  </si>
  <si>
    <t>NETWORK OPERATIONS CENTER</t>
  </si>
  <si>
    <t>YV</t>
  </si>
  <si>
    <t>TECHNOLOGY</t>
  </si>
  <si>
    <t>ZW</t>
  </si>
  <si>
    <t>CATERING OPERATIONS</t>
  </si>
  <si>
    <t>OTHER</t>
  </si>
  <si>
    <t>Reliability Snapshot - SYS</t>
  </si>
  <si>
    <t>Market</t>
  </si>
  <si>
    <t>Denver</t>
  </si>
  <si>
    <t>New York</t>
  </si>
  <si>
    <r>
      <rPr>
        <b/>
        <sz val="10"/>
        <color rgb="FFFF0000"/>
        <rFont val="Calibri"/>
        <family val="2"/>
        <scheme val="minor"/>
      </rPr>
      <t>DL</t>
    </r>
    <r>
      <rPr>
        <sz val="10"/>
        <color rgb="FFFF0000"/>
        <rFont val="Calibri"/>
        <family val="2"/>
        <scheme val="minor"/>
      </rPr>
      <t xml:space="preserve"> - 0.7 </t>
    </r>
    <r>
      <rPr>
        <b/>
        <sz val="10"/>
        <color rgb="FFFF0000"/>
        <rFont val="Calibri"/>
        <family val="2"/>
        <scheme val="minor"/>
      </rPr>
      <t>AA</t>
    </r>
    <r>
      <rPr>
        <sz val="10"/>
        <color rgb="FFFF0000"/>
        <rFont val="Calibri"/>
        <family val="2"/>
        <scheme val="minor"/>
      </rPr>
      <t xml:space="preserve"> - (8.0)</t>
    </r>
  </si>
  <si>
    <t>Washington DC</t>
  </si>
  <si>
    <t>Texas</t>
  </si>
  <si>
    <r>
      <rPr>
        <b/>
        <sz val="10"/>
        <color rgb="FFFF0000"/>
        <rFont val="Calibri"/>
        <family val="2"/>
        <scheme val="minor"/>
      </rPr>
      <t>AA</t>
    </r>
    <r>
      <rPr>
        <sz val="10"/>
        <color rgb="FFFF0000"/>
        <rFont val="Calibri"/>
        <family val="2"/>
        <scheme val="minor"/>
      </rPr>
      <t xml:space="preserve"> - (8.0)</t>
    </r>
  </si>
  <si>
    <t>Los Angeles</t>
  </si>
  <si>
    <t>Chicago</t>
  </si>
  <si>
    <t>San Francisco</t>
  </si>
  <si>
    <r>
      <rPr>
        <b/>
        <sz val="10"/>
        <color rgb="FFFF0000"/>
        <rFont val="Calibri"/>
        <family val="2"/>
        <scheme val="minor"/>
      </rPr>
      <t>AS</t>
    </r>
    <r>
      <rPr>
        <sz val="10"/>
        <color rgb="FFFF0000"/>
        <rFont val="Calibri"/>
        <family val="2"/>
        <scheme val="minor"/>
      </rPr>
      <t xml:space="preserve"> - (8.0)</t>
    </r>
  </si>
  <si>
    <t xml:space="preserve">CD:00 </t>
  </si>
  <si>
    <t>Yet to depart</t>
  </si>
  <si>
    <t>Repositioned flights</t>
  </si>
  <si>
    <t>CD:00</t>
  </si>
  <si>
    <t>AS Diff.</t>
  </si>
  <si>
    <t>Line stations</t>
  </si>
  <si>
    <t>UAX Daily Snapshot</t>
  </si>
  <si>
    <t>UA</t>
  </si>
  <si>
    <t>AA</t>
  </si>
  <si>
    <t>DL</t>
  </si>
  <si>
    <t>Metrics</t>
  </si>
  <si>
    <t>Latest</t>
  </si>
  <si>
    <t>Last 7 Days</t>
  </si>
  <si>
    <t>Reliability Metrics</t>
  </si>
  <si>
    <t>Cancellation Rate</t>
  </si>
  <si>
    <t>Controllable Cancellation Rate</t>
  </si>
  <si>
    <t>Seat Cancellations</t>
  </si>
  <si>
    <t>A00</t>
  </si>
  <si>
    <t>A14</t>
  </si>
  <si>
    <t>CD00</t>
  </si>
  <si>
    <t>D00</t>
  </si>
  <si>
    <t>STAR D00</t>
  </si>
  <si>
    <t>Delays</t>
  </si>
  <si>
    <t xml:space="preserve">1-15 mins delays </t>
  </si>
  <si>
    <t>&gt;15 mins delays</t>
  </si>
  <si>
    <t>Flight Ops delays</t>
  </si>
  <si>
    <t xml:space="preserve">          Crew Connections</t>
  </si>
  <si>
    <t xml:space="preserve">          Crew Availability</t>
  </si>
  <si>
    <t xml:space="preserve">          Ops Process</t>
  </si>
  <si>
    <t>Inflight Delays</t>
  </si>
  <si>
    <t>Diverts</t>
  </si>
  <si>
    <t>Reliability Snapshot - Hubs Competitor Analysis</t>
  </si>
  <si>
    <t>Cancel Rate</t>
  </si>
  <si>
    <t>LINE</t>
  </si>
  <si>
    <t>Line Stations</t>
  </si>
  <si>
    <t>Line Int</t>
  </si>
  <si>
    <t>Line Dom</t>
  </si>
  <si>
    <t>Cancel</t>
  </si>
  <si>
    <t>Airport Operation</t>
  </si>
  <si>
    <t>Network Operation</t>
  </si>
  <si>
    <t>ES Covered for this partner</t>
  </si>
  <si>
    <t/>
  </si>
  <si>
    <t>Notes:</t>
  </si>
  <si>
    <t xml:space="preserve">1. The hubs/operating bases considered for all airlines are as follows:
</t>
  </si>
  <si>
    <t xml:space="preserve">UA -  SFO, LAX, DEN, IAH, EWR, IAD, ORD </t>
  </si>
  <si>
    <t>AA - CLT, MIA, PHX, DCA, ORD, PHL, DFW</t>
  </si>
  <si>
    <t>DL - ATL, DTW, LAX, JFK, LGA, MSP, SLC, SEA</t>
  </si>
  <si>
    <t>AS</t>
  </si>
  <si>
    <t>Rank_Yest</t>
  </si>
  <si>
    <t>Rank_DateMinus2</t>
  </si>
  <si>
    <t>Rank_MTD</t>
  </si>
  <si>
    <t>Line Dom'</t>
  </si>
  <si>
    <t>Residual Cancel</t>
  </si>
  <si>
    <t>CARRIER_CD</t>
  </si>
  <si>
    <t>REPORT_MONTH</t>
  </si>
  <si>
    <t>(GT_D0_GL/100)</t>
  </si>
  <si>
    <t>(A0_GL/100)</t>
  </si>
  <si>
    <t>(CF_GL/100)</t>
  </si>
  <si>
    <t>(GT_STAR0_GL/100)</t>
  </si>
  <si>
    <t>(CCF_GL/100)</t>
  </si>
  <si>
    <t xml:space="preserve">XX  </t>
  </si>
  <si>
    <t>To be updated</t>
  </si>
  <si>
    <t>SEL</t>
  </si>
  <si>
    <t xml:space="preserve">CARRIER_CD, </t>
  </si>
  <si>
    <t>--STA_CD,</t>
  </si>
  <si>
    <t>Express</t>
  </si>
  <si>
    <t>,GT_D0_GL/100</t>
  </si>
  <si>
    <t>,A0_GL/100</t>
  </si>
  <si>
    <t>,CF_GL/100</t>
  </si>
  <si>
    <t>,GT_STAR0_GL/100</t>
  </si>
  <si>
    <t>,CCF_GL/100</t>
  </si>
  <si>
    <t xml:space="preserve"> FROM  CO_PROD_VMDB.OPFL_GOAL_OA r</t>
  </si>
  <si>
    <t xml:space="preserve"> </t>
  </si>
  <si>
    <t>WHERE REPORT_YEAR  = 2020</t>
  </si>
  <si>
    <t>AND CARRIER_CD = 'XX'</t>
  </si>
  <si>
    <t>AND STA_CD = 'SYS'</t>
  </si>
  <si>
    <t>ORDER BY 1,2</t>
  </si>
  <si>
    <t>carrier</t>
  </si>
  <si>
    <t>report_year</t>
  </si>
  <si>
    <t>report_month</t>
  </si>
  <si>
    <t>ml_ex_ind</t>
  </si>
  <si>
    <t>scheduled_flights</t>
  </si>
  <si>
    <t>cnxl_flt_mtd</t>
  </si>
  <si>
    <t>dep0_cnt</t>
  </si>
  <si>
    <t>new_dep0_cnt</t>
  </si>
  <si>
    <t>arr0_cnt</t>
  </si>
  <si>
    <t>star_sch_flt_count</t>
  </si>
  <si>
    <t>star_d00_count</t>
  </si>
  <si>
    <t>controllable_cancels</t>
  </si>
  <si>
    <t>scheduled_flights_yest</t>
  </si>
  <si>
    <t>cnxl_flt_yest</t>
  </si>
  <si>
    <t>dep0_cnt_yest</t>
  </si>
  <si>
    <t>new_dep0_cnt_yest</t>
  </si>
  <si>
    <t>arr0_cnt_yest</t>
  </si>
  <si>
    <t>star_sch_flt_count_yest</t>
  </si>
  <si>
    <t>star_d00_count_yest</t>
  </si>
  <si>
    <t>controllable_cancels_yest</t>
  </si>
  <si>
    <t>scheduled_flights_dateminus2</t>
  </si>
  <si>
    <t>completed_flights_dateminus2</t>
  </si>
  <si>
    <t>dep0_cnt_dateminus2</t>
  </si>
  <si>
    <t>new_dep0_cnt_dateminus2</t>
  </si>
  <si>
    <t>arr0_cnt_dateminus2</t>
  </si>
  <si>
    <t>dep_cnt</t>
  </si>
  <si>
    <t>arr_cnt</t>
  </si>
  <si>
    <t>dep_cnt_yest</t>
  </si>
  <si>
    <t>arr_cnt_yest</t>
  </si>
  <si>
    <t>arr14_cnt</t>
  </si>
  <si>
    <t>cnxl_flt</t>
  </si>
  <si>
    <t>report_yr</t>
  </si>
  <si>
    <t>Scheduled_Flights</t>
  </si>
  <si>
    <t>D00_Flights</t>
  </si>
  <si>
    <t>Completed_Flights</t>
  </si>
  <si>
    <t>A00_Flights</t>
  </si>
  <si>
    <t>A14_Flights</t>
  </si>
  <si>
    <t>Yest_Scheduled_Flights</t>
  </si>
  <si>
    <t>Yest_D00_Flights</t>
  </si>
  <si>
    <t>Yest_Completed_Flights</t>
  </si>
  <si>
    <t>Yest_A00_Flights</t>
  </si>
  <si>
    <t>Yest_A14_Flights</t>
  </si>
  <si>
    <t>DateMinus2_Scheduled_Flights</t>
  </si>
  <si>
    <t>DateMinus2_D00_Flights</t>
  </si>
  <si>
    <t>DateMinus2_Completed_Flights</t>
  </si>
  <si>
    <t>DateMinus2_A00_Flights</t>
  </si>
  <si>
    <t>DateMinus2_A14_Flights</t>
  </si>
  <si>
    <t>company_id</t>
  </si>
  <si>
    <t>date</t>
  </si>
  <si>
    <t>cnxl_cd</t>
  </si>
  <si>
    <t>cancel division</t>
  </si>
  <si>
    <t>ex_company_id</t>
  </si>
  <si>
    <t>count</t>
  </si>
  <si>
    <t>C</t>
  </si>
  <si>
    <t xml:space="preserve">  </t>
  </si>
  <si>
    <t>time_period</t>
  </si>
  <si>
    <t>total_diverts</t>
  </si>
  <si>
    <t>L7D</t>
  </si>
  <si>
    <t>YEST</t>
  </si>
  <si>
    <t>time_stamp</t>
  </si>
  <si>
    <t>city</t>
  </si>
  <si>
    <t>station</t>
  </si>
  <si>
    <t>sched_flt_now</t>
  </si>
  <si>
    <t>cnxl_flt_now</t>
  </si>
  <si>
    <t>a0_flt_now</t>
  </si>
  <si>
    <t>a14_flt_now</t>
  </si>
  <si>
    <t>d0_flt_now_o</t>
  </si>
  <si>
    <t>d0_flt_now</t>
  </si>
  <si>
    <t>sched_flt_dateminus2</t>
  </si>
  <si>
    <t>cnxl_flt_dateminus2</t>
  </si>
  <si>
    <t>a0_flt_dateminus2</t>
  </si>
  <si>
    <t>a14_flt_dateminus2</t>
  </si>
  <si>
    <t>d0_flt_dateminus2_o</t>
  </si>
  <si>
    <t>d0_flt_dateminus2</t>
  </si>
  <si>
    <t>sched_flt_mtd</t>
  </si>
  <si>
    <t>a0_flt_mtd</t>
  </si>
  <si>
    <t>a14_flt_mtd</t>
  </si>
  <si>
    <t>d0_flt_mtd_o</t>
  </si>
  <si>
    <t>d0_flt_mtd</t>
  </si>
  <si>
    <t>in_sched_flt_now</t>
  </si>
  <si>
    <t>in_sched_flt_mtd</t>
  </si>
  <si>
    <t>2025-11-06 18:08:33.980639+00:00</t>
  </si>
  <si>
    <t>DCA</t>
  </si>
  <si>
    <t>BWI</t>
  </si>
  <si>
    <t>LGA</t>
  </si>
  <si>
    <t>seat_cnxl_rate</t>
  </si>
  <si>
    <t>United</t>
  </si>
  <si>
    <t>seat_cnxl_rate_mtd</t>
  </si>
  <si>
    <t>seat_cnxl_rate_yest</t>
  </si>
  <si>
    <t>seat_cnxl_rate_l7</t>
  </si>
  <si>
    <t>divert_unrecovered</t>
  </si>
  <si>
    <t>divert_recovered</t>
  </si>
  <si>
    <t>CITY</t>
  </si>
  <si>
    <t>CARRIER</t>
  </si>
  <si>
    <t>ML_EX_IND</t>
  </si>
  <si>
    <t>Seat_CNXL_Rate</t>
  </si>
  <si>
    <t>American</t>
  </si>
  <si>
    <t>Delta</t>
  </si>
  <si>
    <t>count_flights</t>
  </si>
  <si>
    <t>sched_flt_ytd</t>
  </si>
  <si>
    <t>comp_flt_ytd</t>
  </si>
  <si>
    <t>a0_flt_ytd</t>
  </si>
  <si>
    <t>a14_flt_ytd</t>
  </si>
  <si>
    <t>d0_flt_ytd_o</t>
  </si>
  <si>
    <t>d0_flt_ytd</t>
  </si>
  <si>
    <t>in_sched_flt_ytd</t>
  </si>
  <si>
    <t>BUF</t>
  </si>
  <si>
    <t>ONT</t>
  </si>
  <si>
    <t>BGR</t>
  </si>
  <si>
    <t>DLH</t>
  </si>
  <si>
    <t>NAS</t>
  </si>
  <si>
    <t>BFL</t>
  </si>
  <si>
    <t>DSM</t>
  </si>
  <si>
    <t>CHS</t>
  </si>
  <si>
    <t>OMA</t>
  </si>
  <si>
    <t>PXM</t>
  </si>
  <si>
    <t>SBP</t>
  </si>
  <si>
    <t>CIU</t>
  </si>
  <si>
    <t>GSP</t>
  </si>
  <si>
    <t>ITH</t>
  </si>
  <si>
    <t>EAR</t>
  </si>
  <si>
    <t>XNA</t>
  </si>
  <si>
    <t>DDC</t>
  </si>
  <si>
    <t>IND</t>
  </si>
  <si>
    <t>PVD</t>
  </si>
  <si>
    <t>GRB</t>
  </si>
  <si>
    <t>ROC</t>
  </si>
  <si>
    <t>ICT</t>
  </si>
  <si>
    <t>PIB</t>
  </si>
  <si>
    <t>FAT</t>
  </si>
  <si>
    <t>SUN</t>
  </si>
  <si>
    <t>GUC</t>
  </si>
  <si>
    <t>YQB</t>
  </si>
  <si>
    <t>MEM</t>
  </si>
  <si>
    <t>AGU</t>
  </si>
  <si>
    <t>RDU</t>
  </si>
  <si>
    <t>JAX</t>
  </si>
  <si>
    <t>RIW</t>
  </si>
  <si>
    <t>ORF</t>
  </si>
  <si>
    <t>CID</t>
  </si>
  <si>
    <t>BRO</t>
  </si>
  <si>
    <t>RIC</t>
  </si>
  <si>
    <t>FNT</t>
  </si>
  <si>
    <t>ASE</t>
  </si>
  <si>
    <t>BDL</t>
  </si>
  <si>
    <t>MOB</t>
  </si>
  <si>
    <t>MZT</t>
  </si>
  <si>
    <t>HSV</t>
  </si>
  <si>
    <t>BUR</t>
  </si>
  <si>
    <t>GRR</t>
  </si>
  <si>
    <t>CMX</t>
  </si>
  <si>
    <t>GSO</t>
  </si>
  <si>
    <t>SGU</t>
  </si>
  <si>
    <t>SAF</t>
  </si>
  <si>
    <t>MBS</t>
  </si>
  <si>
    <t>EAU</t>
  </si>
  <si>
    <t>AVL</t>
  </si>
  <si>
    <t>DEC</t>
  </si>
  <si>
    <t>ILM</t>
  </si>
  <si>
    <t>ATW</t>
  </si>
  <si>
    <t>LWS</t>
  </si>
  <si>
    <t>MHT</t>
  </si>
  <si>
    <t>CPR</t>
  </si>
  <si>
    <t>EUG</t>
  </si>
  <si>
    <t>ACK</t>
  </si>
  <si>
    <t>ABE</t>
  </si>
  <si>
    <t>DAY</t>
  </si>
  <si>
    <t>SLC</t>
  </si>
  <si>
    <t>ABQ</t>
  </si>
  <si>
    <t>BFF</t>
  </si>
  <si>
    <t>DTW</t>
  </si>
  <si>
    <t>CMH</t>
  </si>
  <si>
    <t>ECP</t>
  </si>
  <si>
    <t>SHR</t>
  </si>
  <si>
    <t>ELP</t>
  </si>
  <si>
    <t>RNO</t>
  </si>
  <si>
    <t>SAT</t>
  </si>
  <si>
    <t>YVR</t>
  </si>
  <si>
    <t>MYR</t>
  </si>
  <si>
    <t>IDA</t>
  </si>
  <si>
    <t>OKC</t>
  </si>
  <si>
    <t>HDN</t>
  </si>
  <si>
    <t>AUS</t>
  </si>
  <si>
    <t>JLN</t>
  </si>
  <si>
    <t>ZIH</t>
  </si>
  <si>
    <t>CLT</t>
  </si>
  <si>
    <t>JMS</t>
  </si>
  <si>
    <t>YHZ</t>
  </si>
  <si>
    <t>MDT</t>
  </si>
  <si>
    <t>HLN</t>
  </si>
  <si>
    <t>VCT</t>
  </si>
  <si>
    <t>DIK</t>
  </si>
  <si>
    <t>YQR</t>
  </si>
  <si>
    <t>HYS</t>
  </si>
  <si>
    <t>LAR</t>
  </si>
  <si>
    <t>LIT</t>
  </si>
  <si>
    <t>MTY</t>
  </si>
  <si>
    <t>GJT</t>
  </si>
  <si>
    <t>SUX</t>
  </si>
  <si>
    <t>ROA</t>
  </si>
  <si>
    <t>PIR</t>
  </si>
  <si>
    <t>GPT</t>
  </si>
  <si>
    <t>SNA</t>
  </si>
  <si>
    <t>TUS</t>
  </si>
  <si>
    <t>COS</t>
  </si>
  <si>
    <t>PRC</t>
  </si>
  <si>
    <t>PBI</t>
  </si>
  <si>
    <t>PLN</t>
  </si>
  <si>
    <t>COU</t>
  </si>
  <si>
    <t>SCE</t>
  </si>
  <si>
    <t>QRO</t>
  </si>
  <si>
    <t>SLN</t>
  </si>
  <si>
    <t>SLP</t>
  </si>
  <si>
    <t>BTM</t>
  </si>
  <si>
    <t>PSC</t>
  </si>
  <si>
    <t>CAE</t>
  </si>
  <si>
    <t>OAX</t>
  </si>
  <si>
    <t>LBB</t>
  </si>
  <si>
    <t>FWA</t>
  </si>
  <si>
    <t>YOW</t>
  </si>
  <si>
    <t>HAV</t>
  </si>
  <si>
    <t>PHX</t>
  </si>
  <si>
    <t>SEA</t>
  </si>
  <si>
    <t>MGW</t>
  </si>
  <si>
    <t>BHM</t>
  </si>
  <si>
    <t>ATY</t>
  </si>
  <si>
    <t>RDM</t>
  </si>
  <si>
    <t>SRQ</t>
  </si>
  <si>
    <t>GEG</t>
  </si>
  <si>
    <t>FSD</t>
  </si>
  <si>
    <t>GTF</t>
  </si>
  <si>
    <t>LEX</t>
  </si>
  <si>
    <t>BZN</t>
  </si>
  <si>
    <t>MSO</t>
  </si>
  <si>
    <t>ALB</t>
  </si>
  <si>
    <t>SMF</t>
  </si>
  <si>
    <t>MLI</t>
  </si>
  <si>
    <t>BIL</t>
  </si>
  <si>
    <t>DFW</t>
  </si>
  <si>
    <t>BIS</t>
  </si>
  <si>
    <t>MCI</t>
  </si>
  <si>
    <t>YWG</t>
  </si>
  <si>
    <t>COD</t>
  </si>
  <si>
    <t>BOS</t>
  </si>
  <si>
    <t>CHA</t>
  </si>
  <si>
    <t>FAR</t>
  </si>
  <si>
    <t>PWM</t>
  </si>
  <si>
    <t>LBL</t>
  </si>
  <si>
    <t>JST</t>
  </si>
  <si>
    <t>XWA</t>
  </si>
  <si>
    <t>LAS</t>
  </si>
  <si>
    <t>TUL</t>
  </si>
  <si>
    <t>PHL</t>
  </si>
  <si>
    <t>EYW</t>
  </si>
  <si>
    <t>PSP</t>
  </si>
  <si>
    <t>FOD</t>
  </si>
  <si>
    <t>EGE</t>
  </si>
  <si>
    <t>CHO</t>
  </si>
  <si>
    <t>HRL</t>
  </si>
  <si>
    <t>SYR</t>
  </si>
  <si>
    <t>ACA</t>
  </si>
  <si>
    <t>DRO</t>
  </si>
  <si>
    <t>SDF</t>
  </si>
  <si>
    <t>MSP</t>
  </si>
  <si>
    <t>SBN</t>
  </si>
  <si>
    <t>MKE</t>
  </si>
  <si>
    <t>JAN</t>
  </si>
  <si>
    <t>TAM</t>
  </si>
  <si>
    <t>PNS</t>
  </si>
  <si>
    <t>YYZ</t>
  </si>
  <si>
    <t>RHI</t>
  </si>
  <si>
    <t>HHH</t>
  </si>
  <si>
    <t>FCA</t>
  </si>
  <si>
    <t>GCC</t>
  </si>
  <si>
    <t>ACV</t>
  </si>
  <si>
    <t>RDD</t>
  </si>
  <si>
    <t>LAF</t>
  </si>
  <si>
    <t>SAV</t>
  </si>
  <si>
    <t>MCW</t>
  </si>
  <si>
    <t>GDL</t>
  </si>
  <si>
    <t>RKS</t>
  </si>
  <si>
    <t>MEI</t>
  </si>
  <si>
    <t>SHV</t>
  </si>
  <si>
    <t>ZLO</t>
  </si>
  <si>
    <t>SAN</t>
  </si>
  <si>
    <t>SBA</t>
  </si>
  <si>
    <t>HOB</t>
  </si>
  <si>
    <t>LCH</t>
  </si>
  <si>
    <t>AMA</t>
  </si>
  <si>
    <t>MSN</t>
  </si>
  <si>
    <t>CRP</t>
  </si>
  <si>
    <t>MTJ</t>
  </si>
  <si>
    <t>BOI</t>
  </si>
  <si>
    <t>SGF</t>
  </si>
  <si>
    <t>BTR</t>
  </si>
  <si>
    <t>LRD</t>
  </si>
  <si>
    <t>PIT</t>
  </si>
  <si>
    <t>PBC</t>
  </si>
  <si>
    <t>ATL</t>
  </si>
  <si>
    <t>MAF</t>
  </si>
  <si>
    <t>CVG</t>
  </si>
  <si>
    <t>OTH</t>
  </si>
  <si>
    <t>FMN</t>
  </si>
  <si>
    <t>PDX</t>
  </si>
  <si>
    <t>TVC</t>
  </si>
  <si>
    <t>STL</t>
  </si>
  <si>
    <t>LNK</t>
  </si>
  <si>
    <t>MLM</t>
  </si>
  <si>
    <t>BNA</t>
  </si>
  <si>
    <t>WYS</t>
  </si>
  <si>
    <t>MFE</t>
  </si>
  <si>
    <t>BTV</t>
  </si>
  <si>
    <t>YUL</t>
  </si>
  <si>
    <t>AVP</t>
  </si>
  <si>
    <t>JAC</t>
  </si>
  <si>
    <t>TYS</t>
  </si>
  <si>
    <t>MOT</t>
  </si>
  <si>
    <t>LFT</t>
  </si>
  <si>
    <t>BIH</t>
  </si>
  <si>
    <t>DVL</t>
  </si>
  <si>
    <t>MRY</t>
  </si>
  <si>
    <t>RAP</t>
  </si>
  <si>
    <t>MSY</t>
  </si>
  <si>
    <t>CAK</t>
  </si>
  <si>
    <t>CYS</t>
  </si>
  <si>
    <t>PIA</t>
  </si>
  <si>
    <t>SJC</t>
  </si>
  <si>
    <t>CLE</t>
  </si>
  <si>
    <t>MFR</t>
  </si>
  <si>
    <t>LBF</t>
  </si>
  <si>
    <t>CRW</t>
  </si>
  <si>
    <t>BJX</t>
  </si>
  <si>
    <t>timeperiod</t>
  </si>
  <si>
    <t>short_dlys</t>
  </si>
  <si>
    <t>long_dlys</t>
  </si>
  <si>
    <t>total_dprt_dlys</t>
  </si>
  <si>
    <t>fo_dlys</t>
  </si>
  <si>
    <t>if_dlys</t>
  </si>
  <si>
    <t>fx_dlys</t>
  </si>
  <si>
    <t>fr_fy_dlys</t>
  </si>
  <si>
    <t>fd_n_q_s_dlys</t>
  </si>
  <si>
    <t>ix_r_s_dlys</t>
  </si>
  <si>
    <t>il_im_dlys</t>
  </si>
  <si>
    <t>ib_d_e_g_p_z_dlys</t>
  </si>
  <si>
    <t>sked</t>
  </si>
  <si>
    <t>short_dly_rate</t>
  </si>
  <si>
    <t>long_dly_rate</t>
  </si>
  <si>
    <t>total_dprt_dly_rate</t>
  </si>
  <si>
    <t>fo_dly_rate</t>
  </si>
  <si>
    <t>if_dly_rate</t>
  </si>
  <si>
    <t>Yest</t>
  </si>
  <si>
    <t>Mainline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</si>
</sst>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\ \p.\p.;\(0.00\ \p.\p.\)"/>
    <numFmt numFmtId="166" formatCode="0.0"/>
  </numFmts>
  <fonts count="44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Segoe U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555555"/>
      <name val="Tahoma"/>
      <family val="2"/>
    </font>
    <font>
      <sz val="9"/>
      <color rgb="FF222222"/>
      <name val="Arial"/>
      <family val="2"/>
    </font>
    <font>
      <sz val="9"/>
      <color rgb="FF1D5987"/>
      <name val="Arial"/>
      <family val="2"/>
    </font>
    <font>
      <sz val="9"/>
      <color rgb="FFE17009"/>
      <name val="Arial"/>
      <family val="2"/>
    </font>
    <font>
      <sz val="9"/>
      <color theme="1"/>
      <name val="Arial"/>
      <family val="2"/>
    </font>
    <font>
      <sz val="11"/>
      <color indexed="8"/>
      <name val="Calibri"/>
      <family val="2"/>
      <scheme val="minor"/>
    </font>
    <font>
      <b/>
      <sz val="11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5F8F9"/>
        <bgColor indexed="64"/>
      </patternFill>
    </fill>
    <fill>
      <patternFill patternType="solid">
        <fgColor rgb="FFD0E5F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theme="2" tint="-0.499984740745262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medium">
        <color theme="2" tint="-0.499984740745262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rgb="FFC5C5C5"/>
      </right>
      <top style="medium">
        <color rgb="FFC5C5C5"/>
      </top>
      <bottom style="medium">
        <color rgb="FFC5C5C5"/>
      </bottom>
      <diagonal/>
    </border>
    <border>
      <left/>
      <right style="medium">
        <color rgb="FFCDCDCD"/>
      </right>
      <top/>
      <bottom style="medium">
        <color rgb="FFCDCDCD"/>
      </bottom>
      <diagonal/>
    </border>
    <border>
      <left style="medium">
        <color rgb="FF79B7E7"/>
      </left>
      <right style="medium">
        <color rgb="FFCDCDCD"/>
      </right>
      <top style="medium">
        <color rgb="FF79B7E7"/>
      </top>
      <bottom style="medium">
        <color rgb="FFCDCDCD"/>
      </bottom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9" fontId="15" fillId="0" borderId="0" applyFont="0" applyFill="0" applyBorder="0" applyAlignment="0" applyProtection="0"/>
    <xf numFmtId="0" fontId="42" fillId="0" borderId="0"/>
  </cellStyleXfs>
  <cellXfs count="311">
    <xf numFmtId="0" fontId="0" fillId="0" borderId="0" xfId="0"/>
    <xf numFmtId="0" fontId="3" fillId="0" borderId="0" xfId="0" applyFont="1"/>
    <xf numFmtId="165" fontId="3" fillId="0" borderId="0" xfId="0" applyNumberFormat="1" applyFont="1"/>
    <xf numFmtId="3" fontId="0" fillId="0" borderId="0" xfId="0" applyNumberFormat="1"/>
    <xf numFmtId="0" fontId="11" fillId="4" borderId="5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 wrapText="1"/>
    </xf>
    <xf numFmtId="0" fontId="11" fillId="4" borderId="6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12" fillId="0" borderId="11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2" fillId="3" borderId="11" xfId="0" applyFont="1" applyFill="1" applyBorder="1" applyAlignment="1">
      <alignment vertical="center"/>
    </xf>
    <xf numFmtId="0" fontId="13" fillId="3" borderId="12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12" fillId="0" borderId="1" xfId="0" applyFont="1" applyBorder="1" applyAlignment="1">
      <alignment vertical="center"/>
    </xf>
    <xf numFmtId="0" fontId="12" fillId="0" borderId="4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1" fillId="4" borderId="2" xfId="0" applyFont="1" applyFill="1" applyBorder="1" applyAlignment="1">
      <alignment vertical="center" wrapText="1"/>
    </xf>
    <xf numFmtId="0" fontId="11" fillId="4" borderId="3" xfId="0" applyFont="1" applyFill="1" applyBorder="1" applyAlignment="1">
      <alignment vertical="center" wrapText="1"/>
    </xf>
    <xf numFmtId="0" fontId="11" fillId="4" borderId="9" xfId="0" applyFont="1" applyFill="1" applyBorder="1" applyAlignment="1">
      <alignment vertical="center" wrapText="1"/>
    </xf>
    <xf numFmtId="0" fontId="7" fillId="0" borderId="14" xfId="0" applyFont="1" applyBorder="1" applyAlignment="1">
      <alignment horizontal="center"/>
    </xf>
    <xf numFmtId="164" fontId="7" fillId="0" borderId="14" xfId="0" applyNumberFormat="1" applyFont="1" applyBorder="1"/>
    <xf numFmtId="164" fontId="7" fillId="0" borderId="14" xfId="0" applyNumberFormat="1" applyFont="1" applyBorder="1" applyAlignment="1">
      <alignment horizontal="center"/>
    </xf>
    <xf numFmtId="2" fontId="9" fillId="0" borderId="14" xfId="0" applyNumberFormat="1" applyFont="1" applyBorder="1" applyAlignment="1">
      <alignment horizontal="center"/>
    </xf>
    <xf numFmtId="0" fontId="11" fillId="4" borderId="18" xfId="0" applyFont="1" applyFill="1" applyBorder="1" applyAlignment="1">
      <alignment horizontal="center" vertical="center" wrapText="1"/>
    </xf>
    <xf numFmtId="164" fontId="7" fillId="0" borderId="17" xfId="0" applyNumberFormat="1" applyFont="1" applyBorder="1"/>
    <xf numFmtId="164" fontId="7" fillId="0" borderId="17" xfId="0" applyNumberFormat="1" applyFont="1" applyBorder="1" applyAlignment="1">
      <alignment horizontal="center"/>
    </xf>
    <xf numFmtId="2" fontId="9" fillId="0" borderId="17" xfId="0" applyNumberFormat="1" applyFont="1" applyBorder="1" applyAlignment="1">
      <alignment horizontal="center"/>
    </xf>
    <xf numFmtId="2" fontId="10" fillId="0" borderId="17" xfId="0" applyNumberFormat="1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/>
    </xf>
    <xf numFmtId="0" fontId="14" fillId="0" borderId="0" xfId="0" applyFont="1" applyAlignment="1">
      <alignment vertical="center"/>
    </xf>
    <xf numFmtId="0" fontId="7" fillId="0" borderId="12" xfId="0" applyFont="1" applyBorder="1" applyAlignment="1">
      <alignment horizontal="center"/>
    </xf>
    <xf numFmtId="0" fontId="13" fillId="3" borderId="13" xfId="0" quotePrefix="1" applyFont="1" applyFill="1" applyBorder="1" applyAlignment="1">
      <alignment horizontal="center" vertical="center"/>
    </xf>
    <xf numFmtId="0" fontId="7" fillId="0" borderId="13" xfId="0" quotePrefix="1" applyFont="1" applyBorder="1" applyAlignment="1">
      <alignment horizontal="center"/>
    </xf>
    <xf numFmtId="0" fontId="6" fillId="0" borderId="17" xfId="0" applyFont="1" applyBorder="1"/>
    <xf numFmtId="0" fontId="6" fillId="0" borderId="14" xfId="0" applyFont="1" applyBorder="1"/>
    <xf numFmtId="0" fontId="6" fillId="4" borderId="20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16" fontId="6" fillId="4" borderId="19" xfId="0" applyNumberFormat="1" applyFont="1" applyFill="1" applyBorder="1" applyAlignment="1">
      <alignment horizontal="left" vertical="center"/>
    </xf>
    <xf numFmtId="14" fontId="6" fillId="4" borderId="20" xfId="0" applyNumberFormat="1" applyFont="1" applyFill="1" applyBorder="1" applyAlignment="1">
      <alignment horizontal="center" vertical="center"/>
    </xf>
    <xf numFmtId="164" fontId="0" fillId="0" borderId="0" xfId="1" applyNumberFormat="1" applyFont="1"/>
    <xf numFmtId="1" fontId="0" fillId="0" borderId="0" xfId="1" applyNumberFormat="1" applyFont="1"/>
    <xf numFmtId="1" fontId="7" fillId="0" borderId="14" xfId="0" applyNumberFormat="1" applyFont="1" applyBorder="1" applyAlignment="1">
      <alignment horizontal="center"/>
    </xf>
    <xf numFmtId="14" fontId="0" fillId="0" borderId="0" xfId="0" applyNumberFormat="1"/>
    <xf numFmtId="10" fontId="0" fillId="0" borderId="0" xfId="0" applyNumberFormat="1" applyAlignment="1">
      <alignment vertical="center"/>
    </xf>
    <xf numFmtId="0" fontId="16" fillId="0" borderId="0" xfId="0" applyFont="1" applyAlignment="1">
      <alignment horizontal="left" indent="1"/>
    </xf>
    <xf numFmtId="3" fontId="18" fillId="0" borderId="0" xfId="0" applyNumberFormat="1" applyFont="1" applyAlignment="1">
      <alignment horizontal="center" vertical="center"/>
    </xf>
    <xf numFmtId="0" fontId="19" fillId="0" borderId="0" xfId="0" applyFont="1"/>
    <xf numFmtId="0" fontId="20" fillId="0" borderId="0" xfId="0" applyFont="1"/>
    <xf numFmtId="0" fontId="17" fillId="0" borderId="0" xfId="0" applyFont="1"/>
    <xf numFmtId="0" fontId="6" fillId="0" borderId="14" xfId="0" applyFont="1" applyBorder="1" applyAlignment="1">
      <alignment horizontal="left" indent="1"/>
    </xf>
    <xf numFmtId="0" fontId="6" fillId="0" borderId="17" xfId="0" applyFont="1" applyBorder="1" applyAlignment="1">
      <alignment horizontal="left" indent="1"/>
    </xf>
    <xf numFmtId="16" fontId="6" fillId="4" borderId="19" xfId="0" applyNumberFormat="1" applyFont="1" applyFill="1" applyBorder="1" applyAlignment="1">
      <alignment horizontal="left" vertical="distributed" indent="1"/>
    </xf>
    <xf numFmtId="10" fontId="7" fillId="0" borderId="14" xfId="0" applyNumberFormat="1" applyFont="1" applyBorder="1" applyAlignment="1">
      <alignment horizontal="center"/>
    </xf>
    <xf numFmtId="0" fontId="12" fillId="0" borderId="11" xfId="0" applyFont="1" applyBorder="1" applyAlignment="1">
      <alignment horizontal="left" vertical="center" indent="1"/>
    </xf>
    <xf numFmtId="0" fontId="12" fillId="3" borderId="11" xfId="0" applyFont="1" applyFill="1" applyBorder="1" applyAlignment="1">
      <alignment horizontal="left" vertical="center" indent="1"/>
    </xf>
    <xf numFmtId="0" fontId="12" fillId="0" borderId="1" xfId="0" applyFont="1" applyBorder="1" applyAlignment="1">
      <alignment horizontal="left" vertical="center" indent="1"/>
    </xf>
    <xf numFmtId="0" fontId="3" fillId="0" borderId="0" xfId="0" applyFont="1" applyAlignment="1">
      <alignment horizontal="right" vertical="center" indent="2"/>
    </xf>
    <xf numFmtId="0" fontId="11" fillId="4" borderId="1" xfId="0" applyFont="1" applyFill="1" applyBorder="1" applyAlignment="1">
      <alignment horizontal="left" vertical="center" wrapText="1" indent="1"/>
    </xf>
    <xf numFmtId="0" fontId="11" fillId="4" borderId="4" xfId="0" applyFont="1" applyFill="1" applyBorder="1" applyAlignment="1">
      <alignment horizontal="center" vertical="center" wrapText="1"/>
    </xf>
    <xf numFmtId="0" fontId="11" fillId="4" borderId="7" xfId="0" applyFont="1" applyFill="1" applyBorder="1" applyAlignment="1">
      <alignment horizontal="center" vertical="center" wrapText="1"/>
    </xf>
    <xf numFmtId="0" fontId="11" fillId="6" borderId="10" xfId="0" applyFont="1" applyFill="1" applyBorder="1" applyAlignment="1">
      <alignment horizontal="center" vertical="center" wrapText="1"/>
    </xf>
    <xf numFmtId="0" fontId="11" fillId="5" borderId="10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64" fontId="7" fillId="0" borderId="14" xfId="0" applyNumberFormat="1" applyFont="1" applyBorder="1" applyAlignment="1">
      <alignment horizontal="right" indent="1"/>
    </xf>
    <xf numFmtId="164" fontId="7" fillId="0" borderId="17" xfId="0" applyNumberFormat="1" applyFont="1" applyBorder="1" applyAlignment="1">
      <alignment horizontal="right" indent="1"/>
    </xf>
    <xf numFmtId="10" fontId="7" fillId="0" borderId="14" xfId="0" applyNumberFormat="1" applyFont="1" applyBorder="1" applyAlignment="1">
      <alignment horizontal="right" indent="1"/>
    </xf>
    <xf numFmtId="0" fontId="13" fillId="0" borderId="12" xfId="0" applyFont="1" applyBorder="1" applyAlignment="1">
      <alignment horizontal="right" vertical="center" indent="1"/>
    </xf>
    <xf numFmtId="0" fontId="13" fillId="3" borderId="12" xfId="0" applyFont="1" applyFill="1" applyBorder="1" applyAlignment="1">
      <alignment horizontal="right" vertical="center" indent="1"/>
    </xf>
    <xf numFmtId="0" fontId="12" fillId="0" borderId="4" xfId="0" applyFont="1" applyBorder="1" applyAlignment="1">
      <alignment horizontal="right" vertical="center" indent="1"/>
    </xf>
    <xf numFmtId="166" fontId="9" fillId="0" borderId="14" xfId="1" applyNumberFormat="1" applyFont="1" applyFill="1" applyBorder="1" applyAlignment="1">
      <alignment horizontal="center"/>
    </xf>
    <xf numFmtId="0" fontId="22" fillId="0" borderId="0" xfId="0" applyFont="1"/>
    <xf numFmtId="10" fontId="7" fillId="0" borderId="0" xfId="0" applyNumberFormat="1" applyFont="1" applyAlignment="1">
      <alignment horizontal="center"/>
    </xf>
    <xf numFmtId="1" fontId="7" fillId="0" borderId="14" xfId="0" applyNumberFormat="1" applyFont="1" applyBorder="1" applyAlignment="1">
      <alignment horizontal="right" indent="2"/>
    </xf>
    <xf numFmtId="16" fontId="25" fillId="4" borderId="19" xfId="0" applyNumberFormat="1" applyFont="1" applyFill="1" applyBorder="1" applyAlignment="1">
      <alignment horizontal="left" vertical="distributed" indent="1"/>
    </xf>
    <xf numFmtId="14" fontId="25" fillId="4" borderId="20" xfId="0" applyNumberFormat="1" applyFont="1" applyFill="1" applyBorder="1" applyAlignment="1">
      <alignment horizontal="center" vertical="center"/>
    </xf>
    <xf numFmtId="0" fontId="25" fillId="4" borderId="20" xfId="0" applyFont="1" applyFill="1" applyBorder="1" applyAlignment="1">
      <alignment horizontal="center" vertical="center"/>
    </xf>
    <xf numFmtId="0" fontId="25" fillId="7" borderId="21" xfId="0" applyFont="1" applyFill="1" applyBorder="1" applyAlignment="1">
      <alignment horizontal="center" vertical="center"/>
    </xf>
    <xf numFmtId="0" fontId="25" fillId="0" borderId="14" xfId="0" applyFont="1" applyBorder="1" applyAlignment="1">
      <alignment horizontal="left" indent="1"/>
    </xf>
    <xf numFmtId="164" fontId="3" fillId="0" borderId="14" xfId="0" applyNumberFormat="1" applyFont="1" applyBorder="1" applyAlignment="1">
      <alignment horizontal="right" indent="1"/>
    </xf>
    <xf numFmtId="164" fontId="3" fillId="0" borderId="14" xfId="0" applyNumberFormat="1" applyFont="1" applyBorder="1" applyAlignment="1">
      <alignment horizontal="center"/>
    </xf>
    <xf numFmtId="166" fontId="23" fillId="0" borderId="14" xfId="1" applyNumberFormat="1" applyFont="1" applyFill="1" applyBorder="1" applyAlignment="1">
      <alignment horizontal="center"/>
    </xf>
    <xf numFmtId="0" fontId="25" fillId="0" borderId="17" xfId="0" applyFont="1" applyBorder="1" applyAlignment="1">
      <alignment horizontal="left" indent="1"/>
    </xf>
    <xf numFmtId="1" fontId="3" fillId="0" borderId="22" xfId="0" applyNumberFormat="1" applyFont="1" applyBorder="1" applyAlignment="1">
      <alignment horizontal="center"/>
    </xf>
    <xf numFmtId="164" fontId="3" fillId="0" borderId="22" xfId="0" applyNumberFormat="1" applyFont="1" applyBorder="1" applyAlignment="1">
      <alignment horizontal="right" indent="1"/>
    </xf>
    <xf numFmtId="14" fontId="25" fillId="4" borderId="23" xfId="0" applyNumberFormat="1" applyFont="1" applyFill="1" applyBorder="1" applyAlignment="1">
      <alignment horizontal="center" vertical="center"/>
    </xf>
    <xf numFmtId="166" fontId="23" fillId="0" borderId="24" xfId="1" applyNumberFormat="1" applyFont="1" applyFill="1" applyBorder="1" applyAlignment="1">
      <alignment horizontal="center"/>
    </xf>
    <xf numFmtId="164" fontId="3" fillId="0" borderId="25" xfId="0" applyNumberFormat="1" applyFont="1" applyBorder="1" applyAlignment="1">
      <alignment horizontal="right" indent="1"/>
    </xf>
    <xf numFmtId="0" fontId="25" fillId="0" borderId="26" xfId="0" applyFont="1" applyBorder="1" applyAlignment="1">
      <alignment horizontal="left" indent="1"/>
    </xf>
    <xf numFmtId="164" fontId="3" fillId="0" borderId="26" xfId="0" applyNumberFormat="1" applyFont="1" applyBorder="1" applyAlignment="1">
      <alignment horizontal="right" indent="1"/>
    </xf>
    <xf numFmtId="164" fontId="3" fillId="0" borderId="27" xfId="0" applyNumberFormat="1" applyFont="1" applyBorder="1" applyAlignment="1">
      <alignment horizontal="right" indent="1"/>
    </xf>
    <xf numFmtId="164" fontId="3" fillId="0" borderId="28" xfId="0" applyNumberFormat="1" applyFont="1" applyBorder="1" applyAlignment="1">
      <alignment horizontal="right" indent="1"/>
    </xf>
    <xf numFmtId="14" fontId="6" fillId="4" borderId="23" xfId="0" applyNumberFormat="1" applyFont="1" applyFill="1" applyBorder="1" applyAlignment="1">
      <alignment horizontal="center" vertical="center"/>
    </xf>
    <xf numFmtId="47" fontId="0" fillId="0" borderId="0" xfId="0" applyNumberFormat="1"/>
    <xf numFmtId="166" fontId="7" fillId="0" borderId="14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 indent="1"/>
    </xf>
    <xf numFmtId="0" fontId="6" fillId="0" borderId="30" xfId="0" applyFont="1" applyBorder="1" applyAlignment="1">
      <alignment horizontal="left" indent="1"/>
    </xf>
    <xf numFmtId="164" fontId="0" fillId="0" borderId="0" xfId="1" applyNumberFormat="1" applyFont="1" applyBorder="1"/>
    <xf numFmtId="16" fontId="6" fillId="4" borderId="0" xfId="0" applyNumberFormat="1" applyFont="1" applyFill="1" applyAlignment="1">
      <alignment horizontal="left" vertical="center"/>
    </xf>
    <xf numFmtId="0" fontId="0" fillId="8" borderId="0" xfId="0" applyFill="1"/>
    <xf numFmtId="3" fontId="0" fillId="8" borderId="0" xfId="0" applyNumberFormat="1" applyFill="1"/>
    <xf numFmtId="166" fontId="7" fillId="0" borderId="14" xfId="0" quotePrefix="1" applyNumberFormat="1" applyFont="1" applyBorder="1" applyAlignment="1">
      <alignment horizontal="center"/>
    </xf>
    <xf numFmtId="0" fontId="6" fillId="4" borderId="33" xfId="0" applyFont="1" applyFill="1" applyBorder="1" applyAlignment="1">
      <alignment horizontal="center" vertical="center"/>
    </xf>
    <xf numFmtId="164" fontId="7" fillId="0" borderId="22" xfId="0" applyNumberFormat="1" applyFont="1" applyBorder="1" applyAlignment="1">
      <alignment horizontal="center"/>
    </xf>
    <xf numFmtId="166" fontId="7" fillId="0" borderId="34" xfId="0" quotePrefix="1" applyNumberFormat="1" applyFont="1" applyBorder="1" applyAlignment="1">
      <alignment horizontal="center"/>
    </xf>
    <xf numFmtId="1" fontId="7" fillId="0" borderId="34" xfId="0" applyNumberFormat="1" applyFont="1" applyBorder="1" applyAlignment="1">
      <alignment horizontal="center"/>
    </xf>
    <xf numFmtId="0" fontId="23" fillId="0" borderId="0" xfId="0" applyFont="1"/>
    <xf numFmtId="0" fontId="0" fillId="9" borderId="0" xfId="0" applyFill="1"/>
    <xf numFmtId="10" fontId="0" fillId="9" borderId="0" xfId="0" applyNumberFormat="1" applyFill="1" applyAlignment="1">
      <alignment vertical="center"/>
    </xf>
    <xf numFmtId="164" fontId="0" fillId="9" borderId="0" xfId="1" applyNumberFormat="1" applyFont="1" applyFill="1"/>
    <xf numFmtId="3" fontId="18" fillId="9" borderId="0" xfId="0" applyNumberFormat="1" applyFont="1" applyFill="1" applyAlignment="1">
      <alignment horizontal="center" vertical="center"/>
    </xf>
    <xf numFmtId="10" fontId="0" fillId="9" borderId="0" xfId="1" applyNumberFormat="1" applyFont="1" applyFill="1"/>
    <xf numFmtId="10" fontId="0" fillId="0" borderId="0" xfId="1" applyNumberFormat="1" applyFont="1"/>
    <xf numFmtId="10" fontId="7" fillId="0" borderId="14" xfId="0" applyNumberFormat="1" applyFont="1" applyBorder="1"/>
    <xf numFmtId="10" fontId="7" fillId="0" borderId="14" xfId="1" applyNumberFormat="1" applyFont="1" applyBorder="1" applyAlignment="1">
      <alignment horizontal="center"/>
    </xf>
    <xf numFmtId="10" fontId="0" fillId="0" borderId="0" xfId="1" applyNumberFormat="1" applyFont="1" applyFill="1"/>
    <xf numFmtId="0" fontId="3" fillId="0" borderId="0" xfId="0" applyFont="1" applyAlignment="1">
      <alignment horizontal="center"/>
    </xf>
    <xf numFmtId="0" fontId="12" fillId="10" borderId="11" xfId="0" applyFont="1" applyFill="1" applyBorder="1" applyAlignment="1">
      <alignment horizontal="left" vertical="center" indent="1"/>
    </xf>
    <xf numFmtId="0" fontId="13" fillId="10" borderId="12" xfId="0" applyFont="1" applyFill="1" applyBorder="1" applyAlignment="1">
      <alignment horizontal="right" vertical="center" indent="1"/>
    </xf>
    <xf numFmtId="0" fontId="13" fillId="10" borderId="0" xfId="0" applyFont="1" applyFill="1" applyAlignment="1">
      <alignment horizontal="center" vertical="center"/>
    </xf>
    <xf numFmtId="0" fontId="13" fillId="10" borderId="13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13" fillId="10" borderId="13" xfId="0" quotePrefix="1" applyFont="1" applyFill="1" applyBorder="1" applyAlignment="1">
      <alignment horizontal="center" vertical="center"/>
    </xf>
    <xf numFmtId="0" fontId="19" fillId="10" borderId="0" xfId="0" applyFont="1" applyFill="1"/>
    <xf numFmtId="0" fontId="17" fillId="10" borderId="0" xfId="0" applyFont="1" applyFill="1"/>
    <xf numFmtId="0" fontId="23" fillId="10" borderId="0" xfId="0" applyFont="1" applyFill="1"/>
    <xf numFmtId="0" fontId="28" fillId="10" borderId="0" xfId="0" applyFont="1" applyFill="1" applyAlignment="1">
      <alignment horizontal="center" vertical="center"/>
    </xf>
    <xf numFmtId="0" fontId="0" fillId="10" borderId="38" xfId="0" applyFill="1" applyBorder="1"/>
    <xf numFmtId="0" fontId="0" fillId="10" borderId="0" xfId="0" applyFill="1"/>
    <xf numFmtId="0" fontId="16" fillId="10" borderId="40" xfId="0" applyFont="1" applyFill="1" applyBorder="1" applyAlignment="1">
      <alignment horizontal="center" vertical="center"/>
    </xf>
    <xf numFmtId="0" fontId="0" fillId="10" borderId="39" xfId="0" applyFill="1" applyBorder="1"/>
    <xf numFmtId="0" fontId="16" fillId="10" borderId="0" xfId="0" applyFont="1" applyFill="1" applyAlignment="1">
      <alignment horizontal="left" vertical="center"/>
    </xf>
    <xf numFmtId="164" fontId="0" fillId="10" borderId="43" xfId="1" applyNumberFormat="1" applyFont="1" applyFill="1" applyBorder="1" applyAlignment="1">
      <alignment horizontal="center" vertical="center"/>
    </xf>
    <xf numFmtId="0" fontId="0" fillId="10" borderId="0" xfId="0" applyFill="1" applyAlignment="1">
      <alignment vertical="center"/>
    </xf>
    <xf numFmtId="0" fontId="29" fillId="10" borderId="0" xfId="0" applyFont="1" applyFill="1" applyAlignment="1">
      <alignment horizontal="center" vertical="center" textRotation="90"/>
    </xf>
    <xf numFmtId="0" fontId="30" fillId="10" borderId="0" xfId="0" applyFont="1" applyFill="1" applyAlignment="1">
      <alignment vertical="center"/>
    </xf>
    <xf numFmtId="0" fontId="16" fillId="10" borderId="0" xfId="0" applyFont="1" applyFill="1" applyAlignment="1">
      <alignment vertical="center"/>
    </xf>
    <xf numFmtId="0" fontId="16" fillId="10" borderId="0" xfId="0" applyFont="1" applyFill="1" applyAlignment="1">
      <alignment horizontal="center" vertical="center"/>
    </xf>
    <xf numFmtId="0" fontId="27" fillId="11" borderId="43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0" borderId="39" xfId="0" applyBorder="1"/>
    <xf numFmtId="164" fontId="15" fillId="10" borderId="43" xfId="1" applyNumberFormat="1" applyFont="1" applyFill="1" applyBorder="1" applyAlignment="1">
      <alignment horizontal="center" vertical="center"/>
    </xf>
    <xf numFmtId="166" fontId="15" fillId="10" borderId="43" xfId="0" applyNumberFormat="1" applyFont="1" applyFill="1" applyBorder="1" applyAlignment="1">
      <alignment horizontal="center" vertical="center"/>
    </xf>
    <xf numFmtId="166" fontId="15" fillId="10" borderId="38" xfId="0" applyNumberFormat="1" applyFont="1" applyFill="1" applyBorder="1" applyAlignment="1">
      <alignment horizontal="center" vertical="center"/>
    </xf>
    <xf numFmtId="1" fontId="15" fillId="10" borderId="43" xfId="0" applyNumberFormat="1" applyFont="1" applyFill="1" applyBorder="1" applyAlignment="1">
      <alignment horizontal="center" vertical="center"/>
    </xf>
    <xf numFmtId="0" fontId="17" fillId="10" borderId="38" xfId="0" applyFont="1" applyFill="1" applyBorder="1"/>
    <xf numFmtId="0" fontId="6" fillId="10" borderId="0" xfId="0" applyFont="1" applyFill="1" applyAlignment="1">
      <alignment horizontal="center" vertical="center"/>
    </xf>
    <xf numFmtId="0" fontId="0" fillId="10" borderId="44" xfId="0" applyFill="1" applyBorder="1"/>
    <xf numFmtId="0" fontId="6" fillId="10" borderId="40" xfId="0" applyFont="1" applyFill="1" applyBorder="1" applyAlignment="1">
      <alignment horizontal="center" vertical="center"/>
    </xf>
    <xf numFmtId="0" fontId="0" fillId="10" borderId="40" xfId="0" applyFill="1" applyBorder="1"/>
    <xf numFmtId="0" fontId="0" fillId="10" borderId="42" xfId="0" applyFill="1" applyBorder="1"/>
    <xf numFmtId="0" fontId="0" fillId="10" borderId="45" xfId="0" applyFill="1" applyBorder="1"/>
    <xf numFmtId="0" fontId="0" fillId="10" borderId="46" xfId="0" applyFill="1" applyBorder="1"/>
    <xf numFmtId="0" fontId="33" fillId="10" borderId="0" xfId="0" applyFont="1" applyFill="1" applyAlignment="1">
      <alignment horizontal="center" vertical="center" wrapText="1"/>
    </xf>
    <xf numFmtId="0" fontId="34" fillId="13" borderId="39" xfId="0" applyFont="1" applyFill="1" applyBorder="1" applyAlignment="1">
      <alignment horizontal="center" vertical="center"/>
    </xf>
    <xf numFmtId="0" fontId="13" fillId="13" borderId="0" xfId="0" applyFont="1" applyFill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0" fontId="34" fillId="10" borderId="39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35" fillId="10" borderId="47" xfId="0" applyFont="1" applyFill="1" applyBorder="1" applyAlignment="1">
      <alignment horizontal="center" vertical="center"/>
    </xf>
    <xf numFmtId="0" fontId="35" fillId="10" borderId="48" xfId="0" applyFont="1" applyFill="1" applyBorder="1" applyAlignment="1">
      <alignment horizontal="center" vertical="center"/>
    </xf>
    <xf numFmtId="0" fontId="35" fillId="10" borderId="49" xfId="0" applyFont="1" applyFill="1" applyBorder="1" applyAlignment="1">
      <alignment horizontal="center" vertical="center"/>
    </xf>
    <xf numFmtId="0" fontId="35" fillId="10" borderId="50" xfId="0" applyFont="1" applyFill="1" applyBorder="1" applyAlignment="1">
      <alignment horizontal="center" vertical="center"/>
    </xf>
    <xf numFmtId="0" fontId="36" fillId="10" borderId="0" xfId="0" applyFont="1" applyFill="1"/>
    <xf numFmtId="0" fontId="36" fillId="10" borderId="0" xfId="0" applyFont="1" applyFill="1" applyAlignment="1">
      <alignment vertical="center"/>
    </xf>
    <xf numFmtId="0" fontId="18" fillId="10" borderId="0" xfId="0" applyFont="1" applyFill="1"/>
    <xf numFmtId="0" fontId="0" fillId="14" borderId="0" xfId="0" applyFill="1"/>
    <xf numFmtId="0" fontId="37" fillId="14" borderId="52" xfId="0" applyFont="1" applyFill="1" applyBorder="1" applyAlignment="1">
      <alignment horizontal="left" vertical="center"/>
    </xf>
    <xf numFmtId="0" fontId="38" fillId="14" borderId="53" xfId="0" applyFont="1" applyFill="1" applyBorder="1" applyAlignment="1">
      <alignment horizontal="left" vertical="center"/>
    </xf>
    <xf numFmtId="0" fontId="39" fillId="15" borderId="54" xfId="0" applyFont="1" applyFill="1" applyBorder="1" applyAlignment="1">
      <alignment horizontal="right" vertical="center" wrapText="1"/>
    </xf>
    <xf numFmtId="0" fontId="39" fillId="16" borderId="54" xfId="0" applyFont="1" applyFill="1" applyBorder="1" applyAlignment="1">
      <alignment horizontal="left" vertical="center"/>
    </xf>
    <xf numFmtId="0" fontId="39" fillId="16" borderId="54" xfId="0" applyFont="1" applyFill="1" applyBorder="1" applyAlignment="1">
      <alignment horizontal="right" vertical="center"/>
    </xf>
    <xf numFmtId="0" fontId="40" fillId="17" borderId="54" xfId="0" applyFont="1" applyFill="1" applyBorder="1" applyAlignment="1">
      <alignment horizontal="left" vertical="center"/>
    </xf>
    <xf numFmtId="0" fontId="40" fillId="17" borderId="54" xfId="0" applyFont="1" applyFill="1" applyBorder="1" applyAlignment="1">
      <alignment horizontal="right" vertical="center"/>
    </xf>
    <xf numFmtId="0" fontId="40" fillId="16" borderId="54" xfId="0" applyFont="1" applyFill="1" applyBorder="1" applyAlignment="1">
      <alignment horizontal="left" vertical="center"/>
    </xf>
    <xf numFmtId="0" fontId="40" fillId="16" borderId="54" xfId="0" applyFont="1" applyFill="1" applyBorder="1" applyAlignment="1">
      <alignment horizontal="right" vertical="center"/>
    </xf>
    <xf numFmtId="0" fontId="6" fillId="0" borderId="0" xfId="0" applyFont="1"/>
    <xf numFmtId="164" fontId="0" fillId="0" borderId="0" xfId="0" applyNumberFormat="1"/>
    <xf numFmtId="164" fontId="7" fillId="0" borderId="55" xfId="0" applyNumberFormat="1" applyFont="1" applyBorder="1" applyAlignment="1">
      <alignment horizontal="right" indent="1"/>
    </xf>
    <xf numFmtId="0" fontId="39" fillId="18" borderId="54" xfId="0" applyFont="1" applyFill="1" applyBorder="1" applyAlignment="1">
      <alignment horizontal="left" vertical="center"/>
    </xf>
    <xf numFmtId="0" fontId="41" fillId="16" borderId="53" xfId="0" applyFont="1" applyFill="1" applyBorder="1" applyAlignment="1">
      <alignment horizontal="left" vertical="center"/>
    </xf>
    <xf numFmtId="0" fontId="41" fillId="0" borderId="53" xfId="0" applyFont="1" applyBorder="1" applyAlignment="1">
      <alignment horizontal="left" vertical="center"/>
    </xf>
    <xf numFmtId="0" fontId="37" fillId="14" borderId="52" xfId="0" applyFont="1" applyFill="1" applyBorder="1" applyAlignment="1">
      <alignment horizontal="left" vertical="center" wrapText="1"/>
    </xf>
    <xf numFmtId="0" fontId="6" fillId="0" borderId="56" xfId="0" applyFont="1" applyBorder="1" applyAlignment="1">
      <alignment horizontal="left" indent="1"/>
    </xf>
    <xf numFmtId="0" fontId="33" fillId="6" borderId="60" xfId="0" applyFont="1" applyFill="1" applyBorder="1" applyAlignment="1">
      <alignment horizontal="center" vertical="center" wrapText="1"/>
    </xf>
    <xf numFmtId="0" fontId="33" fillId="12" borderId="61" xfId="0" applyFont="1" applyFill="1" applyBorder="1" applyAlignment="1">
      <alignment horizontal="center" vertical="center" wrapText="1"/>
    </xf>
    <xf numFmtId="0" fontId="33" fillId="12" borderId="18" xfId="0" applyFont="1" applyFill="1" applyBorder="1" applyAlignment="1">
      <alignment horizontal="center" vertical="center" wrapText="1"/>
    </xf>
    <xf numFmtId="0" fontId="33" fillId="12" borderId="58" xfId="0" applyFont="1" applyFill="1" applyBorder="1" applyAlignment="1">
      <alignment horizontal="center" vertical="center" wrapText="1"/>
    </xf>
    <xf numFmtId="0" fontId="34" fillId="13" borderId="57" xfId="0" applyFont="1" applyFill="1" applyBorder="1" applyAlignment="1">
      <alignment horizontal="center" vertical="center"/>
    </xf>
    <xf numFmtId="164" fontId="15" fillId="10" borderId="62" xfId="1" applyNumberFormat="1" applyFont="1" applyFill="1" applyBorder="1" applyAlignment="1">
      <alignment horizontal="center" vertical="center"/>
    </xf>
    <xf numFmtId="166" fontId="15" fillId="10" borderId="62" xfId="0" applyNumberFormat="1" applyFont="1" applyFill="1" applyBorder="1" applyAlignment="1">
      <alignment horizontal="center" vertical="center"/>
    </xf>
    <xf numFmtId="166" fontId="15" fillId="10" borderId="63" xfId="0" applyNumberFormat="1" applyFont="1" applyFill="1" applyBorder="1" applyAlignment="1">
      <alignment horizontal="center" vertical="center"/>
    </xf>
    <xf numFmtId="1" fontId="15" fillId="10" borderId="62" xfId="0" applyNumberFormat="1" applyFont="1" applyFill="1" applyBorder="1" applyAlignment="1">
      <alignment horizontal="center" vertical="center"/>
    </xf>
    <xf numFmtId="0" fontId="16" fillId="12" borderId="64" xfId="0" applyFont="1" applyFill="1" applyBorder="1" applyAlignment="1">
      <alignment horizontal="center" vertical="center"/>
    </xf>
    <xf numFmtId="0" fontId="0" fillId="10" borderId="43" xfId="0" applyFill="1" applyBorder="1" applyAlignment="1">
      <alignment horizontal="center" vertical="center"/>
    </xf>
    <xf numFmtId="0" fontId="6" fillId="12" borderId="41" xfId="0" applyFont="1" applyFill="1" applyBorder="1" applyAlignment="1">
      <alignment horizontal="center" vertical="center"/>
    </xf>
    <xf numFmtId="0" fontId="6" fillId="19" borderId="42" xfId="0" applyFont="1" applyFill="1" applyBorder="1" applyAlignment="1">
      <alignment horizontal="center" vertical="center"/>
    </xf>
    <xf numFmtId="0" fontId="6" fillId="12" borderId="65" xfId="0" applyFont="1" applyFill="1" applyBorder="1" applyAlignment="1">
      <alignment horizontal="center" vertical="center"/>
    </xf>
    <xf numFmtId="0" fontId="6" fillId="10" borderId="43" xfId="0" applyFont="1" applyFill="1" applyBorder="1" applyAlignment="1">
      <alignment horizontal="center" vertical="center"/>
    </xf>
    <xf numFmtId="0" fontId="6" fillId="10" borderId="39" xfId="0" applyFont="1" applyFill="1" applyBorder="1" applyAlignment="1">
      <alignment horizontal="center" vertical="center"/>
    </xf>
    <xf numFmtId="0" fontId="6" fillId="10" borderId="57" xfId="0" applyFont="1" applyFill="1" applyBorder="1" applyAlignment="1">
      <alignment horizontal="center" vertical="center"/>
    </xf>
    <xf numFmtId="166" fontId="9" fillId="10" borderId="57" xfId="1" applyNumberFormat="1" applyFont="1" applyFill="1" applyBorder="1" applyAlignment="1">
      <alignment horizontal="center" vertical="center"/>
    </xf>
    <xf numFmtId="1" fontId="7" fillId="10" borderId="57" xfId="0" applyNumberFormat="1" applyFont="1" applyFill="1" applyBorder="1" applyAlignment="1">
      <alignment horizontal="center" vertical="center"/>
    </xf>
    <xf numFmtId="166" fontId="7" fillId="10" borderId="38" xfId="0" applyNumberFormat="1" applyFont="1" applyFill="1" applyBorder="1" applyAlignment="1">
      <alignment horizontal="center" vertical="center"/>
    </xf>
    <xf numFmtId="166" fontId="7" fillId="10" borderId="0" xfId="0" applyNumberFormat="1" applyFont="1" applyFill="1" applyAlignment="1">
      <alignment horizontal="center" vertical="center"/>
    </xf>
    <xf numFmtId="0" fontId="7" fillId="10" borderId="38" xfId="0" applyFont="1" applyFill="1" applyBorder="1" applyAlignment="1">
      <alignment horizontal="center" vertical="center"/>
    </xf>
    <xf numFmtId="0" fontId="7" fillId="10" borderId="43" xfId="0" applyFont="1" applyFill="1" applyBorder="1" applyAlignment="1">
      <alignment vertical="center"/>
    </xf>
    <xf numFmtId="0" fontId="7" fillId="10" borderId="38" xfId="0" applyFont="1" applyFill="1" applyBorder="1" applyAlignment="1">
      <alignment vertical="center"/>
    </xf>
    <xf numFmtId="0" fontId="7" fillId="10" borderId="0" xfId="0" applyFont="1" applyFill="1" applyAlignment="1">
      <alignment vertical="center"/>
    </xf>
    <xf numFmtId="10" fontId="7" fillId="10" borderId="43" xfId="1" applyNumberFormat="1" applyFont="1" applyFill="1" applyBorder="1" applyAlignment="1">
      <alignment horizontal="center" vertical="center"/>
    </xf>
    <xf numFmtId="0" fontId="7" fillId="0" borderId="38" xfId="0" applyFont="1" applyBorder="1" applyAlignment="1">
      <alignment vertical="center"/>
    </xf>
    <xf numFmtId="0" fontId="6" fillId="10" borderId="0" xfId="0" applyFont="1" applyFill="1" applyAlignment="1">
      <alignment vertical="center" wrapText="1"/>
    </xf>
    <xf numFmtId="164" fontId="7" fillId="10" borderId="43" xfId="1" applyNumberFormat="1" applyFont="1" applyFill="1" applyBorder="1" applyAlignment="1">
      <alignment vertical="center"/>
    </xf>
    <xf numFmtId="164" fontId="7" fillId="10" borderId="39" xfId="1" applyNumberFormat="1" applyFont="1" applyFill="1" applyBorder="1" applyAlignment="1">
      <alignment vertical="center"/>
    </xf>
    <xf numFmtId="0" fontId="6" fillId="10" borderId="38" xfId="0" applyFont="1" applyFill="1" applyBorder="1" applyAlignment="1">
      <alignment horizontal="center" vertical="center"/>
    </xf>
    <xf numFmtId="0" fontId="7" fillId="10" borderId="43" xfId="0" applyFont="1" applyFill="1" applyBorder="1" applyAlignment="1">
      <alignment horizontal="center" vertical="center"/>
    </xf>
    <xf numFmtId="1" fontId="7" fillId="10" borderId="43" xfId="0" applyNumberFormat="1" applyFont="1" applyFill="1" applyBorder="1" applyAlignment="1">
      <alignment horizontal="center" vertical="center"/>
    </xf>
    <xf numFmtId="1" fontId="7" fillId="10" borderId="39" xfId="0" applyNumberFormat="1" applyFont="1" applyFill="1" applyBorder="1" applyAlignment="1">
      <alignment horizontal="center" vertical="center"/>
    </xf>
    <xf numFmtId="0" fontId="7" fillId="10" borderId="39" xfId="0" applyFont="1" applyFill="1" applyBorder="1" applyAlignment="1">
      <alignment horizontal="center" vertical="center"/>
    </xf>
    <xf numFmtId="0" fontId="7" fillId="10" borderId="43" xfId="0" applyFont="1" applyFill="1" applyBorder="1" applyAlignment="1">
      <alignment horizontal="center"/>
    </xf>
    <xf numFmtId="0" fontId="7" fillId="10" borderId="39" xfId="0" applyFont="1" applyFill="1" applyBorder="1" applyAlignment="1">
      <alignment horizontal="center"/>
    </xf>
    <xf numFmtId="0" fontId="7" fillId="0" borderId="38" xfId="0" applyFont="1" applyBorder="1"/>
    <xf numFmtId="0" fontId="7" fillId="10" borderId="0" xfId="0" applyFont="1" applyFill="1"/>
    <xf numFmtId="0" fontId="28" fillId="10" borderId="66" xfId="0" applyFont="1" applyFill="1" applyBorder="1" applyAlignment="1">
      <alignment horizontal="center" vertical="center"/>
    </xf>
    <xf numFmtId="0" fontId="0" fillId="10" borderId="66" xfId="0" applyFill="1" applyBorder="1"/>
    <xf numFmtId="0" fontId="31" fillId="10" borderId="66" xfId="0" applyFont="1" applyFill="1" applyBorder="1" applyAlignment="1">
      <alignment vertical="center" wrapText="1"/>
    </xf>
    <xf numFmtId="0" fontId="0" fillId="10" borderId="67" xfId="0" applyFill="1" applyBorder="1"/>
    <xf numFmtId="0" fontId="0" fillId="10" borderId="68" xfId="0" applyFill="1" applyBorder="1"/>
    <xf numFmtId="0" fontId="28" fillId="10" borderId="59" xfId="0" applyFont="1" applyFill="1" applyBorder="1" applyAlignment="1">
      <alignment horizontal="center" vertical="center"/>
    </xf>
    <xf numFmtId="0" fontId="0" fillId="10" borderId="59" xfId="0" applyFill="1" applyBorder="1"/>
    <xf numFmtId="0" fontId="0" fillId="10" borderId="71" xfId="0" applyFill="1" applyBorder="1"/>
    <xf numFmtId="0" fontId="33" fillId="12" borderId="39" xfId="0" applyFont="1" applyFill="1" applyBorder="1" applyAlignment="1">
      <alignment horizontal="center" vertical="center" wrapText="1"/>
    </xf>
    <xf numFmtId="0" fontId="34" fillId="10" borderId="57" xfId="0" applyFont="1" applyFill="1" applyBorder="1" applyAlignment="1">
      <alignment horizontal="center" vertical="center"/>
    </xf>
    <xf numFmtId="0" fontId="34" fillId="10" borderId="65" xfId="0" applyFont="1" applyFill="1" applyBorder="1" applyAlignment="1">
      <alignment horizontal="center" vertical="center"/>
    </xf>
    <xf numFmtId="0" fontId="35" fillId="10" borderId="72" xfId="0" applyFont="1" applyFill="1" applyBorder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35" fillId="10" borderId="0" xfId="0" applyFont="1" applyFill="1" applyAlignment="1">
      <alignment horizontal="center" vertical="center"/>
    </xf>
    <xf numFmtId="0" fontId="32" fillId="10" borderId="0" xfId="0" applyFont="1" applyFill="1" applyAlignment="1">
      <alignment vertical="center"/>
    </xf>
    <xf numFmtId="10" fontId="0" fillId="0" borderId="0" xfId="0" applyNumberFormat="1"/>
    <xf numFmtId="0" fontId="32" fillId="10" borderId="0" xfId="0" applyFont="1" applyFill="1" applyAlignment="1">
      <alignment horizontal="center" vertical="center"/>
    </xf>
    <xf numFmtId="0" fontId="12" fillId="10" borderId="0" xfId="0" applyFont="1" applyFill="1" applyAlignment="1">
      <alignment horizontal="left" vertical="center" indent="1"/>
    </xf>
    <xf numFmtId="0" fontId="0" fillId="10" borderId="73" xfId="0" applyFill="1" applyBorder="1"/>
    <xf numFmtId="0" fontId="0" fillId="10" borderId="74" xfId="0" applyFill="1" applyBorder="1"/>
    <xf numFmtId="0" fontId="0" fillId="10" borderId="75" xfId="0" applyFill="1" applyBorder="1"/>
    <xf numFmtId="0" fontId="0" fillId="10" borderId="76" xfId="0" applyFill="1" applyBorder="1"/>
    <xf numFmtId="0" fontId="0" fillId="10" borderId="77" xfId="0" applyFill="1" applyBorder="1"/>
    <xf numFmtId="0" fontId="7" fillId="10" borderId="57" xfId="1" applyNumberFormat="1" applyFont="1" applyFill="1" applyBorder="1" applyAlignment="1">
      <alignment horizontal="center" vertical="center"/>
    </xf>
    <xf numFmtId="0" fontId="43" fillId="0" borderId="78" xfId="2" applyFont="1" applyBorder="1"/>
    <xf numFmtId="0" fontId="42" fillId="0" borderId="78" xfId="2" applyBorder="1"/>
    <xf numFmtId="11" fontId="0" fillId="0" borderId="0" xfId="0" applyNumberFormat="1"/>
    <xf numFmtId="10" fontId="7" fillId="10" borderId="39" xfId="1" applyNumberFormat="1" applyFont="1" applyFill="1" applyBorder="1" applyAlignment="1">
      <alignment horizontal="center" vertical="center"/>
    </xf>
    <xf numFmtId="10" fontId="7" fillId="10" borderId="51" xfId="1" applyNumberFormat="1" applyFont="1" applyFill="1" applyBorder="1" applyAlignment="1">
      <alignment horizontal="center" vertical="center"/>
    </xf>
    <xf numFmtId="10" fontId="7" fillId="10" borderId="75" xfId="1" applyNumberFormat="1" applyFont="1" applyFill="1" applyBorder="1" applyAlignment="1">
      <alignment horizontal="center" vertical="center"/>
    </xf>
    <xf numFmtId="10" fontId="7" fillId="0" borderId="51" xfId="0" applyNumberFormat="1" applyFont="1" applyBorder="1" applyAlignment="1">
      <alignment horizontal="center"/>
    </xf>
    <xf numFmtId="10" fontId="7" fillId="10" borderId="43" xfId="0" applyNumberFormat="1" applyFont="1" applyFill="1" applyBorder="1" applyAlignment="1">
      <alignment vertical="center"/>
    </xf>
    <xf numFmtId="10" fontId="7" fillId="10" borderId="39" xfId="0" applyNumberFormat="1" applyFont="1" applyFill="1" applyBorder="1" applyAlignment="1">
      <alignment vertical="center"/>
    </xf>
    <xf numFmtId="2" fontId="7" fillId="10" borderId="43" xfId="0" applyNumberFormat="1" applyFont="1" applyFill="1" applyBorder="1" applyAlignment="1">
      <alignment horizontal="center" vertical="center"/>
    </xf>
    <xf numFmtId="9" fontId="42" fillId="0" borderId="78" xfId="1" applyFont="1" applyBorder="1"/>
    <xf numFmtId="11" fontId="42" fillId="0" borderId="78" xfId="1" applyNumberFormat="1" applyFont="1" applyBorder="1"/>
    <xf numFmtId="0" fontId="11" fillId="4" borderId="4" xfId="0" applyFont="1" applyFill="1" applyBorder="1" applyAlignment="1">
      <alignment horizontal="right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14" fontId="5" fillId="2" borderId="2" xfId="0" applyNumberFormat="1" applyFont="1" applyFill="1" applyBorder="1" applyAlignment="1">
      <alignment horizontal="center" vertical="center" wrapText="1"/>
    </xf>
    <xf numFmtId="14" fontId="5" fillId="2" borderId="5" xfId="0" applyNumberFormat="1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11" fillId="4" borderId="18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0" fontId="11" fillId="6" borderId="15" xfId="0" applyFont="1" applyFill="1" applyBorder="1" applyAlignment="1">
      <alignment horizontal="center" vertical="center" wrapText="1"/>
    </xf>
    <xf numFmtId="0" fontId="11" fillId="6" borderId="16" xfId="0" applyFont="1" applyFill="1" applyBorder="1" applyAlignment="1">
      <alignment horizontal="center" vertical="center" wrapText="1"/>
    </xf>
    <xf numFmtId="0" fontId="11" fillId="5" borderId="15" xfId="0" applyFont="1" applyFill="1" applyBorder="1" applyAlignment="1">
      <alignment horizontal="center" vertical="center" wrapText="1"/>
    </xf>
    <xf numFmtId="0" fontId="11" fillId="5" borderId="16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0" fontId="24" fillId="2" borderId="3" xfId="0" applyFont="1" applyFill="1" applyBorder="1" applyAlignment="1">
      <alignment horizontal="center" vertical="center"/>
    </xf>
    <xf numFmtId="0" fontId="24" fillId="2" borderId="9" xfId="0" applyFont="1" applyFill="1" applyBorder="1" applyAlignment="1">
      <alignment horizontal="center" vertical="center"/>
    </xf>
    <xf numFmtId="166" fontId="9" fillId="0" borderId="29" xfId="1" applyNumberFormat="1" applyFont="1" applyFill="1" applyBorder="1" applyAlignment="1">
      <alignment horizontal="center"/>
    </xf>
    <xf numFmtId="166" fontId="9" fillId="0" borderId="22" xfId="1" applyNumberFormat="1" applyFont="1" applyFill="1" applyBorder="1" applyAlignment="1">
      <alignment horizontal="center"/>
    </xf>
    <xf numFmtId="166" fontId="7" fillId="0" borderId="31" xfId="0" quotePrefix="1" applyNumberFormat="1" applyFont="1" applyBorder="1" applyAlignment="1">
      <alignment horizontal="center"/>
    </xf>
    <xf numFmtId="166" fontId="7" fillId="0" borderId="32" xfId="0" quotePrefix="1" applyNumberFormat="1" applyFont="1" applyBorder="1" applyAlignment="1">
      <alignment horizontal="center"/>
    </xf>
    <xf numFmtId="0" fontId="21" fillId="2" borderId="3" xfId="0" applyFont="1" applyFill="1" applyBorder="1" applyAlignment="1">
      <alignment horizontal="center" vertical="center"/>
    </xf>
    <xf numFmtId="0" fontId="21" fillId="2" borderId="9" xfId="0" applyFont="1" applyFill="1" applyBorder="1" applyAlignment="1">
      <alignment horizontal="center" vertical="center"/>
    </xf>
    <xf numFmtId="0" fontId="28" fillId="11" borderId="70" xfId="0" applyFont="1" applyFill="1" applyBorder="1" applyAlignment="1">
      <alignment horizontal="center" vertical="center"/>
    </xf>
    <xf numFmtId="0" fontId="28" fillId="11" borderId="18" xfId="0" applyFont="1" applyFill="1" applyBorder="1" applyAlignment="1">
      <alignment horizontal="center" vertical="center"/>
    </xf>
    <xf numFmtId="0" fontId="28" fillId="11" borderId="69" xfId="0" applyFont="1" applyFill="1" applyBorder="1" applyAlignment="1">
      <alignment horizontal="center" vertical="center"/>
    </xf>
    <xf numFmtId="0" fontId="27" fillId="11" borderId="59" xfId="0" applyFont="1" applyFill="1" applyBorder="1" applyAlignment="1">
      <alignment horizontal="left" vertical="center" indent="1"/>
    </xf>
    <xf numFmtId="0" fontId="27" fillId="11" borderId="59" xfId="0" applyFont="1" applyFill="1" applyBorder="1" applyAlignment="1">
      <alignment horizontal="center" vertical="center"/>
    </xf>
    <xf numFmtId="0" fontId="28" fillId="11" borderId="35" xfId="0" applyFont="1" applyFill="1" applyBorder="1" applyAlignment="1">
      <alignment horizontal="center" vertical="center"/>
    </xf>
    <xf numFmtId="0" fontId="28" fillId="11" borderId="36" xfId="0" applyFont="1" applyFill="1" applyBorder="1" applyAlignment="1">
      <alignment horizontal="center" vertical="center"/>
    </xf>
    <xf numFmtId="0" fontId="28" fillId="11" borderId="37" xfId="0" applyFont="1" applyFill="1" applyBorder="1" applyAlignment="1">
      <alignment horizontal="center" vertical="center"/>
    </xf>
    <xf numFmtId="0" fontId="32" fillId="10" borderId="0" xfId="0" applyFont="1" applyFill="1" applyAlignment="1">
      <alignment horizontal="center" vertical="center"/>
    </xf>
    <xf numFmtId="0" fontId="32" fillId="11" borderId="0" xfId="0" applyFont="1" applyFill="1" applyAlignment="1">
      <alignment horizontal="center" vertical="center"/>
    </xf>
    <xf numFmtId="0" fontId="32" fillId="11" borderId="38" xfId="0" applyFont="1" applyFill="1" applyBorder="1" applyAlignment="1">
      <alignment horizontal="center" vertical="center"/>
    </xf>
    <xf numFmtId="0" fontId="17" fillId="11" borderId="0" xfId="0" applyFont="1" applyFill="1" applyAlignment="1">
      <alignment horizontal="center"/>
    </xf>
    <xf numFmtId="0" fontId="17" fillId="20" borderId="0" xfId="0" applyFont="1" applyFill="1" applyAlignment="1">
      <alignment horizontal="center"/>
    </xf>
    <xf numFmtId="0" fontId="33" fillId="21" borderId="0" xfId="0" applyFont="1" applyFill="1" applyAlignment="1">
      <alignment horizontal="center" vertical="center" wrapText="1"/>
    </xf>
  </cellXfs>
  <cellStyles count="3">
    <cellStyle name="Normal" xfId="0" builtinId="0"/>
    <cellStyle name="Normal 2" xfId="2" xr:uid="{00000000-0005-0000-0000-000001000000}"/>
    <cellStyle name="Percent" xfId="1" builtinId="5"/>
  </cellStyles>
  <dxfs count="274">
    <dxf>
      <font>
        <color rgb="FF9C0006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EB88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147534</xdr:colOff>
      <xdr:row>16</xdr:row>
      <xdr:rowOff>24390</xdr:rowOff>
    </xdr:from>
    <xdr:to>
      <xdr:col>3</xdr:col>
      <xdr:colOff>147534</xdr:colOff>
      <xdr:row>18</xdr:row>
      <xdr:rowOff>196702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791E8A20-7C68-4E15-A45F-D7F9BC46AABB}"/>
            </a:ext>
          </a:extLst>
        </xdr:cNvPr>
        <xdr:cNvCxnSpPr/>
      </xdr:nvCxnSpPr>
      <xdr:spPr>
        <a:xfrm>
          <a:off x="804759" y="3367665"/>
          <a:ext cx="0" cy="6295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161269</xdr:colOff>
      <xdr:row>16</xdr:row>
      <xdr:rowOff>161270</xdr:rowOff>
    </xdr:from>
    <xdr:to>
      <xdr:col>3</xdr:col>
      <xdr:colOff>251983</xdr:colOff>
      <xdr:row>16</xdr:row>
      <xdr:rowOff>161270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380C7317-3BEF-48E2-8828-0864AACC1F35}"/>
            </a:ext>
          </a:extLst>
        </xdr:cNvPr>
        <xdr:cNvCxnSpPr/>
      </xdr:nvCxnSpPr>
      <xdr:spPr>
        <a:xfrm>
          <a:off x="818494" y="3504545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162484</xdr:colOff>
      <xdr:row>17</xdr:row>
      <xdr:rowOff>71763</xdr:rowOff>
    </xdr:from>
    <xdr:to>
      <xdr:col>3</xdr:col>
      <xdr:colOff>253198</xdr:colOff>
      <xdr:row>17</xdr:row>
      <xdr:rowOff>71763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F2D50D8-3F88-4220-9554-960FDCC6B662}"/>
            </a:ext>
          </a:extLst>
        </xdr:cNvPr>
        <xdr:cNvCxnSpPr/>
      </xdr:nvCxnSpPr>
      <xdr:spPr>
        <a:xfrm>
          <a:off x="819709" y="3719838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173770</xdr:colOff>
      <xdr:row>18</xdr:row>
      <xdr:rowOff>183848</xdr:rowOff>
    </xdr:from>
    <xdr:to>
      <xdr:col>3</xdr:col>
      <xdr:colOff>264484</xdr:colOff>
      <xdr:row>18</xdr:row>
      <xdr:rowOff>183848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36366822-9CF8-4CEC-862F-CA1D3B072734}"/>
            </a:ext>
          </a:extLst>
        </xdr:cNvPr>
        <xdr:cNvCxnSpPr/>
      </xdr:nvCxnSpPr>
      <xdr:spPr>
        <a:xfrm>
          <a:off x="830995" y="3984323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144683</xdr:colOff>
      <xdr:row>20</xdr:row>
      <xdr:rowOff>72341</xdr:rowOff>
    </xdr:from>
    <xdr:to>
      <xdr:col>3</xdr:col>
      <xdr:colOff>152721</xdr:colOff>
      <xdr:row>22</xdr:row>
      <xdr:rowOff>120570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62ABC5EC-931A-40E9-8737-56F4178CFBBF}"/>
            </a:ext>
          </a:extLst>
        </xdr:cNvPr>
        <xdr:cNvCxnSpPr/>
      </xdr:nvCxnSpPr>
      <xdr:spPr>
        <a:xfrm>
          <a:off x="801908" y="4425266"/>
          <a:ext cx="8038" cy="53400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161269</xdr:colOff>
      <xdr:row>20</xdr:row>
      <xdr:rowOff>161270</xdr:rowOff>
    </xdr:from>
    <xdr:to>
      <xdr:col>3</xdr:col>
      <xdr:colOff>251983</xdr:colOff>
      <xdr:row>20</xdr:row>
      <xdr:rowOff>161270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6A2B3D26-8673-4D87-9307-634C906A3138}"/>
            </a:ext>
          </a:extLst>
        </xdr:cNvPr>
        <xdr:cNvCxnSpPr/>
      </xdr:nvCxnSpPr>
      <xdr:spPr>
        <a:xfrm>
          <a:off x="818494" y="4514195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162484</xdr:colOff>
      <xdr:row>21</xdr:row>
      <xdr:rowOff>112079</xdr:rowOff>
    </xdr:from>
    <xdr:to>
      <xdr:col>3</xdr:col>
      <xdr:colOff>253198</xdr:colOff>
      <xdr:row>21</xdr:row>
      <xdr:rowOff>112079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689DDE5B-55E8-44A9-B8E2-B44FE611A39C}"/>
            </a:ext>
          </a:extLst>
        </xdr:cNvPr>
        <xdr:cNvCxnSpPr/>
      </xdr:nvCxnSpPr>
      <xdr:spPr>
        <a:xfrm>
          <a:off x="819709" y="4731704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163691</xdr:colOff>
      <xdr:row>22</xdr:row>
      <xdr:rowOff>123373</xdr:rowOff>
    </xdr:from>
    <xdr:to>
      <xdr:col>3</xdr:col>
      <xdr:colOff>254405</xdr:colOff>
      <xdr:row>22</xdr:row>
      <xdr:rowOff>123373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FA033D21-A05C-4F61-A3F7-918FE0F96C1D}"/>
            </a:ext>
          </a:extLst>
        </xdr:cNvPr>
        <xdr:cNvCxnSpPr/>
      </xdr:nvCxnSpPr>
      <xdr:spPr>
        <a:xfrm>
          <a:off x="820916" y="4962073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O41"/>
  <sheetViews>
    <sheetView showGridLines="0" zoomScaleNormal="100" workbookViewId="0">
      <selection activeCell="B5" sqref="B5"/>
    </sheetView>
  </sheetViews>
  <sheetFormatPr defaultColWidth="8.7265625" defaultRowHeight="12" x14ac:dyDescent="0.3"/>
  <cols>
    <col min="1" max="1" width="20.26953125" style="1" bestFit="1" customWidth="1"/>
    <col min="2" max="2" width="9.81640625" style="1" bestFit="1" customWidth="1"/>
    <col min="3" max="4" width="9.7265625" style="1" bestFit="1" customWidth="1"/>
    <col min="5" max="5" width="11.7265625" style="1" bestFit="1" customWidth="1"/>
    <col min="6" max="6" width="11.81640625" style="1" bestFit="1" customWidth="1"/>
    <col min="7" max="7" width="9.7265625" style="1" bestFit="1" customWidth="1"/>
    <col min="8" max="8" width="9.7265625" style="1" customWidth="1"/>
    <col min="9" max="9" width="7.7265625" style="1" customWidth="1"/>
    <col min="10" max="10" width="9.1796875" style="1" customWidth="1"/>
    <col min="11" max="11" width="7.7265625" style="1" customWidth="1"/>
    <col min="12" max="12" width="13.26953125" style="1" customWidth="1"/>
    <col min="13" max="13" width="7.7265625" style="1" customWidth="1"/>
    <col min="14" max="14" width="12.54296875" style="1" customWidth="1"/>
    <col min="15" max="15" width="7.7265625" style="1" customWidth="1"/>
    <col min="16" max="16384" width="8.7265625" style="1"/>
  </cols>
  <sheetData>
    <row r="1" spans="1:15" ht="28.9" customHeight="1" x14ac:dyDescent="0.3">
      <c r="A1" s="271" t="s">
        <v>0</v>
      </c>
      <c r="B1" s="272"/>
      <c r="C1" s="273">
        <f ca="1">TODAY()-1</f>
        <v>45971</v>
      </c>
      <c r="D1" s="274"/>
    </row>
    <row r="2" spans="1:15" customFormat="1" ht="15" thickBot="1" x14ac:dyDescent="0.4">
      <c r="E2" s="1"/>
    </row>
    <row r="3" spans="1:15" ht="18" customHeight="1" thickBot="1" x14ac:dyDescent="0.4">
      <c r="A3" s="275" t="s">
        <v>1</v>
      </c>
      <c r="B3" s="276"/>
      <c r="C3" s="276"/>
      <c r="D3" s="276"/>
      <c r="E3" s="276"/>
      <c r="F3" s="276"/>
      <c r="G3" s="276"/>
      <c r="H3"/>
      <c r="L3" s="39"/>
    </row>
    <row r="4" spans="1:15" ht="19.899999999999999" customHeight="1" thickBot="1" x14ac:dyDescent="0.4">
      <c r="A4" s="47" t="s">
        <v>2</v>
      </c>
      <c r="B4" s="48">
        <f ca="1">TODAY()-1</f>
        <v>45971</v>
      </c>
      <c r="C4" s="45" t="s">
        <v>3</v>
      </c>
      <c r="D4" s="45" t="s">
        <v>4</v>
      </c>
      <c r="E4" s="45" t="s">
        <v>5</v>
      </c>
      <c r="F4" s="45" t="s">
        <v>6</v>
      </c>
      <c r="G4" s="46" t="s">
        <v>7</v>
      </c>
      <c r="H4"/>
      <c r="I4"/>
      <c r="J4"/>
      <c r="K4"/>
    </row>
    <row r="5" spans="1:15" ht="19.149999999999999" customHeight="1" x14ac:dyDescent="0.35">
      <c r="A5" s="44" t="s">
        <v>8</v>
      </c>
      <c r="B5" s="28">
        <v>0.99790000000000001</v>
      </c>
      <c r="C5" s="28">
        <v>0.9879</v>
      </c>
      <c r="D5" s="29">
        <v>0.99</v>
      </c>
      <c r="E5" s="30">
        <v>-1.1299999999999999</v>
      </c>
      <c r="F5" s="30">
        <v>-1.1299999999999999</v>
      </c>
      <c r="G5" s="27">
        <v>3</v>
      </c>
      <c r="H5"/>
      <c r="I5"/>
      <c r="J5"/>
      <c r="K5"/>
    </row>
    <row r="6" spans="1:15" ht="19.899999999999999" customHeight="1" x14ac:dyDescent="0.35">
      <c r="A6" s="44" t="s">
        <v>9</v>
      </c>
      <c r="B6" s="28">
        <v>0.72199999999999998</v>
      </c>
      <c r="C6" s="28">
        <v>0.72199999999999998</v>
      </c>
      <c r="D6" s="29">
        <v>0.9</v>
      </c>
      <c r="E6" s="30">
        <v>-1.1299999999999999</v>
      </c>
      <c r="F6" s="30">
        <v>-0.24</v>
      </c>
      <c r="G6" s="27">
        <v>1</v>
      </c>
      <c r="H6"/>
      <c r="I6"/>
      <c r="J6"/>
      <c r="K6"/>
    </row>
    <row r="7" spans="1:15" ht="19.149999999999999" customHeight="1" x14ac:dyDescent="0.35">
      <c r="A7" s="43" t="s">
        <v>10</v>
      </c>
      <c r="B7" s="32">
        <v>0.81</v>
      </c>
      <c r="C7" s="32">
        <v>0.72199999999999998</v>
      </c>
      <c r="D7" s="33">
        <v>0.8</v>
      </c>
      <c r="E7" s="34">
        <v>-6.4</v>
      </c>
      <c r="F7" s="35">
        <v>4.4000000000000004</v>
      </c>
      <c r="G7" s="36">
        <v>2</v>
      </c>
      <c r="H7"/>
      <c r="I7"/>
      <c r="J7"/>
      <c r="K7"/>
    </row>
    <row r="8" spans="1:15" ht="19.899999999999999" customHeight="1" x14ac:dyDescent="0.3">
      <c r="A8" s="43" t="s">
        <v>11</v>
      </c>
      <c r="B8" s="32">
        <v>0.81</v>
      </c>
      <c r="C8" s="32">
        <v>0.72199999999999998</v>
      </c>
      <c r="D8" s="33">
        <v>0.8</v>
      </c>
    </row>
    <row r="9" spans="1:15" ht="20.5" customHeight="1" x14ac:dyDescent="0.35">
      <c r="A9" s="44" t="s">
        <v>12</v>
      </c>
      <c r="B9" s="28">
        <v>0.84399999999999997</v>
      </c>
      <c r="C9" s="28">
        <v>0.84399999999999997</v>
      </c>
      <c r="D9" s="29">
        <v>0.9</v>
      </c>
      <c r="E9"/>
      <c r="F9"/>
      <c r="G9"/>
      <c r="I9"/>
      <c r="J9"/>
      <c r="K9"/>
      <c r="L9"/>
    </row>
    <row r="10" spans="1:15" ht="19.899999999999999" customHeight="1" x14ac:dyDescent="0.3">
      <c r="A10" s="44" t="s">
        <v>13</v>
      </c>
      <c r="B10" s="28">
        <v>0.99039999999999995</v>
      </c>
      <c r="C10" s="28">
        <v>0.99039999999999995</v>
      </c>
      <c r="D10" s="29">
        <v>0.99</v>
      </c>
    </row>
    <row r="14" spans="1:15" ht="12.5" thickBot="1" x14ac:dyDescent="0.35">
      <c r="B14" s="2"/>
    </row>
    <row r="15" spans="1:15" ht="15" thickBot="1" x14ac:dyDescent="0.4">
      <c r="A15" s="275" t="s">
        <v>14</v>
      </c>
      <c r="B15" s="276"/>
      <c r="C15" s="276"/>
      <c r="D15" s="276"/>
      <c r="E15" s="276"/>
      <c r="F15" s="276"/>
      <c r="G15" s="276"/>
      <c r="H15" s="276"/>
      <c r="I15" s="276"/>
      <c r="J15" s="276"/>
      <c r="K15" s="276"/>
      <c r="L15" s="276"/>
      <c r="M15" s="276"/>
      <c r="N15" s="276"/>
      <c r="O15"/>
    </row>
    <row r="16" spans="1:15" ht="11.5" customHeight="1" x14ac:dyDescent="0.3">
      <c r="A16" s="24" t="s">
        <v>15</v>
      </c>
      <c r="B16" s="4" t="s">
        <v>16</v>
      </c>
      <c r="C16" s="5" t="s">
        <v>17</v>
      </c>
      <c r="D16" s="5" t="s">
        <v>18</v>
      </c>
      <c r="E16" s="5" t="s">
        <v>19</v>
      </c>
      <c r="F16" s="5" t="s">
        <v>20</v>
      </c>
      <c r="G16" s="5" t="s">
        <v>21</v>
      </c>
      <c r="H16" s="31" t="s">
        <v>22</v>
      </c>
      <c r="I16" s="31" t="s">
        <v>23</v>
      </c>
      <c r="J16" s="277" t="s">
        <v>24</v>
      </c>
      <c r="K16" s="279" t="s">
        <v>25</v>
      </c>
      <c r="L16" s="281" t="s">
        <v>26</v>
      </c>
      <c r="M16" s="281" t="s">
        <v>27</v>
      </c>
      <c r="N16" s="281" t="s">
        <v>28</v>
      </c>
    </row>
    <row r="17" spans="1:15" ht="13.5" thickBot="1" x14ac:dyDescent="0.35">
      <c r="A17" s="25"/>
      <c r="B17" s="6" t="s">
        <v>29</v>
      </c>
      <c r="C17" s="7" t="s">
        <v>30</v>
      </c>
      <c r="D17" s="7" t="s">
        <v>31</v>
      </c>
      <c r="E17" s="7" t="s">
        <v>31</v>
      </c>
      <c r="F17" s="7" t="s">
        <v>32</v>
      </c>
      <c r="G17" s="7" t="s">
        <v>31</v>
      </c>
      <c r="H17" s="7" t="s">
        <v>31</v>
      </c>
      <c r="I17" s="26"/>
      <c r="J17" s="278"/>
      <c r="K17" s="280"/>
      <c r="L17" s="282"/>
      <c r="M17" s="282"/>
      <c r="N17" s="282"/>
    </row>
    <row r="18" spans="1:15" ht="13" x14ac:dyDescent="0.3">
      <c r="A18" s="10" t="s">
        <v>33</v>
      </c>
      <c r="B18" s="11">
        <v>426</v>
      </c>
      <c r="C18" s="12"/>
      <c r="D18" s="19"/>
      <c r="E18" s="12">
        <v>19</v>
      </c>
      <c r="F18" s="19"/>
      <c r="G18" s="19"/>
      <c r="H18" s="19"/>
      <c r="I18" s="19"/>
      <c r="J18" s="19"/>
      <c r="K18" s="37">
        <v>19</v>
      </c>
      <c r="L18" s="37" t="s">
        <v>34</v>
      </c>
      <c r="M18" s="14">
        <v>3</v>
      </c>
      <c r="N18" s="40">
        <v>4</v>
      </c>
    </row>
    <row r="19" spans="1:15" ht="13" x14ac:dyDescent="0.3">
      <c r="A19" s="15" t="s">
        <v>35</v>
      </c>
      <c r="B19" s="16">
        <v>923</v>
      </c>
      <c r="C19" s="17">
        <v>7</v>
      </c>
      <c r="D19" s="17">
        <v>3</v>
      </c>
      <c r="E19" s="17">
        <v>1</v>
      </c>
      <c r="F19" s="17"/>
      <c r="G19" s="17"/>
      <c r="H19" s="17"/>
      <c r="I19" s="17"/>
      <c r="J19" s="17"/>
      <c r="K19" s="18">
        <v>11</v>
      </c>
      <c r="L19" s="18" t="s">
        <v>36</v>
      </c>
      <c r="M19" s="18">
        <v>2</v>
      </c>
      <c r="N19" s="16"/>
    </row>
    <row r="20" spans="1:15" ht="13" x14ac:dyDescent="0.3">
      <c r="A20" s="10" t="s">
        <v>37</v>
      </c>
      <c r="B20" s="11">
        <v>205</v>
      </c>
      <c r="C20" s="12"/>
      <c r="D20" s="19"/>
      <c r="E20" s="19"/>
      <c r="F20" s="19"/>
      <c r="G20" s="19"/>
      <c r="H20" s="19"/>
      <c r="I20" s="19"/>
      <c r="J20" s="19"/>
      <c r="K20" s="42" t="s">
        <v>38</v>
      </c>
      <c r="L20" s="38"/>
      <c r="M20" s="14"/>
      <c r="N20" s="40"/>
    </row>
    <row r="21" spans="1:15" ht="13" x14ac:dyDescent="0.3">
      <c r="A21" s="15" t="s">
        <v>39</v>
      </c>
      <c r="B21" s="16">
        <v>315</v>
      </c>
      <c r="C21" s="17">
        <v>5</v>
      </c>
      <c r="D21" s="17"/>
      <c r="E21" s="17">
        <v>1</v>
      </c>
      <c r="F21" s="17"/>
      <c r="G21" s="17"/>
      <c r="H21" s="17">
        <v>3</v>
      </c>
      <c r="I21" s="17"/>
      <c r="J21" s="17"/>
      <c r="K21" s="18">
        <v>9</v>
      </c>
      <c r="L21" s="18" t="s">
        <v>40</v>
      </c>
      <c r="M21" s="18">
        <v>1</v>
      </c>
      <c r="N21" s="16"/>
    </row>
    <row r="22" spans="1:15" ht="13" x14ac:dyDescent="0.3">
      <c r="A22" s="10" t="s">
        <v>41</v>
      </c>
      <c r="B22" s="11">
        <v>90</v>
      </c>
      <c r="C22" s="12"/>
      <c r="D22" s="19"/>
      <c r="E22" s="19"/>
      <c r="F22" s="19"/>
      <c r="G22" s="19"/>
      <c r="H22" s="19"/>
      <c r="I22" s="19"/>
      <c r="J22" s="19"/>
      <c r="K22" s="42" t="s">
        <v>38</v>
      </c>
      <c r="L22" s="38" t="s">
        <v>42</v>
      </c>
      <c r="M22" s="14"/>
      <c r="N22" s="40"/>
    </row>
    <row r="23" spans="1:15" ht="13" x14ac:dyDescent="0.3">
      <c r="A23" s="15" t="s">
        <v>43</v>
      </c>
      <c r="B23" s="16">
        <v>171</v>
      </c>
      <c r="C23" s="17"/>
      <c r="D23" s="17"/>
      <c r="E23" s="17"/>
      <c r="F23" s="17"/>
      <c r="G23" s="17"/>
      <c r="H23" s="17"/>
      <c r="I23" s="17"/>
      <c r="J23" s="17"/>
      <c r="K23" s="41" t="s">
        <v>38</v>
      </c>
      <c r="L23" s="18"/>
      <c r="M23" s="18"/>
      <c r="N23" s="16"/>
    </row>
    <row r="24" spans="1:15" ht="13" x14ac:dyDescent="0.3">
      <c r="A24" s="10" t="s">
        <v>44</v>
      </c>
      <c r="B24" s="11">
        <v>383</v>
      </c>
      <c r="C24" s="12"/>
      <c r="D24" s="12">
        <v>4</v>
      </c>
      <c r="E24" s="12"/>
      <c r="F24" s="12"/>
      <c r="G24" s="19"/>
      <c r="H24" s="19"/>
      <c r="I24" s="19"/>
      <c r="J24" s="19"/>
      <c r="K24" s="38">
        <v>4</v>
      </c>
      <c r="L24" s="38"/>
      <c r="M24" s="14"/>
      <c r="N24" s="40"/>
    </row>
    <row r="25" spans="1:15" ht="13.5" thickBot="1" x14ac:dyDescent="0.35">
      <c r="A25" s="15" t="s">
        <v>45</v>
      </c>
      <c r="B25" s="16">
        <v>292</v>
      </c>
      <c r="C25" s="17"/>
      <c r="D25" s="17"/>
      <c r="E25" s="17"/>
      <c r="F25" s="17"/>
      <c r="G25" s="17"/>
      <c r="H25" s="17">
        <v>4</v>
      </c>
      <c r="I25" s="17"/>
      <c r="J25" s="17"/>
      <c r="K25" s="18">
        <v>4</v>
      </c>
      <c r="L25" s="18" t="s">
        <v>46</v>
      </c>
      <c r="M25" s="18">
        <v>3</v>
      </c>
      <c r="N25" s="16">
        <v>2</v>
      </c>
    </row>
    <row r="26" spans="1:15" ht="13.5" thickBot="1" x14ac:dyDescent="0.35">
      <c r="A26" s="20" t="s">
        <v>47</v>
      </c>
      <c r="B26" s="21">
        <v>2805</v>
      </c>
      <c r="C26" s="22">
        <f>SUM(C18:C25)</f>
        <v>12</v>
      </c>
      <c r="D26" s="22">
        <v>7</v>
      </c>
      <c r="E26" s="22">
        <v>21</v>
      </c>
      <c r="F26" s="22"/>
      <c r="G26" s="22"/>
      <c r="H26" s="22">
        <v>7</v>
      </c>
      <c r="I26" s="22"/>
      <c r="J26" s="22"/>
      <c r="K26" s="23">
        <f>SUM(K18:K25)</f>
        <v>47</v>
      </c>
      <c r="L26" s="23"/>
      <c r="M26" s="23">
        <f>SUM(M18:M25)</f>
        <v>9</v>
      </c>
      <c r="N26" s="23">
        <f>SUM(N18:N25)</f>
        <v>6</v>
      </c>
    </row>
    <row r="27" spans="1:15" ht="9.4" customHeight="1" x14ac:dyDescent="0.35">
      <c r="A27" s="8"/>
      <c r="B27" s="9"/>
      <c r="C27"/>
      <c r="D27"/>
      <c r="E27"/>
      <c r="F27"/>
      <c r="G27" s="9"/>
      <c r="H27" s="9"/>
      <c r="I27" s="9"/>
      <c r="J27" s="9"/>
      <c r="K27" s="9"/>
      <c r="L27" s="9"/>
      <c r="M27" s="9"/>
      <c r="N27" s="9"/>
      <c r="O27" s="9"/>
    </row>
    <row r="28" spans="1:15" ht="9.4" customHeight="1" x14ac:dyDescent="0.35">
      <c r="A28" s="8"/>
      <c r="B28" s="9"/>
      <c r="C28"/>
      <c r="D28"/>
      <c r="E28"/>
      <c r="F28"/>
      <c r="G28" s="9"/>
      <c r="H28" s="9"/>
      <c r="I28" s="9"/>
      <c r="J28" s="9"/>
      <c r="K28" s="9"/>
      <c r="L28" s="9"/>
      <c r="M28" s="9"/>
      <c r="N28" s="9"/>
      <c r="O28" s="9"/>
    </row>
    <row r="29" spans="1:15" ht="9.4" customHeight="1" thickBot="1" x14ac:dyDescent="0.35"/>
    <row r="30" spans="1:15" ht="15" thickBot="1" x14ac:dyDescent="0.4">
      <c r="A30" s="283" t="s">
        <v>48</v>
      </c>
      <c r="B30" s="284"/>
      <c r="C30" s="284"/>
      <c r="D30" s="284"/>
      <c r="E30" s="284"/>
      <c r="F30" s="284"/>
      <c r="G30" s="284"/>
      <c r="H30" s="284"/>
      <c r="I30" s="284"/>
      <c r="J30" s="284"/>
      <c r="K30" s="284"/>
      <c r="L30" s="284"/>
      <c r="M30" s="284"/>
      <c r="N30" s="284"/>
      <c r="O30"/>
    </row>
    <row r="31" spans="1:15" ht="9.4" customHeight="1" x14ac:dyDescent="0.3">
      <c r="A31" s="24" t="s">
        <v>15</v>
      </c>
      <c r="B31" s="4" t="s">
        <v>16</v>
      </c>
      <c r="C31" s="5" t="s">
        <v>17</v>
      </c>
      <c r="D31" s="5" t="s">
        <v>18</v>
      </c>
      <c r="E31" s="5" t="s">
        <v>19</v>
      </c>
      <c r="F31" s="5" t="s">
        <v>20</v>
      </c>
      <c r="G31" s="5" t="s">
        <v>21</v>
      </c>
      <c r="H31" s="31" t="s">
        <v>22</v>
      </c>
      <c r="I31" s="31" t="s">
        <v>23</v>
      </c>
      <c r="J31" s="277" t="s">
        <v>24</v>
      </c>
      <c r="K31" s="279" t="s">
        <v>25</v>
      </c>
      <c r="L31" s="281" t="s">
        <v>26</v>
      </c>
      <c r="M31" s="281" t="s">
        <v>27</v>
      </c>
      <c r="N31" s="281" t="s">
        <v>28</v>
      </c>
    </row>
    <row r="32" spans="1:15" ht="13.5" thickBot="1" x14ac:dyDescent="0.35">
      <c r="A32" s="25"/>
      <c r="B32" s="6" t="s">
        <v>29</v>
      </c>
      <c r="C32" s="7" t="s">
        <v>30</v>
      </c>
      <c r="D32" s="7" t="s">
        <v>31</v>
      </c>
      <c r="E32" s="7" t="s">
        <v>31</v>
      </c>
      <c r="F32" s="7" t="s">
        <v>32</v>
      </c>
      <c r="G32" s="7" t="s">
        <v>31</v>
      </c>
      <c r="H32" s="7" t="s">
        <v>31</v>
      </c>
      <c r="I32" s="26"/>
      <c r="J32" s="278"/>
      <c r="K32" s="280"/>
      <c r="L32" s="282"/>
      <c r="M32" s="282"/>
      <c r="N32" s="282"/>
    </row>
    <row r="33" spans="1:14" ht="13" x14ac:dyDescent="0.3">
      <c r="A33" s="10" t="s">
        <v>33</v>
      </c>
      <c r="B33" s="11">
        <v>426</v>
      </c>
      <c r="C33" s="12"/>
      <c r="D33" s="19"/>
      <c r="E33" s="13">
        <v>2</v>
      </c>
      <c r="F33" s="19"/>
      <c r="G33" s="19"/>
      <c r="H33" s="19"/>
      <c r="I33" s="19"/>
      <c r="J33" s="19"/>
      <c r="K33" s="37">
        <v>2</v>
      </c>
      <c r="L33" s="37"/>
      <c r="M33" s="14"/>
      <c r="N33" s="38"/>
    </row>
    <row r="34" spans="1:14" ht="13" x14ac:dyDescent="0.3">
      <c r="A34" s="15" t="s">
        <v>35</v>
      </c>
      <c r="B34" s="16">
        <v>923</v>
      </c>
      <c r="C34" s="17">
        <v>1</v>
      </c>
      <c r="D34" s="17"/>
      <c r="E34" s="17">
        <v>1</v>
      </c>
      <c r="F34" s="17"/>
      <c r="G34" s="17"/>
      <c r="H34" s="17"/>
      <c r="I34" s="17"/>
      <c r="J34" s="17"/>
      <c r="K34" s="18">
        <v>2</v>
      </c>
      <c r="L34" s="18"/>
      <c r="M34" s="18"/>
      <c r="N34" s="18">
        <v>3</v>
      </c>
    </row>
    <row r="35" spans="1:14" ht="13" x14ac:dyDescent="0.3">
      <c r="A35" s="10" t="s">
        <v>37</v>
      </c>
      <c r="B35" s="11">
        <v>205</v>
      </c>
      <c r="C35" s="12"/>
      <c r="D35" s="19"/>
      <c r="E35" s="19"/>
      <c r="F35" s="19"/>
      <c r="G35" s="19"/>
      <c r="H35" s="19"/>
      <c r="I35" s="19"/>
      <c r="J35" s="19"/>
      <c r="K35" s="42" t="s">
        <v>38</v>
      </c>
      <c r="L35" s="38"/>
      <c r="M35" s="14"/>
      <c r="N35" s="38"/>
    </row>
    <row r="36" spans="1:14" ht="13" x14ac:dyDescent="0.3">
      <c r="A36" s="15" t="s">
        <v>39</v>
      </c>
      <c r="B36" s="16">
        <v>315</v>
      </c>
      <c r="C36" s="17"/>
      <c r="D36" s="17"/>
      <c r="E36" s="17"/>
      <c r="F36" s="17">
        <v>1</v>
      </c>
      <c r="G36" s="17"/>
      <c r="H36" s="17"/>
      <c r="I36" s="17"/>
      <c r="J36" s="17"/>
      <c r="K36" s="41">
        <v>1</v>
      </c>
      <c r="L36" s="18"/>
      <c r="M36" s="18"/>
      <c r="N36" s="18"/>
    </row>
    <row r="37" spans="1:14" ht="13" x14ac:dyDescent="0.3">
      <c r="A37" s="10" t="s">
        <v>41</v>
      </c>
      <c r="B37" s="11">
        <v>90</v>
      </c>
      <c r="C37" s="12"/>
      <c r="D37" s="19"/>
      <c r="E37" s="19"/>
      <c r="F37" s="19"/>
      <c r="G37" s="19"/>
      <c r="H37" s="19"/>
      <c r="I37" s="19"/>
      <c r="J37" s="19"/>
      <c r="K37" s="42" t="s">
        <v>38</v>
      </c>
      <c r="L37" s="38" t="s">
        <v>42</v>
      </c>
      <c r="M37" s="14">
        <v>7</v>
      </c>
      <c r="N37" s="38"/>
    </row>
    <row r="38" spans="1:14" ht="13" x14ac:dyDescent="0.3">
      <c r="A38" s="15" t="s">
        <v>43</v>
      </c>
      <c r="B38" s="16">
        <v>171</v>
      </c>
      <c r="C38" s="17"/>
      <c r="D38" s="17"/>
      <c r="E38" s="17"/>
      <c r="F38" s="17"/>
      <c r="G38" s="17"/>
      <c r="H38" s="17"/>
      <c r="I38" s="17"/>
      <c r="J38" s="17"/>
      <c r="K38" s="41" t="s">
        <v>38</v>
      </c>
      <c r="L38" s="18"/>
      <c r="M38" s="18"/>
      <c r="N38" s="18"/>
    </row>
    <row r="39" spans="1:14" ht="13" x14ac:dyDescent="0.3">
      <c r="A39" s="10" t="s">
        <v>44</v>
      </c>
      <c r="B39" s="11">
        <v>383</v>
      </c>
      <c r="C39" s="12"/>
      <c r="D39" s="19">
        <v>3</v>
      </c>
      <c r="E39" s="19"/>
      <c r="F39" s="19"/>
      <c r="G39" s="19"/>
      <c r="H39" s="19"/>
      <c r="I39" s="19"/>
      <c r="J39" s="19"/>
      <c r="K39" s="38">
        <v>3</v>
      </c>
      <c r="L39" s="38"/>
      <c r="M39" s="14"/>
      <c r="N39" s="38"/>
    </row>
    <row r="40" spans="1:14" ht="13.5" thickBot="1" x14ac:dyDescent="0.35">
      <c r="A40" s="15" t="s">
        <v>45</v>
      </c>
      <c r="B40" s="16">
        <v>292</v>
      </c>
      <c r="C40" s="17"/>
      <c r="D40" s="17"/>
      <c r="E40" s="17"/>
      <c r="F40" s="17"/>
      <c r="G40" s="17"/>
      <c r="H40" s="17"/>
      <c r="I40" s="17"/>
      <c r="J40" s="17"/>
      <c r="K40" s="41" t="s">
        <v>38</v>
      </c>
      <c r="L40" s="18" t="s">
        <v>34</v>
      </c>
      <c r="M40" s="18">
        <v>3</v>
      </c>
      <c r="N40" s="18">
        <v>2</v>
      </c>
    </row>
    <row r="41" spans="1:14" ht="13.5" thickBot="1" x14ac:dyDescent="0.35">
      <c r="A41" s="20" t="s">
        <v>47</v>
      </c>
      <c r="B41" s="21">
        <v>2805</v>
      </c>
      <c r="C41" s="22">
        <v>1</v>
      </c>
      <c r="D41" s="22">
        <v>3</v>
      </c>
      <c r="E41" s="22">
        <v>3</v>
      </c>
      <c r="F41" s="22"/>
      <c r="G41" s="22"/>
      <c r="H41" s="22"/>
      <c r="I41" s="22"/>
      <c r="J41" s="22"/>
      <c r="K41" s="23">
        <f>SUM(K33:K40)</f>
        <v>8</v>
      </c>
      <c r="L41" s="23"/>
      <c r="M41" s="23">
        <f>SUM(M33:M40)</f>
        <v>10</v>
      </c>
      <c r="N41" s="23">
        <f>SUM(N33:N40)</f>
        <v>5</v>
      </c>
    </row>
  </sheetData>
  <mergeCells count="15">
    <mergeCell ref="A30:N30"/>
    <mergeCell ref="J31:J32"/>
    <mergeCell ref="K31:K32"/>
    <mergeCell ref="L31:L32"/>
    <mergeCell ref="M31:M32"/>
    <mergeCell ref="N31:N32"/>
    <mergeCell ref="A1:B1"/>
    <mergeCell ref="C1:D1"/>
    <mergeCell ref="A3:G3"/>
    <mergeCell ref="A15:N15"/>
    <mergeCell ref="J16:J17"/>
    <mergeCell ref="K16:K17"/>
    <mergeCell ref="L16:L17"/>
    <mergeCell ref="M16:M17"/>
    <mergeCell ref="N16:N17"/>
  </mergeCells>
  <conditionalFormatting sqref="C8">
    <cfRule type="iconSet" priority="2">
      <iconSet>
        <cfvo type="percent" val="0"/>
        <cfvo type="percent" val="33"/>
        <cfvo type="percent" val="67"/>
      </iconSet>
    </cfRule>
  </conditionalFormatting>
  <conditionalFormatting sqref="C9:C10 C5:C7">
    <cfRule type="iconSet" priority="18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81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E9B2B36-2AD5-4C7A-8FF6-3290A5D54CCC}">
            <x14:iconSet custom="1">
              <x14:cfvo type="percent">
                <xm:f>0</xm:f>
              </x14:cfvo>
              <x14:cfvo type="percent">
                <xm:f>$D$7</xm:f>
              </x14:cfvo>
              <x14:cfvo type="percent">
                <xm:f>$D$7</xm:f>
              </x14:cfvo>
              <x14:cfIcon iconSet="3TrafficLights1" iconId="0"/>
              <x14:cfIcon iconSet="3TrafficLights1" iconId="0"/>
              <x14:cfIcon iconSet="3TrafficLights1" iconId="2"/>
            </x14:iconSet>
          </x14:cfRule>
          <xm:sqref>B8</xm:sqref>
        </x14:conditionalFormatting>
        <x14:conditionalFormatting xmlns:xm="http://schemas.microsoft.com/office/excel/2006/main">
          <x14:cfRule type="iconSet" priority="15" id="{281D864F-4407-4750-B33B-66BCD395111F}">
            <x14:iconSet iconSet="3Triangles" custom="1">
              <x14:cfvo type="percent">
                <xm:f>0</xm:f>
              </x14:cfvo>
              <x14:cfvo type="percent">
                <xm:f>2</xm:f>
              </x14:cfvo>
              <x14:cfvo type="percent" gte="0">
                <xm:f>2</xm:f>
              </x14:cfvo>
              <x14:cfIcon iconSet="3Triangles" iconId="2"/>
              <x14:cfIcon iconSet="3Triangles" iconId="1"/>
              <x14:cfIcon iconSet="3Triangles" iconId="0"/>
            </x14:iconSet>
          </x14:cfRule>
          <x14:cfRule type="iconSet" priority="16" id="{FEEF3C72-59E7-4DFA-A4DE-58B4BAAF3FEB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14:cfRule type="iconSet" priority="17" id="{ACCAE624-CC12-4BD9-94C5-AC16B6B9128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G5:G7</xm:sqref>
        </x14:conditionalFormatting>
        <x14:conditionalFormatting xmlns:xm="http://schemas.microsoft.com/office/excel/2006/main">
          <x14:cfRule type="iconSet" priority="21" id="{D8A312E5-E096-4C69-B669-9517A37748A2}">
            <x14:iconSet custom="1">
              <x14:cfvo type="percent">
                <xm:f>0</xm:f>
              </x14:cfvo>
              <x14:cfvo type="percent">
                <xm:f>$D$7</xm:f>
              </x14:cfvo>
              <x14:cfvo type="percent">
                <xm:f>$D$7</xm:f>
              </x14:cfvo>
              <x14:cfIcon iconSet="3TrafficLights1" iconId="0"/>
              <x14:cfIcon iconSet="3TrafficLights1" iconId="0"/>
              <x14:cfIcon iconSet="3TrafficLights1" iconId="2"/>
            </x14:iconSet>
          </x14:cfRule>
          <xm:sqref>B9:B10 B5:B7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6">
    <tabColor theme="7" tint="0.79998168889431442"/>
  </sheetPr>
  <dimension ref="A1:A2"/>
  <sheetViews>
    <sheetView workbookViewId="0">
      <selection activeCell="I23" sqref="I23"/>
    </sheetView>
  </sheetViews>
  <sheetFormatPr defaultRowHeight="14.5" x14ac:dyDescent="0.35"/>
  <sheetData>
    <row r="1" spans="1:1" x14ac:dyDescent="0.35">
      <c r="A1" t="s">
        <v>49</v>
      </c>
    </row>
    <row r="2" spans="1:1" x14ac:dyDescent="0.35">
      <c r="A2" t="s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7">
    <tabColor theme="9" tint="-0.249977111117893"/>
    <pageSetUpPr fitToPage="1"/>
  </sheetPr>
  <dimension ref="B1:X44"/>
  <sheetViews>
    <sheetView showGridLines="0" zoomScale="85" zoomScaleNormal="85" workbookViewId="0">
      <selection activeCell="T17" sqref="T17"/>
    </sheetView>
  </sheetViews>
  <sheetFormatPr defaultColWidth="8.7265625" defaultRowHeight="12" x14ac:dyDescent="0.3"/>
  <cols>
    <col min="1" max="1" width="6" style="1" customWidth="1"/>
    <col min="2" max="2" width="21.26953125" style="1" customWidth="1"/>
    <col min="3" max="3" width="10.81640625" style="1" bestFit="1" customWidth="1"/>
    <col min="4" max="4" width="10.453125" style="1" customWidth="1"/>
    <col min="5" max="5" width="9.7265625" style="1" bestFit="1" customWidth="1"/>
    <col min="6" max="6" width="11.7265625" style="1" bestFit="1" customWidth="1"/>
    <col min="7" max="7" width="11.81640625" style="1" bestFit="1" customWidth="1"/>
    <col min="8" max="8" width="10.54296875" style="1" customWidth="1"/>
    <col min="9" max="9" width="9.7265625" style="1" bestFit="1" customWidth="1"/>
    <col min="10" max="10" width="5.453125" style="1" bestFit="1" customWidth="1"/>
    <col min="11" max="11" width="9.7265625" style="1" customWidth="1"/>
    <col min="12" max="12" width="7.7265625" style="1" customWidth="1"/>
    <col min="13" max="13" width="11.26953125" style="1" bestFit="1" customWidth="1"/>
    <col min="14" max="14" width="12.26953125" style="1" bestFit="1" customWidth="1"/>
    <col min="15" max="15" width="7.54296875" style="1" customWidth="1"/>
    <col min="16" max="16" width="11.7265625" style="1" customWidth="1"/>
    <col min="17" max="17" width="6.7265625" style="1" customWidth="1"/>
    <col min="18" max="16384" width="8.7265625" style="1"/>
  </cols>
  <sheetData>
    <row r="1" spans="2:24" ht="21" customHeight="1" thickBot="1" x14ac:dyDescent="0.35"/>
    <row r="2" spans="2:24" ht="28.9" customHeight="1" x14ac:dyDescent="0.3">
      <c r="B2" s="271" t="s">
        <v>0</v>
      </c>
      <c r="C2" s="272"/>
      <c r="D2" s="273">
        <f ca="1">TODAY()-1</f>
        <v>45971</v>
      </c>
      <c r="E2" s="274"/>
    </row>
    <row r="3" spans="2:24" customFormat="1" ht="15" thickBot="1" x14ac:dyDescent="0.4">
      <c r="F3" s="1"/>
      <c r="I3" s="58"/>
      <c r="J3" s="58"/>
      <c r="K3" s="58"/>
      <c r="L3" s="58"/>
      <c r="M3" s="81"/>
    </row>
    <row r="4" spans="2:24" ht="18" customHeight="1" thickBot="1" x14ac:dyDescent="0.35">
      <c r="B4" s="285" t="s">
        <v>1</v>
      </c>
      <c r="C4" s="286"/>
      <c r="D4" s="286"/>
      <c r="E4" s="286"/>
      <c r="F4" s="286"/>
      <c r="G4" s="286"/>
      <c r="H4" s="286"/>
      <c r="I4" s="56"/>
      <c r="J4" s="289" t="s">
        <v>51</v>
      </c>
      <c r="K4" s="290"/>
      <c r="L4" s="290"/>
      <c r="M4" s="290"/>
      <c r="N4" s="290"/>
      <c r="O4" s="290"/>
      <c r="P4" s="290"/>
      <c r="Q4" s="290"/>
      <c r="R4" s="290"/>
      <c r="S4" s="290"/>
    </row>
    <row r="5" spans="2:24" ht="19.899999999999999" customHeight="1" thickBot="1" x14ac:dyDescent="0.35">
      <c r="B5" s="61" t="s">
        <v>2</v>
      </c>
      <c r="C5" s="48">
        <f ca="1">TODAY()-1</f>
        <v>45971</v>
      </c>
      <c r="D5" s="45" t="s">
        <v>3</v>
      </c>
      <c r="E5" s="45" t="s">
        <v>4</v>
      </c>
      <c r="F5" s="45" t="s">
        <v>52</v>
      </c>
      <c r="G5" s="45" t="s">
        <v>53</v>
      </c>
      <c r="H5" s="46" t="s">
        <v>7</v>
      </c>
      <c r="I5" s="56">
        <f ca="1">MONTH(TODAY()-1)</f>
        <v>11</v>
      </c>
      <c r="J5" s="84" t="s">
        <v>54</v>
      </c>
      <c r="K5" s="85" t="s">
        <v>55</v>
      </c>
      <c r="L5" s="86" t="s">
        <v>56</v>
      </c>
      <c r="M5" s="86" t="s">
        <v>52</v>
      </c>
      <c r="N5" s="86" t="s">
        <v>53</v>
      </c>
      <c r="O5" s="87" t="s">
        <v>7</v>
      </c>
      <c r="P5" s="95" t="s">
        <v>8</v>
      </c>
      <c r="Q5" s="86" t="s">
        <v>52</v>
      </c>
      <c r="R5" s="86" t="s">
        <v>53</v>
      </c>
      <c r="S5" s="87" t="s">
        <v>7</v>
      </c>
    </row>
    <row r="6" spans="2:24" ht="19.149999999999999" customHeight="1" x14ac:dyDescent="0.3">
      <c r="B6" s="59" t="s">
        <v>8</v>
      </c>
      <c r="C6" s="74">
        <f>UA_SQL_1!N2/UA_SQL_1!M2</f>
        <v>1973</v>
      </c>
      <c r="D6" s="74">
        <f>UA_SQL_1!F2/UA_SQL_1!E2</f>
        <v>9.4560244026436202E-3</v>
      </c>
      <c r="E6" s="29">
        <f ca="1">SUMIF(EX_Goals!$B:$B,'PAGE_1 (2)'!$I$5,EX_Goals!$E:$E)</f>
        <v>0.99209999999999998</v>
      </c>
      <c r="F6" s="80">
        <f>((UA_SQL_1!$N$2/UA_SQL_1!$M$2)-(SUMIF(OA_SQL_1!$A$1:$A$3,"DL",OA_SQL_1!$K$1:$K$3)/SUMIF(OA_SQL_1!$A$1:$A$3,"DL",OA_SQL_1!$I$1:$I$3)))*100</f>
        <v>197280.03782918668</v>
      </c>
      <c r="G6" s="80">
        <f>((UA_SQL_1!$N$2/UA_SQL_1!$M$2)-(SUMIF(OA_SQL_1!$A$1:$A$3,"AA",OA_SQL_1!$K$1:$K$3)/SUMIF(OA_SQL_1!$A$1:$A$3,"AA",OA_SQL_1!$I$1:$I$3)))*100</f>
        <v>197281.15868592178</v>
      </c>
      <c r="H6" s="51">
        <f>RANK!F2</f>
        <v>3</v>
      </c>
      <c r="I6" s="56"/>
      <c r="J6" s="88" t="s">
        <v>57</v>
      </c>
      <c r="K6" s="89"/>
      <c r="L6" s="89"/>
      <c r="M6" s="90"/>
      <c r="N6" s="91"/>
      <c r="O6" s="96"/>
      <c r="P6" s="93"/>
      <c r="Q6" s="89"/>
      <c r="R6" s="89"/>
      <c r="S6" s="89"/>
    </row>
    <row r="7" spans="2:24" ht="19.899999999999999" customHeight="1" x14ac:dyDescent="0.3">
      <c r="B7" s="59" t="s">
        <v>9</v>
      </c>
      <c r="C7" s="74">
        <f>UA_SQL_1!Q2/UA_SQL_1!M2</f>
        <v>1539</v>
      </c>
      <c r="D7" s="74">
        <f>UA_SQL_1!I2/UA_SQL_1!E2</f>
        <v>0.66446365022877474</v>
      </c>
      <c r="E7" s="29">
        <f ca="1">SUMIF(EX_Goals!$B:$B,'PAGE_1 (2)'!$I$5,EX_Goals!$D:$D)</f>
        <v>0.65620000000000001</v>
      </c>
      <c r="F7" s="80">
        <f>((UA_SQL_1!$Q$2/UA_SQL_1!$M$2)-(SUMIF(OA_SQL_1!$A$1:$A$3,"DL",OA_SQL_1!$L$1:$L$3)/SUMIF(OA_SQL_1!$A$1:$A$3,"DL",OA_SQL_1!$I$1:$I$3)))*100</f>
        <v>153875.29463116542</v>
      </c>
      <c r="G7" s="80">
        <f>((UA_SQL_1!$Q$2/UA_SQL_1!$M$2)-(SUMIF(OA_SQL_1!$A$1:$A$3,"AA",OA_SQL_1!$L$1:$L$3)/SUMIF(OA_SQL_1!$A$1:$A$3,"AA",OA_SQL_1!$I$1:$I$3)))*100</f>
        <v>153876.4378008614</v>
      </c>
      <c r="H7" s="51">
        <f>RANK!F3</f>
        <v>3</v>
      </c>
      <c r="I7" s="56"/>
      <c r="J7" s="88" t="s">
        <v>58</v>
      </c>
      <c r="K7" s="89"/>
      <c r="L7" s="89"/>
      <c r="M7" s="89"/>
      <c r="N7" s="89"/>
      <c r="O7" s="97"/>
      <c r="P7" s="94"/>
      <c r="Q7" s="89"/>
      <c r="R7" s="89"/>
      <c r="S7" s="89"/>
    </row>
    <row r="8" spans="2:24" ht="19.149999999999999" customHeight="1" x14ac:dyDescent="0.3">
      <c r="B8" s="60" t="s">
        <v>11</v>
      </c>
      <c r="C8" s="74">
        <f>UA_SQL_1!P2/UA_SQL_1!M2</f>
        <v>1492</v>
      </c>
      <c r="D8" s="75">
        <f>UA_SQL_1!H2/UA_SQL_1!E2</f>
        <v>0.76817488561260805</v>
      </c>
      <c r="E8" s="29">
        <f ca="1">SUMIF(EX_Goals!$B:$B,'PAGE_1 (2)'!$I$5,EX_Goals!$C:$C)</f>
        <v>0.76939999999999997</v>
      </c>
      <c r="F8" s="80">
        <f>((UA_SQL_1!$P$2/UA_SQL_1!$M$2)-(SUMIF(OA_SQL_1!$A$1:$A$3,"DL",OA_SQL_1!$J$1:$J$3)/SUMIF(OA_SQL_1!$A$1:$A$3,"DL",OA_SQL_1!$I$1:$I$3)))*100</f>
        <v>149175.28008147824</v>
      </c>
      <c r="G8" s="80">
        <f>((UA_SQL_1!$P$2/UA_SQL_1!$M$2)-(SUMIF(OA_SQL_1!$A$1:$A$3,"AA",OA_SQL_1!$J$1:$J$3)/SUMIF(OA_SQL_1!$A$1:$A$3,"AA",OA_SQL_1!$I$1:$I$3)))*100</f>
        <v>149176.12532725278</v>
      </c>
      <c r="H8" s="51">
        <f>RANK!F4</f>
        <v>3</v>
      </c>
      <c r="I8" s="56"/>
      <c r="J8" s="92" t="s">
        <v>59</v>
      </c>
      <c r="K8" s="89"/>
      <c r="L8" s="89"/>
      <c r="M8" s="89"/>
      <c r="N8" s="89"/>
      <c r="O8" s="97"/>
      <c r="P8" s="94"/>
      <c r="Q8" s="89"/>
      <c r="R8" s="89"/>
      <c r="S8" s="89"/>
    </row>
    <row r="9" spans="2:24" ht="19.899999999999999" customHeight="1" x14ac:dyDescent="0.3">
      <c r="B9" s="60" t="s">
        <v>10</v>
      </c>
      <c r="C9" s="74">
        <f>UA_SQL_1!O2/UA_SQL_1!M2</f>
        <v>13</v>
      </c>
      <c r="D9" s="75">
        <f>UA_SQL_1!G2/UA_SQL_1!E2</f>
        <v>0.74082358922216573</v>
      </c>
      <c r="E9" s="29">
        <f ca="1">SUMIF(EX_Goals!$B:$B,'PAGE_1 (2)'!$I$5,EX_Goals!$C:$C)</f>
        <v>0.76939999999999997</v>
      </c>
      <c r="F9" s="72"/>
      <c r="G9" s="72"/>
      <c r="H9" s="72"/>
      <c r="I9" s="56"/>
      <c r="J9" s="92" t="s">
        <v>60</v>
      </c>
      <c r="K9" s="89"/>
      <c r="L9" s="89"/>
      <c r="M9" s="89"/>
      <c r="N9" s="89"/>
      <c r="O9" s="97"/>
      <c r="P9" s="94"/>
      <c r="Q9" s="89"/>
      <c r="R9" s="89"/>
      <c r="S9" s="89"/>
    </row>
    <row r="10" spans="2:24" ht="20.5" customHeight="1" x14ac:dyDescent="0.35">
      <c r="B10" s="59" t="s">
        <v>12</v>
      </c>
      <c r="C10" s="74">
        <f>UA_SQL_1!S2/UA_SQL_1!R2</f>
        <v>1.205904617713853</v>
      </c>
      <c r="D10" s="74">
        <f>UA_SQL_1!K2/UA_SQL_1!J2</f>
        <v>0.20030063885757235</v>
      </c>
      <c r="E10" s="29">
        <f ca="1">SUMIF(EX_Goals!$B:$B,'PAGE_1 (2)'!$I$5,EX_Goals!$F:$F)</f>
        <v>0.87021021980000002</v>
      </c>
      <c r="F10" s="73"/>
      <c r="G10" s="73"/>
      <c r="H10" s="73"/>
      <c r="I10" s="56"/>
      <c r="J10" s="88" t="s">
        <v>61</v>
      </c>
      <c r="K10" s="89"/>
      <c r="L10" s="89"/>
      <c r="M10" s="89"/>
      <c r="N10" s="89"/>
      <c r="O10" s="97"/>
      <c r="P10" s="94"/>
      <c r="Q10" s="89"/>
      <c r="R10" s="89"/>
      <c r="S10" s="89"/>
    </row>
    <row r="11" spans="2:24" ht="19.899999999999999" customHeight="1" x14ac:dyDescent="0.3">
      <c r="B11" s="59" t="s">
        <v>13</v>
      </c>
      <c r="C11" s="76">
        <f>(UA_SQL_1!M2-UA_SQL_1!T2)/UA_SQL_1!M2</f>
        <v>-311</v>
      </c>
      <c r="D11" s="76">
        <f>(UA_SQL_1!E2-UA_SQL_1!L2)/UA_SQL_1!E2</f>
        <v>0.85653279105236402</v>
      </c>
      <c r="E11" s="62">
        <f ca="1">SUMIF(EX_Goals!$B:$B,'PAGE_1 (2)'!$I$5,EX_Goals!$G:$G)</f>
        <v>0.99929796030999996</v>
      </c>
      <c r="F11" s="72"/>
      <c r="G11" s="72"/>
      <c r="H11" s="72"/>
      <c r="I11" s="57"/>
      <c r="J11" s="88" t="s">
        <v>62</v>
      </c>
      <c r="K11" s="89"/>
      <c r="L11" s="89"/>
      <c r="M11" s="89"/>
      <c r="N11" s="89"/>
      <c r="O11" s="97"/>
      <c r="P11" s="94"/>
      <c r="Q11" s="89"/>
      <c r="R11" s="89"/>
      <c r="S11" s="89"/>
    </row>
    <row r="12" spans="2:24" ht="19.899999999999999" customHeight="1" x14ac:dyDescent="0.3">
      <c r="B12" s="59" t="s">
        <v>63</v>
      </c>
      <c r="C12" s="83">
        <f>SUMIFS(TOTAL_DIVERTS_SQL_5!$B:$B,TOTAL_DIVERTS_SQL_5!A:A,"YEST")</f>
        <v>3</v>
      </c>
      <c r="D12" s="83">
        <f>SUMIFS(TOTAL_DIVERTS_SQL_5!$B:$B,TOTAL_DIVERTS_SQL_5!A:A,"MTD")</f>
        <v>9</v>
      </c>
      <c r="E12" s="82"/>
      <c r="F12" s="72"/>
      <c r="G12" s="72"/>
      <c r="H12" s="72"/>
      <c r="I12" s="57"/>
      <c r="J12" s="88" t="s">
        <v>64</v>
      </c>
      <c r="K12" s="89"/>
      <c r="L12" s="89"/>
      <c r="M12" s="89"/>
      <c r="N12" s="89"/>
      <c r="O12" s="97"/>
      <c r="P12" s="94"/>
      <c r="Q12" s="89"/>
      <c r="R12" s="89"/>
      <c r="S12" s="89"/>
    </row>
    <row r="13" spans="2:24" ht="19.899999999999999" customHeight="1" thickBot="1" x14ac:dyDescent="0.35">
      <c r="B13" s="59" t="s">
        <v>65</v>
      </c>
      <c r="C13" s="83">
        <f>SUMIF(DIVERTS_RECOVERED_SQL_6!$A:$A,"YEST",DIVERTS_RECOVERED_SQL_6!$C:$C)</f>
        <v>1</v>
      </c>
      <c r="D13" s="83">
        <f>SUMIF(DIVERTS_RECOVERED_SQL_6!$A:$A,"MTD",DIVERTS_RECOVERED_SQL_6!$C:$C)</f>
        <v>6</v>
      </c>
      <c r="E13" s="82"/>
      <c r="F13" s="72"/>
      <c r="G13" s="72"/>
      <c r="H13" s="72"/>
      <c r="I13" s="57"/>
      <c r="J13" s="98" t="s">
        <v>66</v>
      </c>
      <c r="K13" s="99"/>
      <c r="L13" s="99"/>
      <c r="M13" s="99"/>
      <c r="N13" s="99"/>
      <c r="O13" s="100"/>
      <c r="P13" s="101"/>
      <c r="Q13" s="99"/>
      <c r="R13" s="99"/>
      <c r="S13" s="99"/>
    </row>
    <row r="14" spans="2:24" x14ac:dyDescent="0.3">
      <c r="I14" s="57"/>
      <c r="J14" s="57"/>
      <c r="K14" s="57"/>
      <c r="L14" s="57"/>
      <c r="M14" s="57"/>
      <c r="N14" s="57"/>
      <c r="O14" s="56"/>
      <c r="P14" s="56"/>
    </row>
    <row r="15" spans="2:24" x14ac:dyDescent="0.3">
      <c r="N15" s="57"/>
      <c r="O15" s="57"/>
      <c r="P15" s="57"/>
      <c r="Q15" s="57"/>
      <c r="R15" s="57"/>
      <c r="S15" s="57"/>
      <c r="T15" s="57"/>
      <c r="U15" s="57"/>
      <c r="V15" s="57"/>
      <c r="W15" s="56"/>
      <c r="X15" s="56"/>
    </row>
    <row r="16" spans="2:24" x14ac:dyDescent="0.3">
      <c r="N16" s="57"/>
      <c r="O16" s="57"/>
      <c r="P16" s="57"/>
      <c r="Q16" s="57"/>
      <c r="R16" s="57"/>
      <c r="S16" s="57"/>
      <c r="T16" s="57"/>
      <c r="U16" s="57"/>
      <c r="V16" s="57"/>
      <c r="W16" s="56"/>
      <c r="X16" s="56"/>
    </row>
    <row r="17" spans="2:24" x14ac:dyDescent="0.3">
      <c r="N17" s="57"/>
      <c r="O17" s="57"/>
      <c r="P17" s="57"/>
      <c r="Q17" s="57"/>
      <c r="R17" s="57"/>
      <c r="S17" s="57"/>
      <c r="T17" s="57"/>
      <c r="U17" s="57"/>
      <c r="V17" s="57"/>
      <c r="W17" s="56"/>
      <c r="X17" s="56"/>
    </row>
    <row r="18" spans="2:24" ht="12.5" thickBot="1" x14ac:dyDescent="0.35">
      <c r="C18" s="2"/>
      <c r="Q18" s="57"/>
      <c r="R18" s="57"/>
      <c r="S18" s="57"/>
      <c r="T18" s="57"/>
      <c r="U18" s="57"/>
      <c r="V18" s="57"/>
      <c r="W18" s="56"/>
      <c r="X18" s="56"/>
    </row>
    <row r="19" spans="2:24" ht="16" thickBot="1" x14ac:dyDescent="0.35">
      <c r="B19" s="285" t="s">
        <v>14</v>
      </c>
      <c r="C19" s="286"/>
      <c r="D19" s="286"/>
      <c r="E19" s="286"/>
      <c r="F19" s="286"/>
      <c r="G19" s="286"/>
      <c r="H19" s="286"/>
      <c r="I19" s="286"/>
      <c r="J19" s="286"/>
      <c r="K19" s="286"/>
      <c r="L19" s="286"/>
      <c r="M19" s="286"/>
      <c r="N19" s="286"/>
      <c r="O19" s="286"/>
      <c r="P19" s="286"/>
      <c r="Q19" s="57"/>
      <c r="R19" s="56"/>
      <c r="S19" s="56"/>
      <c r="T19" s="56"/>
      <c r="U19" s="56"/>
      <c r="V19" s="57"/>
      <c r="W19" s="56"/>
      <c r="X19" s="56"/>
    </row>
    <row r="20" spans="2:24" ht="30.65" customHeight="1" thickBot="1" x14ac:dyDescent="0.35">
      <c r="B20" s="67" t="s">
        <v>15</v>
      </c>
      <c r="C20" s="68" t="s">
        <v>67</v>
      </c>
      <c r="D20" s="69" t="s">
        <v>68</v>
      </c>
      <c r="E20" s="69" t="s">
        <v>69</v>
      </c>
      <c r="F20" s="69" t="s">
        <v>70</v>
      </c>
      <c r="G20" s="69" t="s">
        <v>71</v>
      </c>
      <c r="H20" s="69" t="s">
        <v>72</v>
      </c>
      <c r="I20" s="69" t="s">
        <v>73</v>
      </c>
      <c r="J20" s="69" t="s">
        <v>23</v>
      </c>
      <c r="K20" s="69" t="s">
        <v>24</v>
      </c>
      <c r="L20" s="69" t="s">
        <v>74</v>
      </c>
      <c r="M20" s="70" t="s">
        <v>25</v>
      </c>
      <c r="N20" s="71" t="s">
        <v>26</v>
      </c>
      <c r="O20" s="71" t="s">
        <v>75</v>
      </c>
      <c r="P20" s="71" t="s">
        <v>28</v>
      </c>
      <c r="Q20" s="57"/>
      <c r="R20" s="56"/>
      <c r="S20" s="56"/>
      <c r="T20" s="56"/>
      <c r="U20" s="56"/>
      <c r="V20" s="57"/>
      <c r="W20" s="56"/>
      <c r="X20" s="56"/>
    </row>
    <row r="21" spans="2:24" ht="14.5" x14ac:dyDescent="0.35">
      <c r="B21" s="63" t="s">
        <v>33</v>
      </c>
      <c r="C21" s="77">
        <f>SUMIF(SCH_DEP_SQL_4!$A:$A,'PAGE_1 (2)'!R21,SCH_DEP_SQL_4!$E:$E)</f>
        <v>0</v>
      </c>
      <c r="D21" s="12" t="str">
        <f>IF(SUMIFS(CNXL_SQL_2!$F:$F,CNXL_SQL_2!$A:$A,'PAGE_1 (2)'!$R21,CNXL_SQL_2!$D:$D,'PAGE_1 (2)'!$S$21)=0,"",SUMIFS(CNXL_SQL_2!$F:$F,CNXL_SQL_2!$A:$A,'PAGE_1 (2)'!$R21,CNXL_SQL_2!$D:$D,'PAGE_1 (2)'!$S$21))</f>
        <v/>
      </c>
      <c r="E21" s="12" t="str">
        <f>IF(SUMIFS(CNXL_SQL_2!$F:$F,CNXL_SQL_2!$A:$A,'PAGE_1 (2)'!$R21,CNXL_SQL_2!$D:$D,'PAGE_1 (2)'!$S$22)=0,"",SUMIFS(CNXL_SQL_2!$F:$F,CNXL_SQL_2!$A:$A,'PAGE_1 (2)'!$R21,CNXL_SQL_2!$D:$D,'PAGE_1 (2)'!$S$22))</f>
        <v/>
      </c>
      <c r="F21" s="12" t="str">
        <f>IF(SUMIFS(CNXL_SQL_2!$F:$F,CNXL_SQL_2!$A:$A,'PAGE_1 (2)'!$R21,CNXL_SQL_2!$D:$D,'PAGE_1 (2)'!$S$23)=0,"",SUMIFS(CNXL_SQL_2!$F:$F,CNXL_SQL_2!$A:$A,'PAGE_1 (2)'!$R21,CNXL_SQL_2!$D:$D,'PAGE_1 (2)'!$S$23))</f>
        <v/>
      </c>
      <c r="G21" s="12" t="str">
        <f>IF(SUMIFS(CNXL_SQL_2!$F:$F,CNXL_SQL_2!$A:$A,'PAGE_1 (2)'!$R21,CNXL_SQL_2!$D:$D,'PAGE_1 (2)'!$S$24)=0,"",SUMIFS(CNXL_SQL_2!$F:$F,CNXL_SQL_2!$A:$A,'PAGE_1 (2)'!$R21,CNXL_SQL_2!$D:$D,'PAGE_1 (2)'!$S$24))</f>
        <v/>
      </c>
      <c r="H21" s="12" t="str">
        <f>IF(SUMIFS(CNXL_SQL_2!$F:$F,CNXL_SQL_2!$A:$A,'PAGE_1 (2)'!$R21,CNXL_SQL_2!$D:$D,'PAGE_1 (2)'!$S$25)=0,"",SUMIFS(CNXL_SQL_2!$F:$F,CNXL_SQL_2!$A:$A,'PAGE_1 (2)'!$R21,CNXL_SQL_2!$D:$D,'PAGE_1 (2)'!$S$25))</f>
        <v/>
      </c>
      <c r="I21" s="12" t="str">
        <f>IF(SUMIFS(CNXL_SQL_2!$F:$F,CNXL_SQL_2!$A:$A,'PAGE_1 (2)'!$R21,CNXL_SQL_2!$D:$D,'PAGE_1 (2)'!$S$26)=0,"",SUMIFS(CNXL_SQL_2!$F:$F,CNXL_SQL_2!$A:$A,'PAGE_1 (2)'!$R21,CNXL_SQL_2!$D:$D,'PAGE_1 (2)'!$S$26))</f>
        <v/>
      </c>
      <c r="J21" s="12" t="str">
        <f>IF(SUMIFS(CNXL_SQL_2!$F:$F,CNXL_SQL_2!$A:$A,'PAGE_1 (2)'!$R21,CNXL_SQL_2!$D:$D,'PAGE_1 (2)'!$S$27)=0,"",SUMIFS(CNXL_SQL_2!$F:$F,CNXL_SQL_2!$A:$A,'PAGE_1 (2)'!$R21,CNXL_SQL_2!$D:$D,'PAGE_1 (2)'!$S$27))</f>
        <v/>
      </c>
      <c r="K21" s="12" t="str">
        <f>IF(SUMIFS(CNXL_SQL_2!$F:$F,CNXL_SQL_2!$A:$A,'PAGE_1 (2)'!$R21,CNXL_SQL_2!$D:$D,'PAGE_1 (2)'!$S$28)=0,"",SUMIFS(CNXL_SQL_2!$F:$F,CNXL_SQL_2!$A:$A,'PAGE_1 (2)'!$R21,CNXL_SQL_2!$D:$D,'PAGE_1 (2)'!$S$28))</f>
        <v/>
      </c>
      <c r="L21" s="12" t="str">
        <f>IF(SUMIFS(CNXL_SQL_2!$F:$F,CNXL_SQL_2!$A:$A,'PAGE_1 (2)'!$R21,CNXL_SQL_2!$D:$D,'PAGE_1 (2)'!$S$29)=0,"",SUMIFS(CNXL_SQL_2!$F:$F,CNXL_SQL_2!$A:$A,'PAGE_1 (2)'!$R21,CNXL_SQL_2!$D:$D,'PAGE_1 (2)'!$S$29))</f>
        <v/>
      </c>
      <c r="M21" s="37" t="str">
        <f>IF(SUM(D21:L21)=0,"",SUM(D21:L21))</f>
        <v/>
      </c>
      <c r="N21" s="37" t="str">
        <f>ES_MATRIX!K3</f>
        <v/>
      </c>
      <c r="O21" s="14" t="str">
        <f>IFERROR(M21-ES_MATRIX!L3,"")</f>
        <v/>
      </c>
      <c r="P21" s="40" t="str">
        <f>IF(SUMIF(CNXL_SQL_2!$E:$E,'PAGE_1 (2)'!R21,CNXL_SQL_2!$F:$F)=0,"",SUMIF(CNXL_SQL_2!$E:$E,'PAGE_1 (2)'!R21,CNXL_SQL_2!$F:$F))</f>
        <v/>
      </c>
      <c r="Q21" s="57"/>
      <c r="R21" s="58" t="s">
        <v>76</v>
      </c>
      <c r="S21" s="58" t="s">
        <v>77</v>
      </c>
      <c r="T21" s="56"/>
      <c r="U21" s="56"/>
      <c r="V21" s="57"/>
      <c r="W21" s="56"/>
      <c r="X21" s="56"/>
    </row>
    <row r="22" spans="2:24" ht="14.5" x14ac:dyDescent="0.35">
      <c r="B22" s="64" t="s">
        <v>35</v>
      </c>
      <c r="C22" s="78">
        <f>SUMIF(SCH_DEP_SQL_4!$A:$A,'PAGE_1 (2)'!R22,SCH_DEP_SQL_4!$E:$E)</f>
        <v>972</v>
      </c>
      <c r="D22" s="17">
        <f>IF(SUMIFS(CNXL_SQL_2!$F:$F,CNXL_SQL_2!$A:$A,'PAGE_1 (2)'!$R22,CNXL_SQL_2!$D:$D,'PAGE_1 (2)'!$S$21)=0,"",SUMIFS(CNXL_SQL_2!$F:$F,CNXL_SQL_2!$A:$A,'PAGE_1 (2)'!$R22,CNXL_SQL_2!$D:$D,'PAGE_1 (2)'!$S$21))</f>
        <v>5</v>
      </c>
      <c r="E22" s="17" t="str">
        <f>IF(SUMIFS(CNXL_SQL_2!$F:$F,CNXL_SQL_2!$A:$A,'PAGE_1 (2)'!$R22,CNXL_SQL_2!$D:$D,'PAGE_1 (2)'!$S$22)=0,"",SUMIFS(CNXL_SQL_2!$F:$F,CNXL_SQL_2!$A:$A,'PAGE_1 (2)'!$R22,CNXL_SQL_2!$D:$D,'PAGE_1 (2)'!$S$22))</f>
        <v/>
      </c>
      <c r="F22" s="17" t="str">
        <f>IF(SUMIFS(CNXL_SQL_2!$F:$F,CNXL_SQL_2!$A:$A,'PAGE_1 (2)'!$R22,CNXL_SQL_2!$D:$D,'PAGE_1 (2)'!$S$23)=0,"",SUMIFS(CNXL_SQL_2!$F:$F,CNXL_SQL_2!$A:$A,'PAGE_1 (2)'!$R22,CNXL_SQL_2!$D:$D,'PAGE_1 (2)'!$S$23))</f>
        <v/>
      </c>
      <c r="G22" s="17" t="str">
        <f>IF(SUMIFS(CNXL_SQL_2!$F:$F,CNXL_SQL_2!$A:$A,'PAGE_1 (2)'!$R22,CNXL_SQL_2!$D:$D,'PAGE_1 (2)'!$S$24)=0,"",SUMIFS(CNXL_SQL_2!$F:$F,CNXL_SQL_2!$A:$A,'PAGE_1 (2)'!$R22,CNXL_SQL_2!$D:$D,'PAGE_1 (2)'!$S$24))</f>
        <v/>
      </c>
      <c r="H22" s="17" t="str">
        <f>IF(SUMIFS(CNXL_SQL_2!$F:$F,CNXL_SQL_2!$A:$A,'PAGE_1 (2)'!$R22,CNXL_SQL_2!$D:$D,'PAGE_1 (2)'!$S$25)=0,"",SUMIFS(CNXL_SQL_2!$F:$F,CNXL_SQL_2!$A:$A,'PAGE_1 (2)'!$R22,CNXL_SQL_2!$D:$D,'PAGE_1 (2)'!$S$25))</f>
        <v/>
      </c>
      <c r="I22" s="17" t="str">
        <f>IF(SUMIFS(CNXL_SQL_2!$F:$F,CNXL_SQL_2!$A:$A,'PAGE_1 (2)'!$R22,CNXL_SQL_2!$D:$D,'PAGE_1 (2)'!$S$26)=0,"",SUMIFS(CNXL_SQL_2!$F:$F,CNXL_SQL_2!$A:$A,'PAGE_1 (2)'!$R22,CNXL_SQL_2!$D:$D,'PAGE_1 (2)'!$S$26))</f>
        <v/>
      </c>
      <c r="J22" s="17" t="str">
        <f>IF(SUMIFS(CNXL_SQL_2!$F:$F,CNXL_SQL_2!$A:$A,'PAGE_1 (2)'!$R22,CNXL_SQL_2!$D:$D,'PAGE_1 (2)'!$S$27)=0,"",SUMIFS(CNXL_SQL_2!$F:$F,CNXL_SQL_2!$A:$A,'PAGE_1 (2)'!$R22,CNXL_SQL_2!$D:$D,'PAGE_1 (2)'!$S$27))</f>
        <v/>
      </c>
      <c r="K22" s="17" t="str">
        <f>IF(SUMIFS(CNXL_SQL_2!$F:$F,CNXL_SQL_2!$A:$A,'PAGE_1 (2)'!$R22,CNXL_SQL_2!$D:$D,'PAGE_1 (2)'!$S$28)=0,"",SUMIFS(CNXL_SQL_2!$F:$F,CNXL_SQL_2!$A:$A,'PAGE_1 (2)'!$R22,CNXL_SQL_2!$D:$D,'PAGE_1 (2)'!$S$28))</f>
        <v/>
      </c>
      <c r="L22" s="17" t="str">
        <f>IF(SUMIFS(CNXL_SQL_2!$F:$F,CNXL_SQL_2!$A:$A,'PAGE_1 (2)'!$R22,CNXL_SQL_2!$D:$D,'PAGE_1 (2)'!$S$29)=0,"",SUMIFS(CNXL_SQL_2!$F:$F,CNXL_SQL_2!$A:$A,'PAGE_1 (2)'!$R22,CNXL_SQL_2!$D:$D,'PAGE_1 (2)'!$S$29))</f>
        <v/>
      </c>
      <c r="M22" s="18">
        <f t="shared" ref="M22:M28" si="0">IF(SUM(D22:L22)=0,"",SUM(D22:L22))</f>
        <v>5</v>
      </c>
      <c r="N22" s="18" t="str">
        <f>ES_MATRIX!K4</f>
        <v/>
      </c>
      <c r="O22" s="18">
        <f>IFERROR(M22-ES_MATRIX!L4,"")</f>
        <v>5</v>
      </c>
      <c r="P22" s="16" t="str">
        <f>IF(SUMIF(CNXL_SQL_2!$E:$E,'PAGE_1 (2)'!R22,CNXL_SQL_2!$F:$F)=0,"",SUMIF(CNXL_SQL_2!$E:$E,'PAGE_1 (2)'!R22,CNXL_SQL_2!$F:$F))</f>
        <v/>
      </c>
      <c r="Q22" s="57"/>
      <c r="R22" s="56" t="s">
        <v>78</v>
      </c>
      <c r="S22" s="58" t="s">
        <v>79</v>
      </c>
      <c r="T22" s="56"/>
      <c r="U22" s="56"/>
      <c r="V22" s="57"/>
      <c r="W22" s="56"/>
      <c r="X22" s="56"/>
    </row>
    <row r="23" spans="2:24" ht="14.5" x14ac:dyDescent="0.35">
      <c r="B23" s="63" t="s">
        <v>37</v>
      </c>
      <c r="C23" s="77">
        <f>SUMIF(SCH_DEP_SQL_4!$A:$A,'PAGE_1 (2)'!R23,SCH_DEP_SQL_4!$E:$E)</f>
        <v>0</v>
      </c>
      <c r="D23" s="12" t="str">
        <f>IF(SUMIFS(CNXL_SQL_2!$F:$F,CNXL_SQL_2!$A:$A,'PAGE_1 (2)'!$R23,CNXL_SQL_2!$D:$D,'PAGE_1 (2)'!$S$21)=0,"",SUMIFS(CNXL_SQL_2!$F:$F,CNXL_SQL_2!$A:$A,'PAGE_1 (2)'!$R23,CNXL_SQL_2!$D:$D,'PAGE_1 (2)'!$S$21))</f>
        <v/>
      </c>
      <c r="E23" s="12" t="str">
        <f>IF(SUMIFS(CNXL_SQL_2!$F:$F,CNXL_SQL_2!$A:$A,'PAGE_1 (2)'!$R23,CNXL_SQL_2!$D:$D,'PAGE_1 (2)'!$S$22)=0,"",SUMIFS(CNXL_SQL_2!$F:$F,CNXL_SQL_2!$A:$A,'PAGE_1 (2)'!$R23,CNXL_SQL_2!$D:$D,'PAGE_1 (2)'!$S$22))</f>
        <v/>
      </c>
      <c r="F23" s="12" t="str">
        <f>IF(SUMIFS(CNXL_SQL_2!$F:$F,CNXL_SQL_2!$A:$A,'PAGE_1 (2)'!$R23,CNXL_SQL_2!$D:$D,'PAGE_1 (2)'!$S$23)=0,"",SUMIFS(CNXL_SQL_2!$F:$F,CNXL_SQL_2!$A:$A,'PAGE_1 (2)'!$R23,CNXL_SQL_2!$D:$D,'PAGE_1 (2)'!$S$23))</f>
        <v/>
      </c>
      <c r="G23" s="12" t="str">
        <f>IF(SUMIFS(CNXL_SQL_2!$F:$F,CNXL_SQL_2!$A:$A,'PAGE_1 (2)'!$R23,CNXL_SQL_2!$D:$D,'PAGE_1 (2)'!$S$24)=0,"",SUMIFS(CNXL_SQL_2!$F:$F,CNXL_SQL_2!$A:$A,'PAGE_1 (2)'!$R23,CNXL_SQL_2!$D:$D,'PAGE_1 (2)'!$S$24))</f>
        <v/>
      </c>
      <c r="H23" s="12" t="str">
        <f>IF(SUMIFS(CNXL_SQL_2!$F:$F,CNXL_SQL_2!$A:$A,'PAGE_1 (2)'!$R23,CNXL_SQL_2!$D:$D,'PAGE_1 (2)'!$S$25)=0,"",SUMIFS(CNXL_SQL_2!$F:$F,CNXL_SQL_2!$A:$A,'PAGE_1 (2)'!$R23,CNXL_SQL_2!$D:$D,'PAGE_1 (2)'!$S$25))</f>
        <v/>
      </c>
      <c r="I23" s="12" t="str">
        <f>IF(SUMIFS(CNXL_SQL_2!$F:$F,CNXL_SQL_2!$A:$A,'PAGE_1 (2)'!$R23,CNXL_SQL_2!$D:$D,'PAGE_1 (2)'!$S$26)=0,"",SUMIFS(CNXL_SQL_2!$F:$F,CNXL_SQL_2!$A:$A,'PAGE_1 (2)'!$R23,CNXL_SQL_2!$D:$D,'PAGE_1 (2)'!$S$26))</f>
        <v/>
      </c>
      <c r="J23" s="12" t="str">
        <f>IF(SUMIFS(CNXL_SQL_2!$F:$F,CNXL_SQL_2!$A:$A,'PAGE_1 (2)'!$R23,CNXL_SQL_2!$D:$D,'PAGE_1 (2)'!$S$27)=0,"",SUMIFS(CNXL_SQL_2!$F:$F,CNXL_SQL_2!$A:$A,'PAGE_1 (2)'!$R23,CNXL_SQL_2!$D:$D,'PAGE_1 (2)'!$S$27))</f>
        <v/>
      </c>
      <c r="K23" s="12" t="str">
        <f>IF(SUMIFS(CNXL_SQL_2!$F:$F,CNXL_SQL_2!$A:$A,'PAGE_1 (2)'!$R23,CNXL_SQL_2!$D:$D,'PAGE_1 (2)'!$S$28)=0,"",SUMIFS(CNXL_SQL_2!$F:$F,CNXL_SQL_2!$A:$A,'PAGE_1 (2)'!$R23,CNXL_SQL_2!$D:$D,'PAGE_1 (2)'!$S$28))</f>
        <v/>
      </c>
      <c r="L23" s="12" t="str">
        <f>IF(SUMIFS(CNXL_SQL_2!$F:$F,CNXL_SQL_2!$A:$A,'PAGE_1 (2)'!$R23,CNXL_SQL_2!$D:$D,'PAGE_1 (2)'!$S$29)=0,"",SUMIFS(CNXL_SQL_2!$F:$F,CNXL_SQL_2!$A:$A,'PAGE_1 (2)'!$R23,CNXL_SQL_2!$D:$D,'PAGE_1 (2)'!$S$29))</f>
        <v/>
      </c>
      <c r="M23" s="42" t="str">
        <f t="shared" si="0"/>
        <v/>
      </c>
      <c r="N23" s="38" t="str">
        <f>ES_MATRIX!K5</f>
        <v/>
      </c>
      <c r="O23" s="14" t="str">
        <f>IFERROR(M23-ES_MATRIX!L5,"")</f>
        <v/>
      </c>
      <c r="P23" s="40" t="str">
        <f>IF(SUMIF(CNXL_SQL_2!$E:$E,'PAGE_1 (2)'!R23,CNXL_SQL_2!$F:$F)=0,"",SUMIF(CNXL_SQL_2!$E:$E,'PAGE_1 (2)'!R23,CNXL_SQL_2!$F:$F))</f>
        <v/>
      </c>
      <c r="Q23" s="57"/>
      <c r="R23" s="56" t="s">
        <v>80</v>
      </c>
      <c r="S23" s="58" t="s">
        <v>81</v>
      </c>
      <c r="T23" s="56"/>
      <c r="U23" s="56"/>
      <c r="V23" s="57"/>
      <c r="W23" s="56"/>
      <c r="X23" s="56"/>
    </row>
    <row r="24" spans="2:24" ht="14.5" x14ac:dyDescent="0.35">
      <c r="B24" s="64" t="s">
        <v>39</v>
      </c>
      <c r="C24" s="78">
        <f>SUMIF(SCH_DEP_SQL_4!$A:$A,'PAGE_1 (2)'!R24,SCH_DEP_SQL_4!$E:$E)</f>
        <v>316</v>
      </c>
      <c r="D24" s="17">
        <f>IF(SUMIFS(CNXL_SQL_2!$F:$F,CNXL_SQL_2!$A:$A,'PAGE_1 (2)'!$R24,CNXL_SQL_2!$D:$D,'PAGE_1 (2)'!$S$21)=0,"",SUMIFS(CNXL_SQL_2!$F:$F,CNXL_SQL_2!$A:$A,'PAGE_1 (2)'!$R24,CNXL_SQL_2!$D:$D,'PAGE_1 (2)'!$S$21))</f>
        <v>4</v>
      </c>
      <c r="E24" s="17" t="str">
        <f>IF(SUMIFS(CNXL_SQL_2!$F:$F,CNXL_SQL_2!$A:$A,'PAGE_1 (2)'!$R24,CNXL_SQL_2!$D:$D,'PAGE_1 (2)'!$S$22)=0,"",SUMIFS(CNXL_SQL_2!$F:$F,CNXL_SQL_2!$A:$A,'PAGE_1 (2)'!$R24,CNXL_SQL_2!$D:$D,'PAGE_1 (2)'!$S$22))</f>
        <v/>
      </c>
      <c r="F24" s="17" t="str">
        <f>IF(SUMIFS(CNXL_SQL_2!$F:$F,CNXL_SQL_2!$A:$A,'PAGE_1 (2)'!$R24,CNXL_SQL_2!$D:$D,'PAGE_1 (2)'!$S$23)=0,"",SUMIFS(CNXL_SQL_2!$F:$F,CNXL_SQL_2!$A:$A,'PAGE_1 (2)'!$R24,CNXL_SQL_2!$D:$D,'PAGE_1 (2)'!$S$23))</f>
        <v/>
      </c>
      <c r="G24" s="17" t="str">
        <f>IF(SUMIFS(CNXL_SQL_2!$F:$F,CNXL_SQL_2!$A:$A,'PAGE_1 (2)'!$R24,CNXL_SQL_2!$D:$D,'PAGE_1 (2)'!$S$24)=0,"",SUMIFS(CNXL_SQL_2!$F:$F,CNXL_SQL_2!$A:$A,'PAGE_1 (2)'!$R24,CNXL_SQL_2!$D:$D,'PAGE_1 (2)'!$S$24))</f>
        <v/>
      </c>
      <c r="H24" s="17" t="str">
        <f>IF(SUMIFS(CNXL_SQL_2!$F:$F,CNXL_SQL_2!$A:$A,'PAGE_1 (2)'!$R24,CNXL_SQL_2!$D:$D,'PAGE_1 (2)'!$S$25)=0,"",SUMIFS(CNXL_SQL_2!$F:$F,CNXL_SQL_2!$A:$A,'PAGE_1 (2)'!$R24,CNXL_SQL_2!$D:$D,'PAGE_1 (2)'!$S$25))</f>
        <v/>
      </c>
      <c r="I24" s="17" t="str">
        <f>IF(SUMIFS(CNXL_SQL_2!$F:$F,CNXL_SQL_2!$A:$A,'PAGE_1 (2)'!$R24,CNXL_SQL_2!$D:$D,'PAGE_1 (2)'!$S$26)=0,"",SUMIFS(CNXL_SQL_2!$F:$F,CNXL_SQL_2!$A:$A,'PAGE_1 (2)'!$R24,CNXL_SQL_2!$D:$D,'PAGE_1 (2)'!$S$26))</f>
        <v/>
      </c>
      <c r="J24" s="17" t="str">
        <f>IF(SUMIFS(CNXL_SQL_2!$F:$F,CNXL_SQL_2!$A:$A,'PAGE_1 (2)'!$R24,CNXL_SQL_2!$D:$D,'PAGE_1 (2)'!$S$27)=0,"",SUMIFS(CNXL_SQL_2!$F:$F,CNXL_SQL_2!$A:$A,'PAGE_1 (2)'!$R24,CNXL_SQL_2!$D:$D,'PAGE_1 (2)'!$S$27))</f>
        <v/>
      </c>
      <c r="K24" s="17" t="str">
        <f>IF(SUMIFS(CNXL_SQL_2!$F:$F,CNXL_SQL_2!$A:$A,'PAGE_1 (2)'!$R24,CNXL_SQL_2!$D:$D,'PAGE_1 (2)'!$S$28)=0,"",SUMIFS(CNXL_SQL_2!$F:$F,CNXL_SQL_2!$A:$A,'PAGE_1 (2)'!$R24,CNXL_SQL_2!$D:$D,'PAGE_1 (2)'!$S$28))</f>
        <v/>
      </c>
      <c r="L24" s="17" t="str">
        <f>IF(SUMIFS(CNXL_SQL_2!$F:$F,CNXL_SQL_2!$A:$A,'PAGE_1 (2)'!$R24,CNXL_SQL_2!$D:$D,'PAGE_1 (2)'!$S$29)=0,"",SUMIFS(CNXL_SQL_2!$F:$F,CNXL_SQL_2!$A:$A,'PAGE_1 (2)'!$R24,CNXL_SQL_2!$D:$D,'PAGE_1 (2)'!$S$29))</f>
        <v/>
      </c>
      <c r="M24" s="18">
        <f t="shared" si="0"/>
        <v>4</v>
      </c>
      <c r="N24" s="18" t="str">
        <f>ES_MATRIX!K6</f>
        <v/>
      </c>
      <c r="O24" s="18">
        <f>IFERROR(M24-ES_MATRIX!L6,"")</f>
        <v>4</v>
      </c>
      <c r="P24" s="16" t="str">
        <f>IF(SUMIF(CNXL_SQL_2!$E:$E,'PAGE_1 (2)'!R24,CNXL_SQL_2!$F:$F)=0,"",SUMIF(CNXL_SQL_2!$E:$E,'PAGE_1 (2)'!R24,CNXL_SQL_2!$F:$F))</f>
        <v/>
      </c>
      <c r="Q24" s="57"/>
      <c r="R24" s="56" t="s">
        <v>82</v>
      </c>
      <c r="S24" s="58" t="s">
        <v>83</v>
      </c>
      <c r="T24" s="56"/>
      <c r="U24" s="56"/>
      <c r="V24" s="57"/>
      <c r="W24" s="56"/>
      <c r="X24" s="56"/>
    </row>
    <row r="25" spans="2:24" ht="14.5" x14ac:dyDescent="0.35">
      <c r="B25" s="63" t="s">
        <v>41</v>
      </c>
      <c r="C25" s="77">
        <f>SUMIF(SCH_DEP_SQL_4!$A:$A,'PAGE_1 (2)'!R25,SCH_DEP_SQL_4!$E:$E)</f>
        <v>237</v>
      </c>
      <c r="D25" s="12" t="str">
        <f>IF(SUMIFS(CNXL_SQL_2!$F:$F,CNXL_SQL_2!$A:$A,'PAGE_1 (2)'!$R25,CNXL_SQL_2!$D:$D,'PAGE_1 (2)'!$S$21)=0,"",SUMIFS(CNXL_SQL_2!$F:$F,CNXL_SQL_2!$A:$A,'PAGE_1 (2)'!$R25,CNXL_SQL_2!$D:$D,'PAGE_1 (2)'!$S$21))</f>
        <v/>
      </c>
      <c r="E25" s="12" t="str">
        <f>IF(SUMIFS(CNXL_SQL_2!$F:$F,CNXL_SQL_2!$A:$A,'PAGE_1 (2)'!$R25,CNXL_SQL_2!$D:$D,'PAGE_1 (2)'!$S$22)=0,"",SUMIFS(CNXL_SQL_2!$F:$F,CNXL_SQL_2!$A:$A,'PAGE_1 (2)'!$R25,CNXL_SQL_2!$D:$D,'PAGE_1 (2)'!$S$22))</f>
        <v/>
      </c>
      <c r="F25" s="12" t="str">
        <f>IF(SUMIFS(CNXL_SQL_2!$F:$F,CNXL_SQL_2!$A:$A,'PAGE_1 (2)'!$R25,CNXL_SQL_2!$D:$D,'PAGE_1 (2)'!$S$23)=0,"",SUMIFS(CNXL_SQL_2!$F:$F,CNXL_SQL_2!$A:$A,'PAGE_1 (2)'!$R25,CNXL_SQL_2!$D:$D,'PAGE_1 (2)'!$S$23))</f>
        <v/>
      </c>
      <c r="G25" s="12" t="str">
        <f>IF(SUMIFS(CNXL_SQL_2!$F:$F,CNXL_SQL_2!$A:$A,'PAGE_1 (2)'!$R25,CNXL_SQL_2!$D:$D,'PAGE_1 (2)'!$S$24)=0,"",SUMIFS(CNXL_SQL_2!$F:$F,CNXL_SQL_2!$A:$A,'PAGE_1 (2)'!$R25,CNXL_SQL_2!$D:$D,'PAGE_1 (2)'!$S$24))</f>
        <v/>
      </c>
      <c r="H25" s="12" t="str">
        <f>IF(SUMIFS(CNXL_SQL_2!$F:$F,CNXL_SQL_2!$A:$A,'PAGE_1 (2)'!$R25,CNXL_SQL_2!$D:$D,'PAGE_1 (2)'!$S$25)=0,"",SUMIFS(CNXL_SQL_2!$F:$F,CNXL_SQL_2!$A:$A,'PAGE_1 (2)'!$R25,CNXL_SQL_2!$D:$D,'PAGE_1 (2)'!$S$25))</f>
        <v/>
      </c>
      <c r="I25" s="12" t="str">
        <f>IF(SUMIFS(CNXL_SQL_2!$F:$F,CNXL_SQL_2!$A:$A,'PAGE_1 (2)'!$R25,CNXL_SQL_2!$D:$D,'PAGE_1 (2)'!$S$26)=0,"",SUMIFS(CNXL_SQL_2!$F:$F,CNXL_SQL_2!$A:$A,'PAGE_1 (2)'!$R25,CNXL_SQL_2!$D:$D,'PAGE_1 (2)'!$S$26))</f>
        <v/>
      </c>
      <c r="J25" s="12" t="str">
        <f>IF(SUMIFS(CNXL_SQL_2!$F:$F,CNXL_SQL_2!$A:$A,'PAGE_1 (2)'!$R25,CNXL_SQL_2!$D:$D,'PAGE_1 (2)'!$S$27)=0,"",SUMIFS(CNXL_SQL_2!$F:$F,CNXL_SQL_2!$A:$A,'PAGE_1 (2)'!$R25,CNXL_SQL_2!$D:$D,'PAGE_1 (2)'!$S$27))</f>
        <v/>
      </c>
      <c r="K25" s="12" t="str">
        <f>IF(SUMIFS(CNXL_SQL_2!$F:$F,CNXL_SQL_2!$A:$A,'PAGE_1 (2)'!$R25,CNXL_SQL_2!$D:$D,'PAGE_1 (2)'!$S$28)=0,"",SUMIFS(CNXL_SQL_2!$F:$F,CNXL_SQL_2!$A:$A,'PAGE_1 (2)'!$R25,CNXL_SQL_2!$D:$D,'PAGE_1 (2)'!$S$28))</f>
        <v/>
      </c>
      <c r="L25" s="12" t="str">
        <f>IF(SUMIFS(CNXL_SQL_2!$F:$F,CNXL_SQL_2!$A:$A,'PAGE_1 (2)'!$R25,CNXL_SQL_2!$D:$D,'PAGE_1 (2)'!$S$29)=0,"",SUMIFS(CNXL_SQL_2!$F:$F,CNXL_SQL_2!$A:$A,'PAGE_1 (2)'!$R25,CNXL_SQL_2!$D:$D,'PAGE_1 (2)'!$S$29))</f>
        <v/>
      </c>
      <c r="M25" s="42" t="str">
        <f t="shared" si="0"/>
        <v/>
      </c>
      <c r="N25" s="38" t="str">
        <f>ES_MATRIX!K7</f>
        <v/>
      </c>
      <c r="O25" s="14" t="str">
        <f>IFERROR(M25-ES_MATRIX!L7,"")</f>
        <v/>
      </c>
      <c r="P25" s="40" t="str">
        <f>IF(SUMIF(CNXL_SQL_2!$E:$E,'PAGE_1 (2)'!R25,CNXL_SQL_2!$F:$F)=0,"",SUMIF(CNXL_SQL_2!$E:$E,'PAGE_1 (2)'!R25,CNXL_SQL_2!$F:$F))</f>
        <v/>
      </c>
      <c r="Q25" s="57"/>
      <c r="R25" s="56" t="s">
        <v>84</v>
      </c>
      <c r="S25" s="58" t="s">
        <v>85</v>
      </c>
      <c r="T25" s="56"/>
      <c r="U25" s="56"/>
      <c r="V25" s="57"/>
      <c r="W25" s="56"/>
      <c r="X25" s="56"/>
    </row>
    <row r="26" spans="2:24" ht="14.5" x14ac:dyDescent="0.35">
      <c r="B26" s="64" t="s">
        <v>43</v>
      </c>
      <c r="C26" s="78">
        <f>SUMIF(SCH_DEP_SQL_4!$A:$A,'PAGE_1 (2)'!R26,SCH_DEP_SQL_4!$E:$E)</f>
        <v>221</v>
      </c>
      <c r="D26" s="17">
        <f>IF(SUMIFS(CNXL_SQL_2!$F:$F,CNXL_SQL_2!$A:$A,'PAGE_1 (2)'!$R26,CNXL_SQL_2!$D:$D,'PAGE_1 (2)'!$S$21)=0,"",SUMIFS(CNXL_SQL_2!$F:$F,CNXL_SQL_2!$A:$A,'PAGE_1 (2)'!$R26,CNXL_SQL_2!$D:$D,'PAGE_1 (2)'!$S$21))</f>
        <v>1</v>
      </c>
      <c r="E26" s="17" t="str">
        <f>IF(SUMIFS(CNXL_SQL_2!$F:$F,CNXL_SQL_2!$A:$A,'PAGE_1 (2)'!$R26,CNXL_SQL_2!$D:$D,'PAGE_1 (2)'!$S$22)=0,"",SUMIFS(CNXL_SQL_2!$F:$F,CNXL_SQL_2!$A:$A,'PAGE_1 (2)'!$R26,CNXL_SQL_2!$D:$D,'PAGE_1 (2)'!$S$22))</f>
        <v/>
      </c>
      <c r="F26" s="17" t="str">
        <f>IF(SUMIFS(CNXL_SQL_2!$F:$F,CNXL_SQL_2!$A:$A,'PAGE_1 (2)'!$R26,CNXL_SQL_2!$D:$D,'PAGE_1 (2)'!$S$23)=0,"",SUMIFS(CNXL_SQL_2!$F:$F,CNXL_SQL_2!$A:$A,'PAGE_1 (2)'!$R26,CNXL_SQL_2!$D:$D,'PAGE_1 (2)'!$S$23))</f>
        <v/>
      </c>
      <c r="G26" s="17" t="str">
        <f>IF(SUMIFS(CNXL_SQL_2!$F:$F,CNXL_SQL_2!$A:$A,'PAGE_1 (2)'!$R26,CNXL_SQL_2!$D:$D,'PAGE_1 (2)'!$S$24)=0,"",SUMIFS(CNXL_SQL_2!$F:$F,CNXL_SQL_2!$A:$A,'PAGE_1 (2)'!$R26,CNXL_SQL_2!$D:$D,'PAGE_1 (2)'!$S$24))</f>
        <v/>
      </c>
      <c r="H26" s="17" t="str">
        <f>IF(SUMIFS(CNXL_SQL_2!$F:$F,CNXL_SQL_2!$A:$A,'PAGE_1 (2)'!$R26,CNXL_SQL_2!$D:$D,'PAGE_1 (2)'!$S$25)=0,"",SUMIFS(CNXL_SQL_2!$F:$F,CNXL_SQL_2!$A:$A,'PAGE_1 (2)'!$R26,CNXL_SQL_2!$D:$D,'PAGE_1 (2)'!$S$25))</f>
        <v/>
      </c>
      <c r="I26" s="17" t="str">
        <f>IF(SUMIFS(CNXL_SQL_2!$F:$F,CNXL_SQL_2!$A:$A,'PAGE_1 (2)'!$R26,CNXL_SQL_2!$D:$D,'PAGE_1 (2)'!$S$26)=0,"",SUMIFS(CNXL_SQL_2!$F:$F,CNXL_SQL_2!$A:$A,'PAGE_1 (2)'!$R26,CNXL_SQL_2!$D:$D,'PAGE_1 (2)'!$S$26))</f>
        <v/>
      </c>
      <c r="J26" s="17" t="str">
        <f>IF(SUMIFS(CNXL_SQL_2!$F:$F,CNXL_SQL_2!$A:$A,'PAGE_1 (2)'!$R26,CNXL_SQL_2!$D:$D,'PAGE_1 (2)'!$S$27)=0,"",SUMIFS(CNXL_SQL_2!$F:$F,CNXL_SQL_2!$A:$A,'PAGE_1 (2)'!$R26,CNXL_SQL_2!$D:$D,'PAGE_1 (2)'!$S$27))</f>
        <v/>
      </c>
      <c r="K26" s="17" t="str">
        <f>IF(SUMIFS(CNXL_SQL_2!$F:$F,CNXL_SQL_2!$A:$A,'PAGE_1 (2)'!$R26,CNXL_SQL_2!$D:$D,'PAGE_1 (2)'!$S$28)=0,"",SUMIFS(CNXL_SQL_2!$F:$F,CNXL_SQL_2!$A:$A,'PAGE_1 (2)'!$R26,CNXL_SQL_2!$D:$D,'PAGE_1 (2)'!$S$28))</f>
        <v/>
      </c>
      <c r="L26" s="17" t="str">
        <f>IF(SUMIFS(CNXL_SQL_2!$F:$F,CNXL_SQL_2!$A:$A,'PAGE_1 (2)'!$R26,CNXL_SQL_2!$D:$D,'PAGE_1 (2)'!$S$29)=0,"",SUMIFS(CNXL_SQL_2!$F:$F,CNXL_SQL_2!$A:$A,'PAGE_1 (2)'!$R26,CNXL_SQL_2!$D:$D,'PAGE_1 (2)'!$S$29))</f>
        <v/>
      </c>
      <c r="M26" s="41">
        <f t="shared" si="0"/>
        <v>1</v>
      </c>
      <c r="N26" s="18" t="str">
        <f>ES_MATRIX!K8</f>
        <v/>
      </c>
      <c r="O26" s="18">
        <f>IFERROR(M26-ES_MATRIX!L8,"")</f>
        <v>1</v>
      </c>
      <c r="P26" s="16" t="str">
        <f>IF(SUMIF(CNXL_SQL_2!$E:$E,'PAGE_1 (2)'!R26,CNXL_SQL_2!$F:$F)=0,"",SUMIF(CNXL_SQL_2!$E:$E,'PAGE_1 (2)'!R26,CNXL_SQL_2!$F:$F))</f>
        <v/>
      </c>
      <c r="Q26" s="57"/>
      <c r="R26" s="56" t="s">
        <v>86</v>
      </c>
      <c r="S26" s="58" t="s">
        <v>87</v>
      </c>
      <c r="T26" s="56"/>
      <c r="U26" s="56"/>
      <c r="V26" s="57"/>
      <c r="W26" s="56"/>
      <c r="X26" s="56"/>
    </row>
    <row r="27" spans="2:24" ht="14.5" x14ac:dyDescent="0.35">
      <c r="B27" s="63" t="s">
        <v>44</v>
      </c>
      <c r="C27" s="77">
        <f>SUMIF(SCH_DEP_SQL_4!$A:$A,'PAGE_1 (2)'!R27,SCH_DEP_SQL_4!$E:$E)</f>
        <v>227</v>
      </c>
      <c r="D27" s="12">
        <f>IF(SUMIFS(CNXL_SQL_2!$F:$F,CNXL_SQL_2!$A:$A,'PAGE_1 (2)'!$R27,CNXL_SQL_2!$D:$D,'PAGE_1 (2)'!$S$21)=0,"",SUMIFS(CNXL_SQL_2!$F:$F,CNXL_SQL_2!$A:$A,'PAGE_1 (2)'!$R27,CNXL_SQL_2!$D:$D,'PAGE_1 (2)'!$S$21))</f>
        <v>3</v>
      </c>
      <c r="E27" s="12" t="str">
        <f>IF(SUMIFS(CNXL_SQL_2!$F:$F,CNXL_SQL_2!$A:$A,'PAGE_1 (2)'!$R27,CNXL_SQL_2!$D:$D,'PAGE_1 (2)'!$S$22)=0,"",SUMIFS(CNXL_SQL_2!$F:$F,CNXL_SQL_2!$A:$A,'PAGE_1 (2)'!$R27,CNXL_SQL_2!$D:$D,'PAGE_1 (2)'!$S$22))</f>
        <v/>
      </c>
      <c r="F27" s="12" t="str">
        <f>IF(SUMIFS(CNXL_SQL_2!$F:$F,CNXL_SQL_2!$A:$A,'PAGE_1 (2)'!$R27,CNXL_SQL_2!$D:$D,'PAGE_1 (2)'!$S$23)=0,"",SUMIFS(CNXL_SQL_2!$F:$F,CNXL_SQL_2!$A:$A,'PAGE_1 (2)'!$R27,CNXL_SQL_2!$D:$D,'PAGE_1 (2)'!$S$23))</f>
        <v/>
      </c>
      <c r="G27" s="12" t="str">
        <f>IF(SUMIFS(CNXL_SQL_2!$F:$F,CNXL_SQL_2!$A:$A,'PAGE_1 (2)'!$R27,CNXL_SQL_2!$D:$D,'PAGE_1 (2)'!$S$24)=0,"",SUMIFS(CNXL_SQL_2!$F:$F,CNXL_SQL_2!$A:$A,'PAGE_1 (2)'!$R27,CNXL_SQL_2!$D:$D,'PAGE_1 (2)'!$S$24))</f>
        <v/>
      </c>
      <c r="H27" s="12" t="str">
        <f>IF(SUMIFS(CNXL_SQL_2!$F:$F,CNXL_SQL_2!$A:$A,'PAGE_1 (2)'!$R27,CNXL_SQL_2!$D:$D,'PAGE_1 (2)'!$S$25)=0,"",SUMIFS(CNXL_SQL_2!$F:$F,CNXL_SQL_2!$A:$A,'PAGE_1 (2)'!$R27,CNXL_SQL_2!$D:$D,'PAGE_1 (2)'!$S$25))</f>
        <v/>
      </c>
      <c r="I27" s="12" t="str">
        <f>IF(SUMIFS(CNXL_SQL_2!$F:$F,CNXL_SQL_2!$A:$A,'PAGE_1 (2)'!$R27,CNXL_SQL_2!$D:$D,'PAGE_1 (2)'!$S$26)=0,"",SUMIFS(CNXL_SQL_2!$F:$F,CNXL_SQL_2!$A:$A,'PAGE_1 (2)'!$R27,CNXL_SQL_2!$D:$D,'PAGE_1 (2)'!$S$26))</f>
        <v/>
      </c>
      <c r="J27" s="12" t="str">
        <f>IF(SUMIFS(CNXL_SQL_2!$F:$F,CNXL_SQL_2!$A:$A,'PAGE_1 (2)'!$R27,CNXL_SQL_2!$D:$D,'PAGE_1 (2)'!$S$27)=0,"",SUMIFS(CNXL_SQL_2!$F:$F,CNXL_SQL_2!$A:$A,'PAGE_1 (2)'!$R27,CNXL_SQL_2!$D:$D,'PAGE_1 (2)'!$S$27))</f>
        <v/>
      </c>
      <c r="K27" s="12" t="str">
        <f>IF(SUMIFS(CNXL_SQL_2!$F:$F,CNXL_SQL_2!$A:$A,'PAGE_1 (2)'!$R27,CNXL_SQL_2!$D:$D,'PAGE_1 (2)'!$S$28)=0,"",SUMIFS(CNXL_SQL_2!$F:$F,CNXL_SQL_2!$A:$A,'PAGE_1 (2)'!$R27,CNXL_SQL_2!$D:$D,'PAGE_1 (2)'!$S$28))</f>
        <v/>
      </c>
      <c r="L27" s="12" t="str">
        <f>IF(SUMIFS(CNXL_SQL_2!$F:$F,CNXL_SQL_2!$A:$A,'PAGE_1 (2)'!$R27,CNXL_SQL_2!$D:$D,'PAGE_1 (2)'!$S$29)=0,"",SUMIFS(CNXL_SQL_2!$F:$F,CNXL_SQL_2!$A:$A,'PAGE_1 (2)'!$R27,CNXL_SQL_2!$D:$D,'PAGE_1 (2)'!$S$29))</f>
        <v/>
      </c>
      <c r="M27" s="38">
        <f t="shared" si="0"/>
        <v>3</v>
      </c>
      <c r="N27" s="38" t="str">
        <f>ES_MATRIX!K9</f>
        <v/>
      </c>
      <c r="O27" s="14">
        <f>IFERROR(M27-ES_MATRIX!L9,"")</f>
        <v>3</v>
      </c>
      <c r="P27" s="40" t="str">
        <f>IF(SUMIF(CNXL_SQL_2!$E:$E,'PAGE_1 (2)'!R27,CNXL_SQL_2!$F:$F)=0,"",SUMIF(CNXL_SQL_2!$E:$E,'PAGE_1 (2)'!R27,CNXL_SQL_2!$F:$F))</f>
        <v/>
      </c>
      <c r="Q27" s="57"/>
      <c r="R27" s="56" t="s">
        <v>88</v>
      </c>
      <c r="S27" s="58" t="s">
        <v>89</v>
      </c>
      <c r="T27" s="56"/>
      <c r="U27" s="56"/>
      <c r="V27" s="57"/>
      <c r="W27" s="56"/>
      <c r="X27" s="56"/>
    </row>
    <row r="28" spans="2:24" ht="15" thickBot="1" x14ac:dyDescent="0.4">
      <c r="B28" s="64" t="s">
        <v>45</v>
      </c>
      <c r="C28" s="78">
        <f>SUMIF(SCH_DEP_SQL_4!$A:$A,'PAGE_1 (2)'!R28,SCH_DEP_SQL_4!$E:$E)</f>
        <v>0</v>
      </c>
      <c r="D28" s="17" t="str">
        <f>IF(SUMIFS(CNXL_SQL_2!$F:$F,CNXL_SQL_2!$A:$A,'PAGE_1 (2)'!$R28,CNXL_SQL_2!$D:$D,'PAGE_1 (2)'!$S$21)=0,"",SUMIFS(CNXL_SQL_2!$F:$F,CNXL_SQL_2!$A:$A,'PAGE_1 (2)'!$R28,CNXL_SQL_2!$D:$D,'PAGE_1 (2)'!$S$21))</f>
        <v/>
      </c>
      <c r="E28" s="17" t="str">
        <f>IF(SUMIFS(CNXL_SQL_2!$F:$F,CNXL_SQL_2!$A:$A,'PAGE_1 (2)'!$R28,CNXL_SQL_2!$D:$D,'PAGE_1 (2)'!$S$22)=0,"",SUMIFS(CNXL_SQL_2!$F:$F,CNXL_SQL_2!$A:$A,'PAGE_1 (2)'!$R28,CNXL_SQL_2!$D:$D,'PAGE_1 (2)'!$S$22))</f>
        <v/>
      </c>
      <c r="F28" s="17" t="str">
        <f>IF(SUMIFS(CNXL_SQL_2!$F:$F,CNXL_SQL_2!$A:$A,'PAGE_1 (2)'!$R28,CNXL_SQL_2!$D:$D,'PAGE_1 (2)'!$S$23)=0,"",SUMIFS(CNXL_SQL_2!$F:$F,CNXL_SQL_2!$A:$A,'PAGE_1 (2)'!$R28,CNXL_SQL_2!$D:$D,'PAGE_1 (2)'!$S$23))</f>
        <v/>
      </c>
      <c r="G28" s="17" t="str">
        <f>IF(SUMIFS(CNXL_SQL_2!$F:$F,CNXL_SQL_2!$A:$A,'PAGE_1 (2)'!$R28,CNXL_SQL_2!$D:$D,'PAGE_1 (2)'!$S$24)=0,"",SUMIFS(CNXL_SQL_2!$F:$F,CNXL_SQL_2!$A:$A,'PAGE_1 (2)'!$R28,CNXL_SQL_2!$D:$D,'PAGE_1 (2)'!$S$24))</f>
        <v/>
      </c>
      <c r="H28" s="17" t="str">
        <f>IF(SUMIFS(CNXL_SQL_2!$F:$F,CNXL_SQL_2!$A:$A,'PAGE_1 (2)'!$R28,CNXL_SQL_2!$D:$D,'PAGE_1 (2)'!$S$25)=0,"",SUMIFS(CNXL_SQL_2!$F:$F,CNXL_SQL_2!$A:$A,'PAGE_1 (2)'!$R28,CNXL_SQL_2!$D:$D,'PAGE_1 (2)'!$S$25))</f>
        <v/>
      </c>
      <c r="I28" s="17" t="str">
        <f>IF(SUMIFS(CNXL_SQL_2!$F:$F,CNXL_SQL_2!$A:$A,'PAGE_1 (2)'!$R28,CNXL_SQL_2!$D:$D,'PAGE_1 (2)'!$S$26)=0,"",SUMIFS(CNXL_SQL_2!$F:$F,CNXL_SQL_2!$A:$A,'PAGE_1 (2)'!$R28,CNXL_SQL_2!$D:$D,'PAGE_1 (2)'!$S$26))</f>
        <v/>
      </c>
      <c r="J28" s="17" t="str">
        <f>IF(SUMIFS(CNXL_SQL_2!$F:$F,CNXL_SQL_2!$A:$A,'PAGE_1 (2)'!$R28,CNXL_SQL_2!$D:$D,'PAGE_1 (2)'!$S$27)=0,"",SUMIFS(CNXL_SQL_2!$F:$F,CNXL_SQL_2!$A:$A,'PAGE_1 (2)'!$R28,CNXL_SQL_2!$D:$D,'PAGE_1 (2)'!$S$27))</f>
        <v/>
      </c>
      <c r="K28" s="17" t="str">
        <f>IF(SUMIFS(CNXL_SQL_2!$F:$F,CNXL_SQL_2!$A:$A,'PAGE_1 (2)'!$R28,CNXL_SQL_2!$D:$D,'PAGE_1 (2)'!$S$28)=0,"",SUMIFS(CNXL_SQL_2!$F:$F,CNXL_SQL_2!$A:$A,'PAGE_1 (2)'!$R28,CNXL_SQL_2!$D:$D,'PAGE_1 (2)'!$S$28))</f>
        <v/>
      </c>
      <c r="L28" s="17" t="str">
        <f>IF(SUMIFS(CNXL_SQL_2!$F:$F,CNXL_SQL_2!$A:$A,'PAGE_1 (2)'!$R28,CNXL_SQL_2!$D:$D,'PAGE_1 (2)'!$S$29)=0,"",SUMIFS(CNXL_SQL_2!$F:$F,CNXL_SQL_2!$A:$A,'PAGE_1 (2)'!$R28,CNXL_SQL_2!$D:$D,'PAGE_1 (2)'!$S$29))</f>
        <v/>
      </c>
      <c r="M28" s="18" t="str">
        <f t="shared" si="0"/>
        <v/>
      </c>
      <c r="N28" s="18" t="str">
        <f>ES_MATRIX!K10</f>
        <v/>
      </c>
      <c r="O28" s="18" t="str">
        <f>IFERROR(M28-ES_MATRIX!L10,"")</f>
        <v/>
      </c>
      <c r="P28" s="16" t="str">
        <f>IF(SUMIF(CNXL_SQL_2!$E:$E,'PAGE_1 (2)'!R28,CNXL_SQL_2!$F:$F)=0,"",SUMIF(CNXL_SQL_2!$E:$E,'PAGE_1 (2)'!R28,CNXL_SQL_2!$F:$F))</f>
        <v/>
      </c>
      <c r="Q28" s="57"/>
      <c r="R28" s="56" t="s">
        <v>90</v>
      </c>
      <c r="S28" s="58" t="s">
        <v>91</v>
      </c>
      <c r="T28" s="56"/>
      <c r="U28" s="56"/>
      <c r="V28" s="57"/>
      <c r="W28" s="56"/>
      <c r="X28" s="56"/>
    </row>
    <row r="29" spans="2:24" ht="15" thickBot="1" x14ac:dyDescent="0.4">
      <c r="B29" s="65" t="s">
        <v>47</v>
      </c>
      <c r="C29" s="79">
        <f>SUM(C21:C28)</f>
        <v>1973</v>
      </c>
      <c r="D29" s="22">
        <f>IF(SUM(D21:D28)=0,"",SUM(D21:D28))</f>
        <v>13</v>
      </c>
      <c r="E29" s="22" t="str">
        <f t="shared" ref="E29:L29" si="1">IF(SUM(E21:E28)=0,"",SUM(E21:E28))</f>
        <v/>
      </c>
      <c r="F29" s="22" t="str">
        <f>IF(SUM(F21:F28)=0,"",SUM(F21:F28))</f>
        <v/>
      </c>
      <c r="G29" s="22" t="str">
        <f t="shared" si="1"/>
        <v/>
      </c>
      <c r="H29" s="22" t="str">
        <f t="shared" si="1"/>
        <v/>
      </c>
      <c r="I29" s="22" t="str">
        <f t="shared" si="1"/>
        <v/>
      </c>
      <c r="J29" s="22" t="str">
        <f t="shared" si="1"/>
        <v/>
      </c>
      <c r="K29" s="22" t="str">
        <f t="shared" si="1"/>
        <v/>
      </c>
      <c r="L29" s="22" t="str">
        <f t="shared" si="1"/>
        <v/>
      </c>
      <c r="M29" s="23">
        <f>SUM(M21:M28)</f>
        <v>13</v>
      </c>
      <c r="N29" s="23"/>
      <c r="O29" s="23">
        <f>SUM(O21:O28)</f>
        <v>13</v>
      </c>
      <c r="P29" s="23">
        <f>SUM(P21:P28)</f>
        <v>0</v>
      </c>
      <c r="Q29" s="57"/>
      <c r="R29" s="56"/>
      <c r="S29" s="58" t="s">
        <v>92</v>
      </c>
      <c r="T29" s="56"/>
      <c r="U29" s="56"/>
      <c r="V29" s="57"/>
      <c r="W29" s="56"/>
      <c r="X29" s="56"/>
    </row>
    <row r="30" spans="2:24" ht="9.4" customHeight="1" x14ac:dyDescent="0.35">
      <c r="B30" s="8"/>
      <c r="C30" s="9"/>
      <c r="D30"/>
      <c r="E30"/>
      <c r="F30"/>
      <c r="G30"/>
      <c r="H30" s="9"/>
      <c r="I30" s="9"/>
      <c r="J30" s="9"/>
      <c r="K30" s="9"/>
      <c r="L30" s="9"/>
      <c r="M30" s="9"/>
      <c r="N30" s="9"/>
      <c r="O30" s="9"/>
      <c r="P30" s="9"/>
      <c r="Q30" s="57"/>
      <c r="R30" s="56"/>
      <c r="S30" s="56"/>
      <c r="T30" s="56"/>
      <c r="U30" s="56"/>
      <c r="V30" s="57"/>
      <c r="W30" s="56"/>
      <c r="X30" s="56"/>
    </row>
    <row r="31" spans="2:24" ht="9.4" customHeight="1" x14ac:dyDescent="0.35">
      <c r="B31" s="8"/>
      <c r="C31" s="9"/>
      <c r="D31"/>
      <c r="E31"/>
      <c r="F31"/>
      <c r="G31"/>
      <c r="H31" s="9"/>
      <c r="I31" s="9"/>
      <c r="J31" s="9"/>
      <c r="K31" s="9"/>
      <c r="L31" s="9"/>
      <c r="M31" s="9"/>
      <c r="N31" s="9"/>
      <c r="O31" s="9"/>
      <c r="P31" s="9"/>
      <c r="Q31" s="57"/>
      <c r="R31" s="56"/>
      <c r="S31" s="56"/>
      <c r="T31" s="56"/>
      <c r="U31" s="56"/>
      <c r="V31" s="57"/>
      <c r="W31" s="56"/>
      <c r="X31" s="56"/>
    </row>
    <row r="32" spans="2:24" ht="9.4" customHeight="1" thickBot="1" x14ac:dyDescent="0.35">
      <c r="Q32" s="57"/>
      <c r="R32" s="56"/>
      <c r="S32" s="56"/>
      <c r="T32" s="56"/>
      <c r="U32" s="56"/>
      <c r="V32" s="57"/>
      <c r="W32" s="56"/>
      <c r="X32" s="56"/>
    </row>
    <row r="33" spans="2:24" ht="16" thickBot="1" x14ac:dyDescent="0.35">
      <c r="B33" s="287" t="s">
        <v>48</v>
      </c>
      <c r="C33" s="288"/>
      <c r="D33" s="288"/>
      <c r="E33" s="288"/>
      <c r="F33" s="288"/>
      <c r="G33" s="288"/>
      <c r="H33" s="288"/>
      <c r="I33" s="288"/>
      <c r="J33" s="288"/>
      <c r="K33" s="288"/>
      <c r="L33" s="288"/>
      <c r="M33" s="288"/>
      <c r="N33" s="288"/>
      <c r="O33" s="288"/>
      <c r="P33" s="288"/>
      <c r="Q33" s="57"/>
      <c r="R33" s="56"/>
      <c r="S33" s="56"/>
      <c r="T33" s="56"/>
      <c r="U33" s="56"/>
      <c r="V33" s="57"/>
      <c r="W33" s="56"/>
      <c r="X33" s="56"/>
    </row>
    <row r="34" spans="2:24" ht="30.65" customHeight="1" thickBot="1" x14ac:dyDescent="0.35">
      <c r="B34" s="67" t="s">
        <v>15</v>
      </c>
      <c r="C34" s="68" t="s">
        <v>67</v>
      </c>
      <c r="D34" s="69" t="s">
        <v>68</v>
      </c>
      <c r="E34" s="69" t="s">
        <v>69</v>
      </c>
      <c r="F34" s="69" t="s">
        <v>70</v>
      </c>
      <c r="G34" s="69" t="s">
        <v>71</v>
      </c>
      <c r="H34" s="69" t="s">
        <v>72</v>
      </c>
      <c r="I34" s="69" t="s">
        <v>73</v>
      </c>
      <c r="J34" s="69" t="s">
        <v>23</v>
      </c>
      <c r="K34" s="69" t="s">
        <v>24</v>
      </c>
      <c r="L34" s="69" t="s">
        <v>74</v>
      </c>
      <c r="M34" s="70" t="s">
        <v>25</v>
      </c>
      <c r="N34" s="71" t="s">
        <v>26</v>
      </c>
      <c r="O34" s="71" t="s">
        <v>75</v>
      </c>
      <c r="P34" s="71" t="s">
        <v>28</v>
      </c>
      <c r="Q34" s="57"/>
      <c r="R34" s="57"/>
      <c r="S34" s="57"/>
      <c r="T34" s="57"/>
      <c r="U34" s="57"/>
      <c r="V34" s="57"/>
      <c r="W34" s="56"/>
      <c r="X34" s="56"/>
    </row>
    <row r="35" spans="2:24" ht="13" x14ac:dyDescent="0.3">
      <c r="B35" s="63" t="s">
        <v>33</v>
      </c>
      <c r="C35" s="77">
        <f>SUMIF(SCH_DEP_SQL_4!$A:$A,'PAGE_1 (2)'!R21,SCH_DEP_SQL_4!$E:$E)</f>
        <v>0</v>
      </c>
      <c r="D35" s="12" t="str">
        <f>IF(SUMIFS(RES_CNXL_SQL_3!$F:$F,RES_CNXL_SQL_3!$A:$A,'PAGE_1 (2)'!$R21,RES_CNXL_SQL_3!$D:$D,'PAGE_1 (2)'!$S$21)=0,"",SUMIFS(RES_CNXL_SQL_3!$F:$F,RES_CNXL_SQL_3!$A:$A,'PAGE_1 (2)'!$R21,RES_CNXL_SQL_3!$D:$D,'PAGE_1 (2)'!$S$21))</f>
        <v/>
      </c>
      <c r="E35" s="12" t="str">
        <f>IF(SUMIFS(RES_CNXL_SQL_3!$F:$F,RES_CNXL_SQL_3!$A:$A,'PAGE_1 (2)'!$R21,RES_CNXL_SQL_3!$D:$D,'PAGE_1 (2)'!$S$22)=0,"",SUMIFS(RES_CNXL_SQL_3!$F:$F,RES_CNXL_SQL_3!$A:$A,'PAGE_1 (2)'!$R21,RES_CNXL_SQL_3!$D:$D,'PAGE_1 (2)'!$S$22))</f>
        <v/>
      </c>
      <c r="F35" s="12" t="str">
        <f>IF(SUMIFS(RES_CNXL_SQL_3!$F:$F,RES_CNXL_SQL_3!$A:$A,'PAGE_1 (2)'!$R21,RES_CNXL_SQL_3!$D:$D,'PAGE_1 (2)'!$S$23)=0,"",SUMIFS(RES_CNXL_SQL_3!$F:$F,RES_CNXL_SQL_3!$A:$A,'PAGE_1 (2)'!$R21,RES_CNXL_SQL_3!$D:$D,'PAGE_1 (2)'!$S$23))</f>
        <v/>
      </c>
      <c r="G35" s="12" t="str">
        <f>IF(SUMIFS(RES_CNXL_SQL_3!$F:$F,RES_CNXL_SQL_3!$A:$A,'PAGE_1 (2)'!$R21,RES_CNXL_SQL_3!$D:$D,'PAGE_1 (2)'!$S$24)=0,"",SUMIFS(RES_CNXL_SQL_3!$F:$F,RES_CNXL_SQL_3!$A:$A,'PAGE_1 (2)'!$R21,RES_CNXL_SQL_3!$D:$D,'PAGE_1 (2)'!$S$24))</f>
        <v/>
      </c>
      <c r="H35" s="12" t="str">
        <f>IF(SUMIFS(RES_CNXL_SQL_3!$F:$F,RES_CNXL_SQL_3!$A:$A,'PAGE_1 (2)'!$R21,RES_CNXL_SQL_3!$D:$D,'PAGE_1 (2)'!$S$25)=0,"",SUMIFS(RES_CNXL_SQL_3!$F:$F,RES_CNXL_SQL_3!$A:$A,'PAGE_1 (2)'!$R21,RES_CNXL_SQL_3!$D:$D,'PAGE_1 (2)'!$S$25))</f>
        <v/>
      </c>
      <c r="I35" s="12" t="str">
        <f>IF(SUMIFS(RES_CNXL_SQL_3!$F:$F,RES_CNXL_SQL_3!$A:$A,'PAGE_1 (2)'!$R21,RES_CNXL_SQL_3!$D:$D,'PAGE_1 (2)'!$S$26)=0,"",SUMIFS(RES_CNXL_SQL_3!$F:$F,RES_CNXL_SQL_3!$A:$A,'PAGE_1 (2)'!$R21,RES_CNXL_SQL_3!$D:$D,'PAGE_1 (2)'!$S$26))</f>
        <v/>
      </c>
      <c r="J35" s="12" t="str">
        <f>IF(SUMIFS(RES_CNXL_SQL_3!$F:$F,RES_CNXL_SQL_3!$A:$A,'PAGE_1 (2)'!$R21,RES_CNXL_SQL_3!$D:$D,'PAGE_1 (2)'!$S$27)=0,"",SUMIFS(RES_CNXL_SQL_3!$F:$F,RES_CNXL_SQL_3!$A:$A,'PAGE_1 (2)'!$R21,RES_CNXL_SQL_3!$D:$D,'PAGE_1 (2)'!$S$27))</f>
        <v/>
      </c>
      <c r="K35" s="12" t="str">
        <f>IF(SUMIFS(RES_CNXL_SQL_3!$F:$F,RES_CNXL_SQL_3!$A:$A,'PAGE_1 (2)'!$R21,RES_CNXL_SQL_3!$D:$D,'PAGE_1 (2)'!$S$28)=0,"",SUMIFS(RES_CNXL_SQL_3!$F:$F,RES_CNXL_SQL_3!$A:$A,'PAGE_1 (2)'!$R21,RES_CNXL_SQL_3!$D:$D,'PAGE_1 (2)'!$S$28))</f>
        <v/>
      </c>
      <c r="L35" s="12" t="str">
        <f>IF(SUMIFS(RES_CNXL_SQL_3!$F:$F,RES_CNXL_SQL_3!$A:$A,'PAGE_1 (2)'!$R21,RES_CNXL_SQL_3!$D:$D,'PAGE_1 (2)'!$S$29)=0,"",SUMIFS(RES_CNXL_SQL_3!$F:$F,RES_CNXL_SQL_3!$A:$A,'PAGE_1 (2)'!$R21,RES_CNXL_SQL_3!$D:$D,'PAGE_1 (2)'!$S$29))</f>
        <v/>
      </c>
      <c r="M35" s="37" t="str">
        <f>IF(SUM(D35:L35)=0,"",SUM(D35:L35))</f>
        <v/>
      </c>
      <c r="N35" s="37" t="str">
        <f>ES_MATRIX!K14</f>
        <v/>
      </c>
      <c r="O35" s="14" t="str">
        <f>IFERROR(M35-ES_MATRIX!L14,"")</f>
        <v/>
      </c>
      <c r="P35" s="40" t="str">
        <f>IF(SUMIF(RES_CNXL_SQL_3!$E:$E,'PAGE_1 (2)'!R21,RES_CNXL_SQL_3!$F:$F)=0,"",SUMIF(RES_CNXL_SQL_3!$E:$E,'PAGE_1 (2)'!R21,RES_CNXL_SQL_3!$F:$F))</f>
        <v/>
      </c>
      <c r="Q35" s="56"/>
      <c r="R35" s="56"/>
      <c r="S35" s="56"/>
      <c r="T35" s="56"/>
      <c r="U35" s="56"/>
      <c r="V35" s="56"/>
      <c r="W35" s="56"/>
      <c r="X35" s="56"/>
    </row>
    <row r="36" spans="2:24" ht="13" x14ac:dyDescent="0.3">
      <c r="B36" s="64" t="s">
        <v>35</v>
      </c>
      <c r="C36" s="78">
        <f>SUMIF(SCH_DEP_SQL_4!$A:$A,'PAGE_1 (2)'!R22,SCH_DEP_SQL_4!$E:$E)</f>
        <v>972</v>
      </c>
      <c r="D36" s="17" t="str">
        <f>IF(SUMIFS(RES_CNXL_SQL_3!$F:$F,RES_CNXL_SQL_3!$A:$A,'PAGE_1 (2)'!$R22,RES_CNXL_SQL_3!$D:$D,'PAGE_1 (2)'!$S$21)=0,"",SUMIFS(RES_CNXL_SQL_3!$F:$F,RES_CNXL_SQL_3!$A:$A,'PAGE_1 (2)'!$R22,RES_CNXL_SQL_3!$D:$D,'PAGE_1 (2)'!$S$21))</f>
        <v/>
      </c>
      <c r="E36" s="17" t="str">
        <f>IF(SUMIFS(RES_CNXL_SQL_3!$F:$F,RES_CNXL_SQL_3!$A:$A,'PAGE_1 (2)'!$R22,RES_CNXL_SQL_3!$D:$D,'PAGE_1 (2)'!$S$22)=0,"",SUMIFS(RES_CNXL_SQL_3!$F:$F,RES_CNXL_SQL_3!$A:$A,'PAGE_1 (2)'!$R22,RES_CNXL_SQL_3!$D:$D,'PAGE_1 (2)'!$S$22))</f>
        <v/>
      </c>
      <c r="F36" s="17" t="str">
        <f>IF(SUMIFS(RES_CNXL_SQL_3!$F:$F,RES_CNXL_SQL_3!$A:$A,'PAGE_1 (2)'!$R22,RES_CNXL_SQL_3!$D:$D,'PAGE_1 (2)'!$S$23)=0,"",SUMIFS(RES_CNXL_SQL_3!$F:$F,RES_CNXL_SQL_3!$A:$A,'PAGE_1 (2)'!$R22,RES_CNXL_SQL_3!$D:$D,'PAGE_1 (2)'!$S$23))</f>
        <v/>
      </c>
      <c r="G36" s="17" t="str">
        <f>IF(SUMIFS(RES_CNXL_SQL_3!$F:$F,RES_CNXL_SQL_3!$A:$A,'PAGE_1 (2)'!$R22,RES_CNXL_SQL_3!$D:$D,'PAGE_1 (2)'!$S$24)=0,"",SUMIFS(RES_CNXL_SQL_3!$F:$F,RES_CNXL_SQL_3!$A:$A,'PAGE_1 (2)'!$R22,RES_CNXL_SQL_3!$D:$D,'PAGE_1 (2)'!$S$24))</f>
        <v/>
      </c>
      <c r="H36" s="17" t="str">
        <f>IF(SUMIFS(RES_CNXL_SQL_3!$F:$F,RES_CNXL_SQL_3!$A:$A,'PAGE_1 (2)'!$R22,RES_CNXL_SQL_3!$D:$D,'PAGE_1 (2)'!$S$25)=0,"",SUMIFS(RES_CNXL_SQL_3!$F:$F,RES_CNXL_SQL_3!$A:$A,'PAGE_1 (2)'!$R22,RES_CNXL_SQL_3!$D:$D,'PAGE_1 (2)'!$S$25))</f>
        <v/>
      </c>
      <c r="I36" s="17" t="str">
        <f>IF(SUMIFS(RES_CNXL_SQL_3!$F:$F,RES_CNXL_SQL_3!$A:$A,'PAGE_1 (2)'!$R22,RES_CNXL_SQL_3!$D:$D,'PAGE_1 (2)'!$S$26)=0,"",SUMIFS(RES_CNXL_SQL_3!$F:$F,RES_CNXL_SQL_3!$A:$A,'PAGE_1 (2)'!$R22,RES_CNXL_SQL_3!$D:$D,'PAGE_1 (2)'!$S$26))</f>
        <v/>
      </c>
      <c r="J36" s="17" t="str">
        <f>IF(SUMIFS(RES_CNXL_SQL_3!$F:$F,RES_CNXL_SQL_3!$A:$A,'PAGE_1 (2)'!$R22,RES_CNXL_SQL_3!$D:$D,'PAGE_1 (2)'!$S$27)=0,"",SUMIFS(RES_CNXL_SQL_3!$F:$F,RES_CNXL_SQL_3!$A:$A,'PAGE_1 (2)'!$R22,RES_CNXL_SQL_3!$D:$D,'PAGE_1 (2)'!$S$27))</f>
        <v/>
      </c>
      <c r="K36" s="17" t="str">
        <f>IF(SUMIFS(RES_CNXL_SQL_3!$F:$F,RES_CNXL_SQL_3!$A:$A,'PAGE_1 (2)'!$R22,RES_CNXL_SQL_3!$D:$D,'PAGE_1 (2)'!$S$28)=0,"",SUMIFS(RES_CNXL_SQL_3!$F:$F,RES_CNXL_SQL_3!$A:$A,'PAGE_1 (2)'!$R22,RES_CNXL_SQL_3!$D:$D,'PAGE_1 (2)'!$S$28))</f>
        <v/>
      </c>
      <c r="L36" s="17" t="str">
        <f>IF(SUMIFS(RES_CNXL_SQL_3!$F:$F,RES_CNXL_SQL_3!$A:$A,'PAGE_1 (2)'!$R22,RES_CNXL_SQL_3!$D:$D,'PAGE_1 (2)'!$S$29)=0,"",SUMIFS(RES_CNXL_SQL_3!$F:$F,RES_CNXL_SQL_3!$A:$A,'PAGE_1 (2)'!$R22,RES_CNXL_SQL_3!$D:$D,'PAGE_1 (2)'!$S$29))</f>
        <v/>
      </c>
      <c r="M36" s="18" t="str">
        <f t="shared" ref="M36:M42" si="2">IF(SUM(D36:L36)=0,"",SUM(D36:L36))</f>
        <v/>
      </c>
      <c r="N36" s="18" t="str">
        <f>ES_MATRIX!K15</f>
        <v/>
      </c>
      <c r="O36" s="18" t="str">
        <f>IFERROR(M36-ES_MATRIX!L15,"")</f>
        <v/>
      </c>
      <c r="P36" s="16" t="str">
        <f>IF(SUMIF(RES_CNXL_SQL_3!$E:$E,'PAGE_1 (2)'!R22,RES_CNXL_SQL_3!$F:$F)=0,"",SUMIF(RES_CNXL_SQL_3!$E:$E,'PAGE_1 (2)'!R22,RES_CNXL_SQL_3!$F:$F))</f>
        <v/>
      </c>
    </row>
    <row r="37" spans="2:24" ht="13" x14ac:dyDescent="0.3">
      <c r="B37" s="63" t="s">
        <v>37</v>
      </c>
      <c r="C37" s="77">
        <f>SUMIF(SCH_DEP_SQL_4!$A:$A,'PAGE_1 (2)'!R23,SCH_DEP_SQL_4!$E:$E)</f>
        <v>0</v>
      </c>
      <c r="D37" s="12" t="str">
        <f>IF(SUMIFS(RES_CNXL_SQL_3!$F:$F,RES_CNXL_SQL_3!$A:$A,'PAGE_1 (2)'!$R23,RES_CNXL_SQL_3!$D:$D,'PAGE_1 (2)'!$S$21)=0,"",SUMIFS(RES_CNXL_SQL_3!$F:$F,RES_CNXL_SQL_3!$A:$A,'PAGE_1 (2)'!$R23,RES_CNXL_SQL_3!$D:$D,'PAGE_1 (2)'!$S$21))</f>
        <v/>
      </c>
      <c r="E37" s="12" t="str">
        <f>IF(SUMIFS(RES_CNXL_SQL_3!$F:$F,RES_CNXL_SQL_3!$A:$A,'PAGE_1 (2)'!$R23,RES_CNXL_SQL_3!$D:$D,'PAGE_1 (2)'!$S$22)=0,"",SUMIFS(RES_CNXL_SQL_3!$F:$F,RES_CNXL_SQL_3!$A:$A,'PAGE_1 (2)'!$R23,RES_CNXL_SQL_3!$D:$D,'PAGE_1 (2)'!$S$22))</f>
        <v/>
      </c>
      <c r="F37" s="12" t="str">
        <f>IF(SUMIFS(RES_CNXL_SQL_3!$F:$F,RES_CNXL_SQL_3!$A:$A,'PAGE_1 (2)'!$R23,RES_CNXL_SQL_3!$D:$D,'PAGE_1 (2)'!$S$23)=0,"",SUMIFS(RES_CNXL_SQL_3!$F:$F,RES_CNXL_SQL_3!$A:$A,'PAGE_1 (2)'!$R23,RES_CNXL_SQL_3!$D:$D,'PAGE_1 (2)'!$S$23))</f>
        <v/>
      </c>
      <c r="G37" s="12" t="str">
        <f>IF(SUMIFS(RES_CNXL_SQL_3!$F:$F,RES_CNXL_SQL_3!$A:$A,'PAGE_1 (2)'!$R23,RES_CNXL_SQL_3!$D:$D,'PAGE_1 (2)'!$S$24)=0,"",SUMIFS(RES_CNXL_SQL_3!$F:$F,RES_CNXL_SQL_3!$A:$A,'PAGE_1 (2)'!$R23,RES_CNXL_SQL_3!$D:$D,'PAGE_1 (2)'!$S$24))</f>
        <v/>
      </c>
      <c r="H37" s="12" t="str">
        <f>IF(SUMIFS(RES_CNXL_SQL_3!$F:$F,RES_CNXL_SQL_3!$A:$A,'PAGE_1 (2)'!$R23,RES_CNXL_SQL_3!$D:$D,'PAGE_1 (2)'!$S$25)=0,"",SUMIFS(RES_CNXL_SQL_3!$F:$F,RES_CNXL_SQL_3!$A:$A,'PAGE_1 (2)'!$R23,RES_CNXL_SQL_3!$D:$D,'PAGE_1 (2)'!$S$25))</f>
        <v/>
      </c>
      <c r="I37" s="12" t="str">
        <f>IF(SUMIFS(RES_CNXL_SQL_3!$F:$F,RES_CNXL_SQL_3!$A:$A,'PAGE_1 (2)'!$R23,RES_CNXL_SQL_3!$D:$D,'PAGE_1 (2)'!$S$26)=0,"",SUMIFS(RES_CNXL_SQL_3!$F:$F,RES_CNXL_SQL_3!$A:$A,'PAGE_1 (2)'!$R23,RES_CNXL_SQL_3!$D:$D,'PAGE_1 (2)'!$S$26))</f>
        <v/>
      </c>
      <c r="J37" s="12" t="str">
        <f>IF(SUMIFS(RES_CNXL_SQL_3!$F:$F,RES_CNXL_SQL_3!$A:$A,'PAGE_1 (2)'!$R23,RES_CNXL_SQL_3!$D:$D,'PAGE_1 (2)'!$S$27)=0,"",SUMIFS(RES_CNXL_SQL_3!$F:$F,RES_CNXL_SQL_3!$A:$A,'PAGE_1 (2)'!$R23,RES_CNXL_SQL_3!$D:$D,'PAGE_1 (2)'!$S$27))</f>
        <v/>
      </c>
      <c r="K37" s="12" t="str">
        <f>IF(SUMIFS(RES_CNXL_SQL_3!$F:$F,RES_CNXL_SQL_3!$A:$A,'PAGE_1 (2)'!$R23,RES_CNXL_SQL_3!$D:$D,'PAGE_1 (2)'!$S$28)=0,"",SUMIFS(RES_CNXL_SQL_3!$F:$F,RES_CNXL_SQL_3!$A:$A,'PAGE_1 (2)'!$R23,RES_CNXL_SQL_3!$D:$D,'PAGE_1 (2)'!$S$28))</f>
        <v/>
      </c>
      <c r="L37" s="12" t="str">
        <f>IF(SUMIFS(RES_CNXL_SQL_3!$F:$F,RES_CNXL_SQL_3!$A:$A,'PAGE_1 (2)'!$R23,RES_CNXL_SQL_3!$D:$D,'PAGE_1 (2)'!$S$29)=0,"",SUMIFS(RES_CNXL_SQL_3!$F:$F,RES_CNXL_SQL_3!$A:$A,'PAGE_1 (2)'!$R23,RES_CNXL_SQL_3!$D:$D,'PAGE_1 (2)'!$S$29))</f>
        <v/>
      </c>
      <c r="M37" s="42" t="str">
        <f t="shared" si="2"/>
        <v/>
      </c>
      <c r="N37" s="38" t="str">
        <f>ES_MATRIX!K16</f>
        <v/>
      </c>
      <c r="O37" s="14" t="str">
        <f>IFERROR(M37-ES_MATRIX!L16,"")</f>
        <v/>
      </c>
      <c r="P37" s="40" t="str">
        <f>IF(SUMIF(RES_CNXL_SQL_3!$E:$E,'PAGE_1 (2)'!R23,RES_CNXL_SQL_3!$F:$F)=0,"",SUMIF(RES_CNXL_SQL_3!$E:$E,'PAGE_1 (2)'!R23,RES_CNXL_SQL_3!$F:$F))</f>
        <v/>
      </c>
    </row>
    <row r="38" spans="2:24" ht="13" x14ac:dyDescent="0.3">
      <c r="B38" s="64" t="s">
        <v>39</v>
      </c>
      <c r="C38" s="78">
        <f>SUMIF(SCH_DEP_SQL_4!$A:$A,'PAGE_1 (2)'!R24,SCH_DEP_SQL_4!$E:$E)</f>
        <v>316</v>
      </c>
      <c r="D38" s="17" t="str">
        <f>IF(SUMIFS(RES_CNXL_SQL_3!$F:$F,RES_CNXL_SQL_3!$A:$A,'PAGE_1 (2)'!$R24,RES_CNXL_SQL_3!$D:$D,'PAGE_1 (2)'!$S$21)=0,"",SUMIFS(RES_CNXL_SQL_3!$F:$F,RES_CNXL_SQL_3!$A:$A,'PAGE_1 (2)'!$R24,RES_CNXL_SQL_3!$D:$D,'PAGE_1 (2)'!$S$21))</f>
        <v/>
      </c>
      <c r="E38" s="17" t="str">
        <f>IF(SUMIFS(RES_CNXL_SQL_3!$F:$F,RES_CNXL_SQL_3!$A:$A,'PAGE_1 (2)'!$R24,RES_CNXL_SQL_3!$D:$D,'PAGE_1 (2)'!$S$22)=0,"",SUMIFS(RES_CNXL_SQL_3!$F:$F,RES_CNXL_SQL_3!$A:$A,'PAGE_1 (2)'!$R24,RES_CNXL_SQL_3!$D:$D,'PAGE_1 (2)'!$S$22))</f>
        <v/>
      </c>
      <c r="F38" s="17" t="str">
        <f>IF(SUMIFS(RES_CNXL_SQL_3!$F:$F,RES_CNXL_SQL_3!$A:$A,'PAGE_1 (2)'!$R24,RES_CNXL_SQL_3!$D:$D,'PAGE_1 (2)'!$S$23)=0,"",SUMIFS(RES_CNXL_SQL_3!$F:$F,RES_CNXL_SQL_3!$A:$A,'PAGE_1 (2)'!$R24,RES_CNXL_SQL_3!$D:$D,'PAGE_1 (2)'!$S$23))</f>
        <v/>
      </c>
      <c r="G38" s="17" t="str">
        <f>IF(SUMIFS(RES_CNXL_SQL_3!$F:$F,RES_CNXL_SQL_3!$A:$A,'PAGE_1 (2)'!$R24,RES_CNXL_SQL_3!$D:$D,'PAGE_1 (2)'!$S$24)=0,"",SUMIFS(RES_CNXL_SQL_3!$F:$F,RES_CNXL_SQL_3!$A:$A,'PAGE_1 (2)'!$R24,RES_CNXL_SQL_3!$D:$D,'PAGE_1 (2)'!$S$24))</f>
        <v/>
      </c>
      <c r="H38" s="17" t="str">
        <f>IF(SUMIFS(RES_CNXL_SQL_3!$F:$F,RES_CNXL_SQL_3!$A:$A,'PAGE_1 (2)'!$R24,RES_CNXL_SQL_3!$D:$D,'PAGE_1 (2)'!$S$25)=0,"",SUMIFS(RES_CNXL_SQL_3!$F:$F,RES_CNXL_SQL_3!$A:$A,'PAGE_1 (2)'!$R24,RES_CNXL_SQL_3!$D:$D,'PAGE_1 (2)'!$S$25))</f>
        <v/>
      </c>
      <c r="I38" s="17" t="str">
        <f>IF(SUMIFS(RES_CNXL_SQL_3!$F:$F,RES_CNXL_SQL_3!$A:$A,'PAGE_1 (2)'!$R24,RES_CNXL_SQL_3!$D:$D,'PAGE_1 (2)'!$S$26)=0,"",SUMIFS(RES_CNXL_SQL_3!$F:$F,RES_CNXL_SQL_3!$A:$A,'PAGE_1 (2)'!$R24,RES_CNXL_SQL_3!$D:$D,'PAGE_1 (2)'!$S$26))</f>
        <v/>
      </c>
      <c r="J38" s="17" t="str">
        <f>IF(SUMIFS(RES_CNXL_SQL_3!$F:$F,RES_CNXL_SQL_3!$A:$A,'PAGE_1 (2)'!$R24,RES_CNXL_SQL_3!$D:$D,'PAGE_1 (2)'!$S$27)=0,"",SUMIFS(RES_CNXL_SQL_3!$F:$F,RES_CNXL_SQL_3!$A:$A,'PAGE_1 (2)'!$R24,RES_CNXL_SQL_3!$D:$D,'PAGE_1 (2)'!$S$27))</f>
        <v/>
      </c>
      <c r="K38" s="17" t="str">
        <f>IF(SUMIFS(RES_CNXL_SQL_3!$F:$F,RES_CNXL_SQL_3!$A:$A,'PAGE_1 (2)'!$R24,RES_CNXL_SQL_3!$D:$D,'PAGE_1 (2)'!$S$28)=0,"",SUMIFS(RES_CNXL_SQL_3!$F:$F,RES_CNXL_SQL_3!$A:$A,'PAGE_1 (2)'!$R24,RES_CNXL_SQL_3!$D:$D,'PAGE_1 (2)'!$S$28))</f>
        <v/>
      </c>
      <c r="L38" s="17" t="str">
        <f>IF(SUMIFS(RES_CNXL_SQL_3!$F:$F,RES_CNXL_SQL_3!$A:$A,'PAGE_1 (2)'!$R24,RES_CNXL_SQL_3!$D:$D,'PAGE_1 (2)'!$S$29)=0,"",SUMIFS(RES_CNXL_SQL_3!$F:$F,RES_CNXL_SQL_3!$A:$A,'PAGE_1 (2)'!$R24,RES_CNXL_SQL_3!$D:$D,'PAGE_1 (2)'!$S$29))</f>
        <v/>
      </c>
      <c r="M38" s="18" t="str">
        <f t="shared" si="2"/>
        <v/>
      </c>
      <c r="N38" s="18" t="str">
        <f>ES_MATRIX!K17</f>
        <v/>
      </c>
      <c r="O38" s="18" t="str">
        <f>IFERROR(M38-ES_MATRIX!L17,"")</f>
        <v/>
      </c>
      <c r="P38" s="16" t="str">
        <f>IF(SUMIF(RES_CNXL_SQL_3!$E:$E,'PAGE_1 (2)'!R24,RES_CNXL_SQL_3!$F:$F)=0,"",SUMIF(RES_CNXL_SQL_3!$E:$E,'PAGE_1 (2)'!R24,RES_CNXL_SQL_3!$F:$F))</f>
        <v/>
      </c>
    </row>
    <row r="39" spans="2:24" ht="13" x14ac:dyDescent="0.3">
      <c r="B39" s="63" t="s">
        <v>41</v>
      </c>
      <c r="C39" s="77">
        <f>SUMIF(SCH_DEP_SQL_4!$A:$A,'PAGE_1 (2)'!R25,SCH_DEP_SQL_4!$E:$E)</f>
        <v>237</v>
      </c>
      <c r="D39" s="12" t="str">
        <f>IF(SUMIFS(RES_CNXL_SQL_3!$F:$F,RES_CNXL_SQL_3!$A:$A,'PAGE_1 (2)'!$R25,RES_CNXL_SQL_3!$D:$D,'PAGE_1 (2)'!$S$21)=0,"",SUMIFS(RES_CNXL_SQL_3!$F:$F,RES_CNXL_SQL_3!$A:$A,'PAGE_1 (2)'!$R25,RES_CNXL_SQL_3!$D:$D,'PAGE_1 (2)'!$S$21))</f>
        <v/>
      </c>
      <c r="E39" s="12" t="str">
        <f>IF(SUMIFS(RES_CNXL_SQL_3!$F:$F,RES_CNXL_SQL_3!$A:$A,'PAGE_1 (2)'!$R25,RES_CNXL_SQL_3!$D:$D,'PAGE_1 (2)'!$S$22)=0,"",SUMIFS(RES_CNXL_SQL_3!$F:$F,RES_CNXL_SQL_3!$A:$A,'PAGE_1 (2)'!$R25,RES_CNXL_SQL_3!$D:$D,'PAGE_1 (2)'!$S$22))</f>
        <v/>
      </c>
      <c r="F39" s="12" t="str">
        <f>IF(SUMIFS(RES_CNXL_SQL_3!$F:$F,RES_CNXL_SQL_3!$A:$A,'PAGE_1 (2)'!$R25,RES_CNXL_SQL_3!$D:$D,'PAGE_1 (2)'!$S$23)=0,"",SUMIFS(RES_CNXL_SQL_3!$F:$F,RES_CNXL_SQL_3!$A:$A,'PAGE_1 (2)'!$R25,RES_CNXL_SQL_3!$D:$D,'PAGE_1 (2)'!$S$23))</f>
        <v/>
      </c>
      <c r="G39" s="12" t="str">
        <f>IF(SUMIFS(RES_CNXL_SQL_3!$F:$F,RES_CNXL_SQL_3!$A:$A,'PAGE_1 (2)'!$R25,RES_CNXL_SQL_3!$D:$D,'PAGE_1 (2)'!$S$24)=0,"",SUMIFS(RES_CNXL_SQL_3!$F:$F,RES_CNXL_SQL_3!$A:$A,'PAGE_1 (2)'!$R25,RES_CNXL_SQL_3!$D:$D,'PAGE_1 (2)'!$S$24))</f>
        <v/>
      </c>
      <c r="H39" s="12" t="str">
        <f>IF(SUMIFS(RES_CNXL_SQL_3!$F:$F,RES_CNXL_SQL_3!$A:$A,'PAGE_1 (2)'!$R25,RES_CNXL_SQL_3!$D:$D,'PAGE_1 (2)'!$S$25)=0,"",SUMIFS(RES_CNXL_SQL_3!$F:$F,RES_CNXL_SQL_3!$A:$A,'PAGE_1 (2)'!$R25,RES_CNXL_SQL_3!$D:$D,'PAGE_1 (2)'!$S$25))</f>
        <v/>
      </c>
      <c r="I39" s="12" t="str">
        <f>IF(SUMIFS(RES_CNXL_SQL_3!$F:$F,RES_CNXL_SQL_3!$A:$A,'PAGE_1 (2)'!$R25,RES_CNXL_SQL_3!$D:$D,'PAGE_1 (2)'!$S$26)=0,"",SUMIFS(RES_CNXL_SQL_3!$F:$F,RES_CNXL_SQL_3!$A:$A,'PAGE_1 (2)'!$R25,RES_CNXL_SQL_3!$D:$D,'PAGE_1 (2)'!$S$26))</f>
        <v/>
      </c>
      <c r="J39" s="12" t="str">
        <f>IF(SUMIFS(RES_CNXL_SQL_3!$F:$F,RES_CNXL_SQL_3!$A:$A,'PAGE_1 (2)'!$R25,RES_CNXL_SQL_3!$D:$D,'PAGE_1 (2)'!$S$27)=0,"",SUMIFS(RES_CNXL_SQL_3!$F:$F,RES_CNXL_SQL_3!$A:$A,'PAGE_1 (2)'!$R25,RES_CNXL_SQL_3!$D:$D,'PAGE_1 (2)'!$S$27))</f>
        <v/>
      </c>
      <c r="K39" s="12" t="str">
        <f>IF(SUMIFS(RES_CNXL_SQL_3!$F:$F,RES_CNXL_SQL_3!$A:$A,'PAGE_1 (2)'!$R25,RES_CNXL_SQL_3!$D:$D,'PAGE_1 (2)'!$S$28)=0,"",SUMIFS(RES_CNXL_SQL_3!$F:$F,RES_CNXL_SQL_3!$A:$A,'PAGE_1 (2)'!$R25,RES_CNXL_SQL_3!$D:$D,'PAGE_1 (2)'!$S$28))</f>
        <v/>
      </c>
      <c r="L39" s="12" t="str">
        <f>IF(SUMIFS(RES_CNXL_SQL_3!$F:$F,RES_CNXL_SQL_3!$A:$A,'PAGE_1 (2)'!$R25,RES_CNXL_SQL_3!$D:$D,'PAGE_1 (2)'!$S$29)=0,"",SUMIFS(RES_CNXL_SQL_3!$F:$F,RES_CNXL_SQL_3!$A:$A,'PAGE_1 (2)'!$R25,RES_CNXL_SQL_3!$D:$D,'PAGE_1 (2)'!$S$29))</f>
        <v/>
      </c>
      <c r="M39" s="42" t="str">
        <f t="shared" si="2"/>
        <v/>
      </c>
      <c r="N39" s="38" t="str">
        <f>ES_MATRIX!K18</f>
        <v/>
      </c>
      <c r="O39" s="14" t="str">
        <f>IFERROR(M39-ES_MATRIX!L18,"")</f>
        <v/>
      </c>
      <c r="P39" s="40" t="str">
        <f>IF(SUMIF(RES_CNXL_SQL_3!$E:$E,'PAGE_1 (2)'!R25,RES_CNXL_SQL_3!$F:$F)=0,"",SUMIF(RES_CNXL_SQL_3!$E:$E,'PAGE_1 (2)'!R25,RES_CNXL_SQL_3!$F:$F))</f>
        <v/>
      </c>
    </row>
    <row r="40" spans="2:24" ht="13" x14ac:dyDescent="0.3">
      <c r="B40" s="64" t="s">
        <v>43</v>
      </c>
      <c r="C40" s="78">
        <f>SUMIF(SCH_DEP_SQL_4!$A:$A,'PAGE_1 (2)'!R26,SCH_DEP_SQL_4!$E:$E)</f>
        <v>221</v>
      </c>
      <c r="D40" s="17" t="str">
        <f>IF(SUMIFS(RES_CNXL_SQL_3!$F:$F,RES_CNXL_SQL_3!$A:$A,'PAGE_1 (2)'!$R26,RES_CNXL_SQL_3!$D:$D,'PAGE_1 (2)'!$S$21)=0,"",SUMIFS(RES_CNXL_SQL_3!$F:$F,RES_CNXL_SQL_3!$A:$A,'PAGE_1 (2)'!$R26,RES_CNXL_SQL_3!$D:$D,'PAGE_1 (2)'!$S$21))</f>
        <v/>
      </c>
      <c r="E40" s="17" t="str">
        <f>IF(SUMIFS(RES_CNXL_SQL_3!$F:$F,RES_CNXL_SQL_3!$A:$A,'PAGE_1 (2)'!$R26,RES_CNXL_SQL_3!$D:$D,'PAGE_1 (2)'!$S$22)=0,"",SUMIFS(RES_CNXL_SQL_3!$F:$F,RES_CNXL_SQL_3!$A:$A,'PAGE_1 (2)'!$R26,RES_CNXL_SQL_3!$D:$D,'PAGE_1 (2)'!$S$22))</f>
        <v/>
      </c>
      <c r="F40" s="17" t="str">
        <f>IF(SUMIFS(RES_CNXL_SQL_3!$F:$F,RES_CNXL_SQL_3!$A:$A,'PAGE_1 (2)'!$R26,RES_CNXL_SQL_3!$D:$D,'PAGE_1 (2)'!$S$23)=0,"",SUMIFS(RES_CNXL_SQL_3!$F:$F,RES_CNXL_SQL_3!$A:$A,'PAGE_1 (2)'!$R26,RES_CNXL_SQL_3!$D:$D,'PAGE_1 (2)'!$S$23))</f>
        <v/>
      </c>
      <c r="G40" s="17" t="str">
        <f>IF(SUMIFS(RES_CNXL_SQL_3!$F:$F,RES_CNXL_SQL_3!$A:$A,'PAGE_1 (2)'!$R26,RES_CNXL_SQL_3!$D:$D,'PAGE_1 (2)'!$S$24)=0,"",SUMIFS(RES_CNXL_SQL_3!$F:$F,RES_CNXL_SQL_3!$A:$A,'PAGE_1 (2)'!$R26,RES_CNXL_SQL_3!$D:$D,'PAGE_1 (2)'!$S$24))</f>
        <v/>
      </c>
      <c r="H40" s="17" t="str">
        <f>IF(SUMIFS(RES_CNXL_SQL_3!$F:$F,RES_CNXL_SQL_3!$A:$A,'PAGE_1 (2)'!$R26,RES_CNXL_SQL_3!$D:$D,'PAGE_1 (2)'!$S$25)=0,"",SUMIFS(RES_CNXL_SQL_3!$F:$F,RES_CNXL_SQL_3!$A:$A,'PAGE_1 (2)'!$R26,RES_CNXL_SQL_3!$D:$D,'PAGE_1 (2)'!$S$25))</f>
        <v/>
      </c>
      <c r="I40" s="17" t="str">
        <f>IF(SUMIFS(RES_CNXL_SQL_3!$F:$F,RES_CNXL_SQL_3!$A:$A,'PAGE_1 (2)'!$R26,RES_CNXL_SQL_3!$D:$D,'PAGE_1 (2)'!$S$26)=0,"",SUMIFS(RES_CNXL_SQL_3!$F:$F,RES_CNXL_SQL_3!$A:$A,'PAGE_1 (2)'!$R26,RES_CNXL_SQL_3!$D:$D,'PAGE_1 (2)'!$S$26))</f>
        <v/>
      </c>
      <c r="J40" s="17" t="str">
        <f>IF(SUMIFS(RES_CNXL_SQL_3!$F:$F,RES_CNXL_SQL_3!$A:$A,'PAGE_1 (2)'!$R26,RES_CNXL_SQL_3!$D:$D,'PAGE_1 (2)'!$S$27)=0,"",SUMIFS(RES_CNXL_SQL_3!$F:$F,RES_CNXL_SQL_3!$A:$A,'PAGE_1 (2)'!$R26,RES_CNXL_SQL_3!$D:$D,'PAGE_1 (2)'!$S$27))</f>
        <v/>
      </c>
      <c r="K40" s="17" t="str">
        <f>IF(SUMIFS(RES_CNXL_SQL_3!$F:$F,RES_CNXL_SQL_3!$A:$A,'PAGE_1 (2)'!$R26,RES_CNXL_SQL_3!$D:$D,'PAGE_1 (2)'!$S$28)=0,"",SUMIFS(RES_CNXL_SQL_3!$F:$F,RES_CNXL_SQL_3!$A:$A,'PAGE_1 (2)'!$R26,RES_CNXL_SQL_3!$D:$D,'PAGE_1 (2)'!$S$28))</f>
        <v/>
      </c>
      <c r="L40" s="17" t="str">
        <f>IF(SUMIFS(RES_CNXL_SQL_3!$F:$F,RES_CNXL_SQL_3!$A:$A,'PAGE_1 (2)'!$R26,RES_CNXL_SQL_3!$D:$D,'PAGE_1 (2)'!$S$29)=0,"",SUMIFS(RES_CNXL_SQL_3!$F:$F,RES_CNXL_SQL_3!$A:$A,'PAGE_1 (2)'!$R26,RES_CNXL_SQL_3!$D:$D,'PAGE_1 (2)'!$S$29))</f>
        <v/>
      </c>
      <c r="M40" s="41" t="str">
        <f t="shared" si="2"/>
        <v/>
      </c>
      <c r="N40" s="18" t="str">
        <f>ES_MATRIX!K19</f>
        <v/>
      </c>
      <c r="O40" s="18" t="str">
        <f>IFERROR(M40-ES_MATRIX!L19,"")</f>
        <v/>
      </c>
      <c r="P40" s="16" t="str">
        <f>IF(SUMIF(RES_CNXL_SQL_3!$E:$E,'PAGE_1 (2)'!R26,RES_CNXL_SQL_3!$F:$F)=0,"",SUMIF(RES_CNXL_SQL_3!$E:$E,'PAGE_1 (2)'!R26,RES_CNXL_SQL_3!$F:$F))</f>
        <v/>
      </c>
    </row>
    <row r="41" spans="2:24" ht="13" x14ac:dyDescent="0.3">
      <c r="B41" s="63" t="s">
        <v>44</v>
      </c>
      <c r="C41" s="77">
        <f>SUMIF(SCH_DEP_SQL_4!$A:$A,'PAGE_1 (2)'!R27,SCH_DEP_SQL_4!$E:$E)</f>
        <v>227</v>
      </c>
      <c r="D41" s="12" t="str">
        <f>IF(SUMIFS(RES_CNXL_SQL_3!$F:$F,RES_CNXL_SQL_3!$A:$A,'PAGE_1 (2)'!$R27,RES_CNXL_SQL_3!$D:$D,'PAGE_1 (2)'!$S$21)=0,"",SUMIFS(RES_CNXL_SQL_3!$F:$F,RES_CNXL_SQL_3!$A:$A,'PAGE_1 (2)'!$R27,RES_CNXL_SQL_3!$D:$D,'PAGE_1 (2)'!$S$21))</f>
        <v/>
      </c>
      <c r="E41" s="12" t="str">
        <f>IF(SUMIFS(RES_CNXL_SQL_3!$F:$F,RES_CNXL_SQL_3!$A:$A,'PAGE_1 (2)'!$R27,RES_CNXL_SQL_3!$D:$D,'PAGE_1 (2)'!$S$22)=0,"",SUMIFS(RES_CNXL_SQL_3!$F:$F,RES_CNXL_SQL_3!$A:$A,'PAGE_1 (2)'!$R27,RES_CNXL_SQL_3!$D:$D,'PAGE_1 (2)'!$S$22))</f>
        <v/>
      </c>
      <c r="F41" s="12" t="str">
        <f>IF(SUMIFS(RES_CNXL_SQL_3!$F:$F,RES_CNXL_SQL_3!$A:$A,'PAGE_1 (2)'!$R27,RES_CNXL_SQL_3!$D:$D,'PAGE_1 (2)'!$S$23)=0,"",SUMIFS(RES_CNXL_SQL_3!$F:$F,RES_CNXL_SQL_3!$A:$A,'PAGE_1 (2)'!$R27,RES_CNXL_SQL_3!$D:$D,'PAGE_1 (2)'!$S$23))</f>
        <v/>
      </c>
      <c r="G41" s="12" t="str">
        <f>IF(SUMIFS(RES_CNXL_SQL_3!$F:$F,RES_CNXL_SQL_3!$A:$A,'PAGE_1 (2)'!$R27,RES_CNXL_SQL_3!$D:$D,'PAGE_1 (2)'!$S$24)=0,"",SUMIFS(RES_CNXL_SQL_3!$F:$F,RES_CNXL_SQL_3!$A:$A,'PAGE_1 (2)'!$R27,RES_CNXL_SQL_3!$D:$D,'PAGE_1 (2)'!$S$24))</f>
        <v/>
      </c>
      <c r="H41" s="12" t="str">
        <f>IF(SUMIFS(RES_CNXL_SQL_3!$F:$F,RES_CNXL_SQL_3!$A:$A,'PAGE_1 (2)'!$R27,RES_CNXL_SQL_3!$D:$D,'PAGE_1 (2)'!$S$25)=0,"",SUMIFS(RES_CNXL_SQL_3!$F:$F,RES_CNXL_SQL_3!$A:$A,'PAGE_1 (2)'!$R27,RES_CNXL_SQL_3!$D:$D,'PAGE_1 (2)'!$S$25))</f>
        <v/>
      </c>
      <c r="I41" s="12" t="str">
        <f>IF(SUMIFS(RES_CNXL_SQL_3!$F:$F,RES_CNXL_SQL_3!$A:$A,'PAGE_1 (2)'!$R27,RES_CNXL_SQL_3!$D:$D,'PAGE_1 (2)'!$S$26)=0,"",SUMIFS(RES_CNXL_SQL_3!$F:$F,RES_CNXL_SQL_3!$A:$A,'PAGE_1 (2)'!$R27,RES_CNXL_SQL_3!$D:$D,'PAGE_1 (2)'!$S$26))</f>
        <v/>
      </c>
      <c r="J41" s="12" t="str">
        <f>IF(SUMIFS(RES_CNXL_SQL_3!$F:$F,RES_CNXL_SQL_3!$A:$A,'PAGE_1 (2)'!$R27,RES_CNXL_SQL_3!$D:$D,'PAGE_1 (2)'!$S$27)=0,"",SUMIFS(RES_CNXL_SQL_3!$F:$F,RES_CNXL_SQL_3!$A:$A,'PAGE_1 (2)'!$R27,RES_CNXL_SQL_3!$D:$D,'PAGE_1 (2)'!$S$27))</f>
        <v/>
      </c>
      <c r="K41" s="12" t="str">
        <f>IF(SUMIFS(RES_CNXL_SQL_3!$F:$F,RES_CNXL_SQL_3!$A:$A,'PAGE_1 (2)'!$R27,RES_CNXL_SQL_3!$D:$D,'PAGE_1 (2)'!$S$28)=0,"",SUMIFS(RES_CNXL_SQL_3!$F:$F,RES_CNXL_SQL_3!$A:$A,'PAGE_1 (2)'!$R27,RES_CNXL_SQL_3!$D:$D,'PAGE_1 (2)'!$S$28))</f>
        <v/>
      </c>
      <c r="L41" s="12" t="str">
        <f>IF(SUMIFS(RES_CNXL_SQL_3!$F:$F,RES_CNXL_SQL_3!$A:$A,'PAGE_1 (2)'!$R27,RES_CNXL_SQL_3!$D:$D,'PAGE_1 (2)'!$S$29)=0,"",SUMIFS(RES_CNXL_SQL_3!$F:$F,RES_CNXL_SQL_3!$A:$A,'PAGE_1 (2)'!$R27,RES_CNXL_SQL_3!$D:$D,'PAGE_1 (2)'!$S$29))</f>
        <v/>
      </c>
      <c r="M41" s="38" t="str">
        <f t="shared" si="2"/>
        <v/>
      </c>
      <c r="N41" s="38" t="str">
        <f>ES_MATRIX!K20</f>
        <v/>
      </c>
      <c r="O41" s="14" t="str">
        <f>IFERROR(M41-ES_MATRIX!L20,"")</f>
        <v/>
      </c>
      <c r="P41" s="40" t="str">
        <f>IF(SUMIF(RES_CNXL_SQL_3!$E:$E,'PAGE_1 (2)'!R27,RES_CNXL_SQL_3!$F:$F)=0,"",SUMIF(RES_CNXL_SQL_3!$E:$E,'PAGE_1 (2)'!R27,RES_CNXL_SQL_3!$F:$F))</f>
        <v/>
      </c>
    </row>
    <row r="42" spans="2:24" ht="13.5" thickBot="1" x14ac:dyDescent="0.35">
      <c r="B42" s="64" t="s">
        <v>45</v>
      </c>
      <c r="C42" s="78">
        <f>SUMIF(SCH_DEP_SQL_4!$A:$A,'PAGE_1 (2)'!R28,SCH_DEP_SQL_4!$E:$E)</f>
        <v>0</v>
      </c>
      <c r="D42" s="17" t="str">
        <f>IF(SUMIFS(RES_CNXL_SQL_3!$F:$F,RES_CNXL_SQL_3!$A:$A,'PAGE_1 (2)'!$R28,RES_CNXL_SQL_3!$D:$D,'PAGE_1 (2)'!$S$21)=0,"",SUMIFS(RES_CNXL_SQL_3!$F:$F,RES_CNXL_SQL_3!$A:$A,'PAGE_1 (2)'!$R28,RES_CNXL_SQL_3!$D:$D,'PAGE_1 (2)'!$S$21))</f>
        <v/>
      </c>
      <c r="E42" s="17" t="str">
        <f>IF(SUMIFS(RES_CNXL_SQL_3!$F:$F,RES_CNXL_SQL_3!$A:$A,'PAGE_1 (2)'!$R28,RES_CNXL_SQL_3!$D:$D,'PAGE_1 (2)'!$S$22)=0,"",SUMIFS(RES_CNXL_SQL_3!$F:$F,RES_CNXL_SQL_3!$A:$A,'PAGE_1 (2)'!$R28,RES_CNXL_SQL_3!$D:$D,'PAGE_1 (2)'!$S$22))</f>
        <v/>
      </c>
      <c r="F42" s="17" t="str">
        <f>IF(SUMIFS(RES_CNXL_SQL_3!$F:$F,RES_CNXL_SQL_3!$A:$A,'PAGE_1 (2)'!$R28,RES_CNXL_SQL_3!$D:$D,'PAGE_1 (2)'!$S$23)=0,"",SUMIFS(RES_CNXL_SQL_3!$F:$F,RES_CNXL_SQL_3!$A:$A,'PAGE_1 (2)'!$R28,RES_CNXL_SQL_3!$D:$D,'PAGE_1 (2)'!$S$23))</f>
        <v/>
      </c>
      <c r="G42" s="17" t="str">
        <f>IF(SUMIFS(RES_CNXL_SQL_3!$F:$F,RES_CNXL_SQL_3!$A:$A,'PAGE_1 (2)'!$R28,RES_CNXL_SQL_3!$D:$D,'PAGE_1 (2)'!$S$24)=0,"",SUMIFS(RES_CNXL_SQL_3!$F:$F,RES_CNXL_SQL_3!$A:$A,'PAGE_1 (2)'!$R28,RES_CNXL_SQL_3!$D:$D,'PAGE_1 (2)'!$S$24))</f>
        <v/>
      </c>
      <c r="H42" s="17" t="str">
        <f>IF(SUMIFS(RES_CNXL_SQL_3!$F:$F,RES_CNXL_SQL_3!$A:$A,'PAGE_1 (2)'!$R28,RES_CNXL_SQL_3!$D:$D,'PAGE_1 (2)'!$S$25)=0,"",SUMIFS(RES_CNXL_SQL_3!$F:$F,RES_CNXL_SQL_3!$A:$A,'PAGE_1 (2)'!$R28,RES_CNXL_SQL_3!$D:$D,'PAGE_1 (2)'!$S$25))</f>
        <v/>
      </c>
      <c r="I42" s="17" t="str">
        <f>IF(SUMIFS(RES_CNXL_SQL_3!$F:$F,RES_CNXL_SQL_3!$A:$A,'PAGE_1 (2)'!$R28,RES_CNXL_SQL_3!$D:$D,'PAGE_1 (2)'!$S$26)=0,"",SUMIFS(RES_CNXL_SQL_3!$F:$F,RES_CNXL_SQL_3!$A:$A,'PAGE_1 (2)'!$R28,RES_CNXL_SQL_3!$D:$D,'PAGE_1 (2)'!$S$26))</f>
        <v/>
      </c>
      <c r="J42" s="17" t="str">
        <f>IF(SUMIFS(RES_CNXL_SQL_3!$F:$F,RES_CNXL_SQL_3!$A:$A,'PAGE_1 (2)'!$R28,RES_CNXL_SQL_3!$D:$D,'PAGE_1 (2)'!$S$27)=0,"",SUMIFS(RES_CNXL_SQL_3!$F:$F,RES_CNXL_SQL_3!$A:$A,'PAGE_1 (2)'!$R28,RES_CNXL_SQL_3!$D:$D,'PAGE_1 (2)'!$S$27))</f>
        <v/>
      </c>
      <c r="K42" s="17" t="str">
        <f>IF(SUMIFS(RES_CNXL_SQL_3!$F:$F,RES_CNXL_SQL_3!$A:$A,'PAGE_1 (2)'!$R28,RES_CNXL_SQL_3!$D:$D,'PAGE_1 (2)'!$S$28)=0,"",SUMIFS(RES_CNXL_SQL_3!$F:$F,RES_CNXL_SQL_3!$A:$A,'PAGE_1 (2)'!$R28,RES_CNXL_SQL_3!$D:$D,'PAGE_1 (2)'!$S$28))</f>
        <v/>
      </c>
      <c r="L42" s="17" t="str">
        <f>IF(SUMIFS(RES_CNXL_SQL_3!$F:$F,RES_CNXL_SQL_3!$A:$A,'PAGE_1 (2)'!$R28,RES_CNXL_SQL_3!$D:$D,'PAGE_1 (2)'!$S$29)=0,"",SUMIFS(RES_CNXL_SQL_3!$F:$F,RES_CNXL_SQL_3!$A:$A,'PAGE_1 (2)'!$R28,RES_CNXL_SQL_3!$D:$D,'PAGE_1 (2)'!$S$29))</f>
        <v/>
      </c>
      <c r="M42" s="18" t="str">
        <f t="shared" si="2"/>
        <v/>
      </c>
      <c r="N42" s="18" t="str">
        <f>ES_MATRIX!K21</f>
        <v/>
      </c>
      <c r="O42" s="18" t="str">
        <f>IFERROR(M42-ES_MATRIX!L21,"")</f>
        <v/>
      </c>
      <c r="P42" s="16" t="str">
        <f>IF(SUMIF(RES_CNXL_SQL_3!$E:$E,'PAGE_1 (2)'!R28,RES_CNXL_SQL_3!$F:$F)=0,"",SUMIF(RES_CNXL_SQL_3!$E:$E,'PAGE_1 (2)'!R28,RES_CNXL_SQL_3!$F:$F))</f>
        <v/>
      </c>
    </row>
    <row r="43" spans="2:24" ht="13.5" thickBot="1" x14ac:dyDescent="0.35">
      <c r="B43" s="65" t="s">
        <v>47</v>
      </c>
      <c r="C43" s="79">
        <f>SUM(C35:C42)</f>
        <v>1973</v>
      </c>
      <c r="D43" s="22" t="str">
        <f>IF(SUM(D35:D42)=0,"",SUM(D35:D42))</f>
        <v/>
      </c>
      <c r="E43" s="22" t="str">
        <f t="shared" ref="E43:L43" si="3">IF(SUM(E35:E42)=0,"",SUM(E35:E42))</f>
        <v/>
      </c>
      <c r="F43" s="22" t="str">
        <f t="shared" si="3"/>
        <v/>
      </c>
      <c r="G43" s="22" t="str">
        <f t="shared" si="3"/>
        <v/>
      </c>
      <c r="H43" s="22" t="str">
        <f t="shared" si="3"/>
        <v/>
      </c>
      <c r="I43" s="22" t="str">
        <f t="shared" si="3"/>
        <v/>
      </c>
      <c r="J43" s="22" t="str">
        <f t="shared" si="3"/>
        <v/>
      </c>
      <c r="K43" s="22" t="str">
        <f t="shared" si="3"/>
        <v/>
      </c>
      <c r="L43" s="22" t="str">
        <f t="shared" si="3"/>
        <v/>
      </c>
      <c r="M43" s="23">
        <f>SUM(M35:M42)</f>
        <v>0</v>
      </c>
      <c r="N43" s="23"/>
      <c r="O43" s="23">
        <f>SUM(O35:O42)</f>
        <v>0</v>
      </c>
      <c r="P43" s="23">
        <f>SUM(P35:P42)</f>
        <v>0</v>
      </c>
    </row>
    <row r="44" spans="2:24" ht="21" customHeight="1" x14ac:dyDescent="0.3">
      <c r="C44" s="66"/>
    </row>
  </sheetData>
  <mergeCells count="6">
    <mergeCell ref="B2:C2"/>
    <mergeCell ref="D2:E2"/>
    <mergeCell ref="B4:H4"/>
    <mergeCell ref="B19:P19"/>
    <mergeCell ref="B33:P33"/>
    <mergeCell ref="J4:S4"/>
  </mergeCells>
  <conditionalFormatting sqref="D8">
    <cfRule type="iconSet" priority="107">
      <iconSet>
        <cfvo type="percent" val="0"/>
        <cfvo type="num" val="$E$8"/>
        <cfvo type="num" val="$E$8"/>
      </iconSet>
    </cfRule>
  </conditionalFormatting>
  <conditionalFormatting sqref="D6">
    <cfRule type="iconSet" priority="109">
      <iconSet>
        <cfvo type="percent" val="0"/>
        <cfvo type="num" val="$E$6"/>
        <cfvo type="num" val="$E$6"/>
      </iconSet>
    </cfRule>
  </conditionalFormatting>
  <conditionalFormatting sqref="C7">
    <cfRule type="iconSet" priority="104">
      <iconSet>
        <cfvo type="percent" val="0"/>
        <cfvo type="num" val="$E$7"/>
        <cfvo type="num" val="$E$7"/>
      </iconSet>
    </cfRule>
  </conditionalFormatting>
  <conditionalFormatting sqref="C8">
    <cfRule type="iconSet" priority="103">
      <iconSet>
        <cfvo type="percent" val="0"/>
        <cfvo type="num" val="$E$8"/>
        <cfvo type="num" val="$E$8"/>
      </iconSet>
    </cfRule>
  </conditionalFormatting>
  <conditionalFormatting sqref="C9">
    <cfRule type="iconSet" priority="102">
      <iconSet>
        <cfvo type="percent" val="0"/>
        <cfvo type="num" val="$E$9"/>
        <cfvo type="num" val="$E$9"/>
      </iconSet>
    </cfRule>
  </conditionalFormatting>
  <conditionalFormatting sqref="C10">
    <cfRule type="iconSet" priority="101">
      <iconSet>
        <cfvo type="percent" val="0"/>
        <cfvo type="num" val="$E$10"/>
        <cfvo type="num" val="$E$10"/>
      </iconSet>
    </cfRule>
  </conditionalFormatting>
  <conditionalFormatting sqref="C11">
    <cfRule type="iconSet" priority="100">
      <iconSet>
        <cfvo type="percent" val="0"/>
        <cfvo type="num" val="$E$11"/>
        <cfvo type="num" val="$E$11"/>
      </iconSet>
    </cfRule>
  </conditionalFormatting>
  <conditionalFormatting sqref="D7">
    <cfRule type="iconSet" priority="99">
      <iconSet>
        <cfvo type="percent" val="0"/>
        <cfvo type="num" val="$E$7"/>
        <cfvo type="num" val="$E$7"/>
      </iconSet>
    </cfRule>
  </conditionalFormatting>
  <conditionalFormatting sqref="D9">
    <cfRule type="iconSet" priority="98">
      <iconSet>
        <cfvo type="percent" val="0"/>
        <cfvo type="num" val="$E$9"/>
        <cfvo type="num" val="$E$9"/>
      </iconSet>
    </cfRule>
  </conditionalFormatting>
  <conditionalFormatting sqref="D10">
    <cfRule type="iconSet" priority="97">
      <iconSet>
        <cfvo type="percent" val="0"/>
        <cfvo type="num" val="$E$10"/>
        <cfvo type="num" val="$E$10"/>
      </iconSet>
    </cfRule>
  </conditionalFormatting>
  <conditionalFormatting sqref="D11">
    <cfRule type="iconSet" priority="96">
      <iconSet>
        <cfvo type="percent" val="0"/>
        <cfvo type="num" val="$E$11"/>
        <cfvo type="num" val="$E$11"/>
      </iconSet>
    </cfRule>
  </conditionalFormatting>
  <conditionalFormatting sqref="D21:D28">
    <cfRule type="top10" dxfId="273" priority="95" rank="1"/>
  </conditionalFormatting>
  <conditionalFormatting sqref="E21:E28">
    <cfRule type="top10" dxfId="272" priority="94" rank="1"/>
  </conditionalFormatting>
  <conditionalFormatting sqref="F21:F28">
    <cfRule type="top10" dxfId="271" priority="93" rank="1"/>
  </conditionalFormatting>
  <conditionalFormatting sqref="G21:G28">
    <cfRule type="top10" dxfId="270" priority="92" rank="1"/>
  </conditionalFormatting>
  <conditionalFormatting sqref="H21:H28">
    <cfRule type="top10" dxfId="269" priority="91" rank="1"/>
  </conditionalFormatting>
  <conditionalFormatting sqref="I21:I28">
    <cfRule type="top10" dxfId="268" priority="90" rank="1"/>
  </conditionalFormatting>
  <conditionalFormatting sqref="J21:J28">
    <cfRule type="top10" dxfId="267" priority="89" rank="1"/>
  </conditionalFormatting>
  <conditionalFormatting sqref="K21:K28">
    <cfRule type="top10" dxfId="266" priority="88" rank="1"/>
  </conditionalFormatting>
  <conditionalFormatting sqref="L21:L28">
    <cfRule type="top10" dxfId="265" priority="87" rank="1"/>
  </conditionalFormatting>
  <conditionalFormatting sqref="D35:D42">
    <cfRule type="top10" dxfId="264" priority="86" rank="1"/>
  </conditionalFormatting>
  <conditionalFormatting sqref="E35:E42">
    <cfRule type="top10" dxfId="263" priority="85" rank="1"/>
  </conditionalFormatting>
  <conditionalFormatting sqref="F35:F42">
    <cfRule type="top10" dxfId="262" priority="84" rank="1"/>
  </conditionalFormatting>
  <conditionalFormatting sqref="G35:G42">
    <cfRule type="top10" dxfId="261" priority="83" rank="1"/>
  </conditionalFormatting>
  <conditionalFormatting sqref="H35:H42">
    <cfRule type="top10" dxfId="260" priority="82" rank="1"/>
  </conditionalFormatting>
  <conditionalFormatting sqref="I35:I42">
    <cfRule type="top10" dxfId="259" priority="81" rank="1"/>
  </conditionalFormatting>
  <conditionalFormatting sqref="J35:J42">
    <cfRule type="top10" dxfId="258" priority="80" rank="1"/>
  </conditionalFormatting>
  <conditionalFormatting sqref="K35:K42">
    <cfRule type="top10" dxfId="257" priority="79" rank="1"/>
  </conditionalFormatting>
  <conditionalFormatting sqref="L35:L42">
    <cfRule type="top10" dxfId="256" priority="78" rank="1"/>
  </conditionalFormatting>
  <conditionalFormatting sqref="F6">
    <cfRule type="cellIs" dxfId="255" priority="75" operator="greaterThan">
      <formula>0</formula>
    </cfRule>
    <cfRule type="cellIs" dxfId="254" priority="77" operator="lessThan">
      <formula>0</formula>
    </cfRule>
  </conditionalFormatting>
  <conditionalFormatting sqref="F7">
    <cfRule type="cellIs" dxfId="253" priority="76" operator="lessThan">
      <formula>0</formula>
    </cfRule>
  </conditionalFormatting>
  <conditionalFormatting sqref="G6">
    <cfRule type="cellIs" dxfId="252" priority="72" operator="greaterThan">
      <formula>0</formula>
    </cfRule>
    <cfRule type="cellIs" dxfId="251" priority="73" operator="greaterThan">
      <formula>0</formula>
    </cfRule>
    <cfRule type="cellIs" dxfId="250" priority="74" operator="lessThan">
      <formula>0</formula>
    </cfRule>
  </conditionalFormatting>
  <conditionalFormatting sqref="G7">
    <cfRule type="cellIs" dxfId="249" priority="69" operator="greaterThan">
      <formula>0</formula>
    </cfRule>
    <cfRule type="cellIs" dxfId="248" priority="70" operator="greaterThan">
      <formula>0</formula>
    </cfRule>
    <cfRule type="cellIs" dxfId="247" priority="71" operator="lessThan">
      <formula>0</formula>
    </cfRule>
  </conditionalFormatting>
  <conditionalFormatting sqref="G8">
    <cfRule type="cellIs" dxfId="246" priority="66" operator="greaterThan">
      <formula>0</formula>
    </cfRule>
    <cfRule type="cellIs" dxfId="245" priority="67" operator="greaterThan">
      <formula>0</formula>
    </cfRule>
    <cfRule type="cellIs" dxfId="244" priority="68" operator="lessThan">
      <formula>0</formula>
    </cfRule>
  </conditionalFormatting>
  <conditionalFormatting sqref="F8">
    <cfRule type="cellIs" dxfId="243" priority="63" operator="greaterThan">
      <formula>0</formula>
    </cfRule>
    <cfRule type="cellIs" dxfId="242" priority="64" operator="greaterThan">
      <formula>0</formula>
    </cfRule>
    <cfRule type="cellIs" dxfId="241" priority="65" operator="lessThan">
      <formula>0</formula>
    </cfRule>
  </conditionalFormatting>
  <conditionalFormatting sqref="N6">
    <cfRule type="cellIs" dxfId="240" priority="15" operator="greaterThan">
      <formula>0</formula>
    </cfRule>
    <cfRule type="cellIs" dxfId="239" priority="17" operator="lessThan">
      <formula>0</formula>
    </cfRule>
  </conditionalFormatting>
  <conditionalFormatting sqref="N7">
    <cfRule type="cellIs" dxfId="238" priority="16" operator="lessThan">
      <formula>0</formula>
    </cfRule>
  </conditionalFormatting>
  <conditionalFormatting sqref="O6">
    <cfRule type="cellIs" dxfId="237" priority="12" operator="greaterThan">
      <formula>0</formula>
    </cfRule>
    <cfRule type="cellIs" dxfId="236" priority="13" operator="greaterThan">
      <formula>0</formula>
    </cfRule>
    <cfRule type="cellIs" dxfId="235" priority="14" operator="lessThan">
      <formula>0</formula>
    </cfRule>
  </conditionalFormatting>
  <conditionalFormatting sqref="O7">
    <cfRule type="cellIs" dxfId="234" priority="9" operator="greaterThan">
      <formula>0</formula>
    </cfRule>
    <cfRule type="cellIs" dxfId="233" priority="10" operator="greaterThan">
      <formula>0</formula>
    </cfRule>
    <cfRule type="cellIs" dxfId="232" priority="11" operator="lessThan">
      <formula>0</formula>
    </cfRule>
  </conditionalFormatting>
  <conditionalFormatting sqref="O8">
    <cfRule type="cellIs" dxfId="231" priority="6" operator="greaterThan">
      <formula>0</formula>
    </cfRule>
    <cfRule type="cellIs" dxfId="230" priority="7" operator="greaterThan">
      <formula>0</formula>
    </cfRule>
    <cfRule type="cellIs" dxfId="229" priority="8" operator="lessThan">
      <formula>0</formula>
    </cfRule>
  </conditionalFormatting>
  <conditionalFormatting sqref="N8">
    <cfRule type="cellIs" dxfId="228" priority="3" operator="greaterThan">
      <formula>0</formula>
    </cfRule>
    <cfRule type="cellIs" dxfId="227" priority="4" operator="greaterThan">
      <formula>0</formula>
    </cfRule>
    <cfRule type="cellIs" dxfId="226" priority="5" operator="lessThan">
      <formula>0</formula>
    </cfRule>
  </conditionalFormatting>
  <pageMargins left="1" right="1" top="1" bottom="1" header="0.5" footer="0.5"/>
  <pageSetup scale="64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8" id="{62DE090B-1E1A-45B5-B3E8-813BC4BB8BAA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H6</xm:sqref>
        </x14:conditionalFormatting>
        <x14:conditionalFormatting xmlns:xm="http://schemas.microsoft.com/office/excel/2006/main">
          <x14:cfRule type="iconSet" priority="110" id="{E3EF4A9F-9292-4DED-A792-D0A6ECA11A44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C6</xm:sqref>
        </x14:conditionalFormatting>
        <x14:conditionalFormatting xmlns:xm="http://schemas.microsoft.com/office/excel/2006/main">
          <x14:cfRule type="iconSet" priority="106" id="{6058AEB0-97DB-46BC-AC3C-1540FCA7E531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H7</xm:sqref>
        </x14:conditionalFormatting>
        <x14:conditionalFormatting xmlns:xm="http://schemas.microsoft.com/office/excel/2006/main">
          <x14:cfRule type="iconSet" priority="105" id="{9D1DF864-F97F-43BF-99C2-889CC964C8D8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H8</xm:sqref>
        </x14:conditionalFormatting>
        <x14:conditionalFormatting xmlns:xm="http://schemas.microsoft.com/office/excel/2006/main">
          <x14:cfRule type="iconSet" priority="29" id="{387C22BA-F32C-47FB-A0F0-993E9FC15F75}">
            <x14:iconSet>
              <x14:cfvo type="percent">
                <xm:f>0</xm:f>
              </x14:cfvo>
              <x14:cfvo type="num">
                <xm:f>PAGE_1_old!$E$8</xm:f>
              </x14:cfvo>
              <x14:cfvo type="num">
                <xm:f>PAGE_1_old!$E$8</xm:f>
              </x14:cfvo>
            </x14:iconSet>
          </x14:cfRule>
          <xm:sqref>L8</xm:sqref>
        </x14:conditionalFormatting>
        <x14:conditionalFormatting xmlns:xm="http://schemas.microsoft.com/office/excel/2006/main">
          <x14:cfRule type="iconSet" priority="31" id="{A10212D1-5F70-4914-9779-C5950B2BD062}">
            <x14:iconSet>
              <x14:cfvo type="percent">
                <xm:f>0</xm:f>
              </x14:cfvo>
              <x14:cfvo type="num">
                <xm:f>PAGE_1_old!$E$6</xm:f>
              </x14:cfvo>
              <x14:cfvo type="num">
                <xm:f>PAGE_1_old!$E$6</xm:f>
              </x14:cfvo>
            </x14:iconSet>
          </x14:cfRule>
          <xm:sqref>L6</xm:sqref>
        </x14:conditionalFormatting>
        <x14:conditionalFormatting xmlns:xm="http://schemas.microsoft.com/office/excel/2006/main">
          <x14:cfRule type="iconSet" priority="26" id="{7A4C9F66-EB29-41F2-9F52-749AD46351A9}">
            <x14:iconSet>
              <x14:cfvo type="percent">
                <xm:f>0</xm:f>
              </x14:cfvo>
              <x14:cfvo type="num">
                <xm:f>PAGE_1_old!$E$7</xm:f>
              </x14:cfvo>
              <x14:cfvo type="num">
                <xm:f>PAGE_1_old!$E$7</xm:f>
              </x14:cfvo>
            </x14:iconSet>
          </x14:cfRule>
          <xm:sqref>K7:P13</xm:sqref>
        </x14:conditionalFormatting>
        <x14:conditionalFormatting xmlns:xm="http://schemas.microsoft.com/office/excel/2006/main">
          <x14:cfRule type="iconSet" priority="25" id="{EF6AD0E0-B731-470E-9012-13F4779AC986}">
            <x14:iconSet>
              <x14:cfvo type="percent">
                <xm:f>0</xm:f>
              </x14:cfvo>
              <x14:cfvo type="num">
                <xm:f>PAGE_1_old!$E$8</xm:f>
              </x14:cfvo>
              <x14:cfvo type="num">
                <xm:f>PAGE_1_old!$E$8</xm:f>
              </x14:cfvo>
            </x14:iconSet>
          </x14:cfRule>
          <xm:sqref>K8</xm:sqref>
        </x14:conditionalFormatting>
        <x14:conditionalFormatting xmlns:xm="http://schemas.microsoft.com/office/excel/2006/main">
          <x14:cfRule type="iconSet" priority="24" id="{AD2F2E23-9322-4090-9C42-E1F54561421E}">
            <x14:iconSet>
              <x14:cfvo type="percent">
                <xm:f>0</xm:f>
              </x14:cfvo>
              <x14:cfvo type="num">
                <xm:f>PAGE_1_old!$E$9</xm:f>
              </x14:cfvo>
              <x14:cfvo type="num">
                <xm:f>PAGE_1_old!$E$9</xm:f>
              </x14:cfvo>
            </x14:iconSet>
          </x14:cfRule>
          <xm:sqref>K9</xm:sqref>
        </x14:conditionalFormatting>
        <x14:conditionalFormatting xmlns:xm="http://schemas.microsoft.com/office/excel/2006/main">
          <x14:cfRule type="iconSet" priority="23" id="{AF569D62-138D-48D4-8342-F70967D81420}">
            <x14:iconSet>
              <x14:cfvo type="percent">
                <xm:f>0</xm:f>
              </x14:cfvo>
              <x14:cfvo type="num">
                <xm:f>PAGE_1_old!$E$10</xm:f>
              </x14:cfvo>
              <x14:cfvo type="num">
                <xm:f>PAGE_1_old!$E$10</xm:f>
              </x14:cfvo>
            </x14:iconSet>
          </x14:cfRule>
          <xm:sqref>K10</xm:sqref>
        </x14:conditionalFormatting>
        <x14:conditionalFormatting xmlns:xm="http://schemas.microsoft.com/office/excel/2006/main">
          <x14:cfRule type="iconSet" priority="22" id="{F514C4A9-7B13-41FD-8764-A6523CE2659E}">
            <x14:iconSet>
              <x14:cfvo type="percent">
                <xm:f>0</xm:f>
              </x14:cfvo>
              <x14:cfvo type="num">
                <xm:f>PAGE_1_old!$E$11</xm:f>
              </x14:cfvo>
              <x14:cfvo type="num">
                <xm:f>PAGE_1_old!$E$11</xm:f>
              </x14:cfvo>
            </x14:iconSet>
          </x14:cfRule>
          <xm:sqref>K11</xm:sqref>
        </x14:conditionalFormatting>
        <x14:conditionalFormatting xmlns:xm="http://schemas.microsoft.com/office/excel/2006/main">
          <x14:cfRule type="iconSet" priority="21" id="{C512392F-E352-499B-AAD7-24DD453E0E1E}">
            <x14:iconSet>
              <x14:cfvo type="percent">
                <xm:f>0</xm:f>
              </x14:cfvo>
              <x14:cfvo type="num">
                <xm:f>PAGE_1_old!$E$7</xm:f>
              </x14:cfvo>
              <x14:cfvo type="num">
                <xm:f>PAGE_1_old!$E$7</xm:f>
              </x14:cfvo>
            </x14:iconSet>
          </x14:cfRule>
          <xm:sqref>L7</xm:sqref>
        </x14:conditionalFormatting>
        <x14:conditionalFormatting xmlns:xm="http://schemas.microsoft.com/office/excel/2006/main">
          <x14:cfRule type="iconSet" priority="20" id="{BD6A69AB-2466-4CB4-AF7C-5F20D404801E}">
            <x14:iconSet>
              <x14:cfvo type="percent">
                <xm:f>0</xm:f>
              </x14:cfvo>
              <x14:cfvo type="num">
                <xm:f>PAGE_1_old!$E$9</xm:f>
              </x14:cfvo>
              <x14:cfvo type="num">
                <xm:f>PAGE_1_old!$E$9</xm:f>
              </x14:cfvo>
            </x14:iconSet>
          </x14:cfRule>
          <xm:sqref>L9</xm:sqref>
        </x14:conditionalFormatting>
        <x14:conditionalFormatting xmlns:xm="http://schemas.microsoft.com/office/excel/2006/main">
          <x14:cfRule type="iconSet" priority="19" id="{CDDD95E6-E761-4433-B8A9-E71A88CFDC68}">
            <x14:iconSet>
              <x14:cfvo type="percent">
                <xm:f>0</xm:f>
              </x14:cfvo>
              <x14:cfvo type="num">
                <xm:f>PAGE_1_old!$E$10</xm:f>
              </x14:cfvo>
              <x14:cfvo type="num">
                <xm:f>PAGE_1_old!$E$10</xm:f>
              </x14:cfvo>
            </x14:iconSet>
          </x14:cfRule>
          <xm:sqref>L10</xm:sqref>
        </x14:conditionalFormatting>
        <x14:conditionalFormatting xmlns:xm="http://schemas.microsoft.com/office/excel/2006/main">
          <x14:cfRule type="iconSet" priority="18" id="{B3DC4382-2FBE-4BF8-8797-E17123A25026}">
            <x14:iconSet>
              <x14:cfvo type="percent">
                <xm:f>0</xm:f>
              </x14:cfvo>
              <x14:cfvo type="num">
                <xm:f>PAGE_1_old!$E$11</xm:f>
              </x14:cfvo>
              <x14:cfvo type="num">
                <xm:f>PAGE_1_old!$E$11</xm:f>
              </x14:cfvo>
            </x14:iconSet>
          </x14:cfRule>
          <xm:sqref>L11</xm:sqref>
        </x14:conditionalFormatting>
        <x14:conditionalFormatting xmlns:xm="http://schemas.microsoft.com/office/excel/2006/main">
          <x14:cfRule type="iconSet" priority="30" id="{5A91E7FE-F133-4998-ABF6-829DADA83149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P6</xm:sqref>
        </x14:conditionalFormatting>
        <x14:conditionalFormatting xmlns:xm="http://schemas.microsoft.com/office/excel/2006/main">
          <x14:cfRule type="iconSet" priority="32" id="{F0721EF5-2130-4754-8DF3-5151B7C153F7}">
            <x14:iconSet custom="1">
              <x14:cfvo type="percent">
                <xm:f>0</xm:f>
              </x14:cfvo>
              <x14:cfvo type="num">
                <xm:f>PAGE_1_old!$E$6</xm:f>
              </x14:cfvo>
              <x14:cfvo type="num">
                <xm:f>PAGE_1_old!$E$6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K6</xm:sqref>
        </x14:conditionalFormatting>
        <x14:conditionalFormatting xmlns:xm="http://schemas.microsoft.com/office/excel/2006/main">
          <x14:cfRule type="iconSet" priority="28" id="{1BCF002E-EF73-4A95-8A60-E375C7B9B386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P7</xm:sqref>
        </x14:conditionalFormatting>
        <x14:conditionalFormatting xmlns:xm="http://schemas.microsoft.com/office/excel/2006/main">
          <x14:cfRule type="iconSet" priority="27" id="{2E1D1634-4C4F-44AC-AD39-D02137D825D9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P8</xm:sqref>
        </x14:conditionalFormatting>
        <x14:conditionalFormatting xmlns:xm="http://schemas.microsoft.com/office/excel/2006/main">
          <x14:cfRule type="iconSet" priority="1" id="{C223CD91-C082-43A1-908B-79AB878718A0}">
            <x14:iconSet>
              <x14:cfvo type="percent">
                <xm:f>0</xm:f>
              </x14:cfvo>
              <x14:cfvo type="num">
                <xm:f>PAGE_1_old!$E$7</xm:f>
              </x14:cfvo>
              <x14:cfvo type="num">
                <xm:f>PAGE_1_old!$E$7</xm:f>
              </x14:cfvo>
            </x14:iconSet>
          </x14:cfRule>
          <xm:sqref>Q6:S13</xm:sqref>
        </x14:conditionalFormatting>
        <x14:conditionalFormatting xmlns:xm="http://schemas.microsoft.com/office/excel/2006/main">
          <x14:cfRule type="iconSet" priority="2" id="{48C44D79-20F7-460A-82EC-50E7478784FF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Q6:S13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9">
    <tabColor theme="9" tint="-0.249977111117893"/>
    <pageSetUpPr fitToPage="1"/>
  </sheetPr>
  <dimension ref="B1:X52"/>
  <sheetViews>
    <sheetView showGridLines="0" topLeftCell="A9" zoomScaleNormal="100" workbookViewId="0">
      <selection activeCell="E25" sqref="E25"/>
    </sheetView>
  </sheetViews>
  <sheetFormatPr defaultColWidth="8.7265625" defaultRowHeight="12" x14ac:dyDescent="0.3"/>
  <cols>
    <col min="1" max="1" width="6" style="1" customWidth="1"/>
    <col min="2" max="2" width="21.26953125" style="1" customWidth="1"/>
    <col min="3" max="3" width="10.81640625" style="1" bestFit="1" customWidth="1"/>
    <col min="4" max="4" width="11" style="1" customWidth="1"/>
    <col min="5" max="5" width="10.26953125" style="1" customWidth="1"/>
    <col min="6" max="6" width="11" style="1" customWidth="1"/>
    <col min="7" max="7" width="11.81640625" style="1" bestFit="1" customWidth="1"/>
    <col min="8" max="8" width="10.54296875" style="1" customWidth="1"/>
    <col min="9" max="9" width="10.7265625" style="1" customWidth="1"/>
    <col min="10" max="10" width="11.1796875" style="1" customWidth="1"/>
    <col min="11" max="11" width="11.7265625" style="1" customWidth="1"/>
    <col min="12" max="12" width="9" style="1" customWidth="1"/>
    <col min="13" max="13" width="10.81640625" style="1" customWidth="1"/>
    <col min="14" max="14" width="16.1796875" style="1" customWidth="1"/>
    <col min="15" max="15" width="7.54296875" style="1" customWidth="1"/>
    <col min="16" max="16" width="11.7265625" style="1" customWidth="1"/>
    <col min="17" max="17" width="6.7265625" style="1" customWidth="1"/>
    <col min="18" max="16384" width="8.7265625" style="1"/>
  </cols>
  <sheetData>
    <row r="1" spans="2:24" ht="21" customHeight="1" thickBot="1" x14ac:dyDescent="0.35"/>
    <row r="2" spans="2:24" ht="28.9" customHeight="1" x14ac:dyDescent="0.3">
      <c r="B2" s="271" t="s">
        <v>0</v>
      </c>
      <c r="C2" s="272"/>
      <c r="D2" s="273">
        <f ca="1">TODAY()-1</f>
        <v>45971</v>
      </c>
      <c r="E2" s="274"/>
    </row>
    <row r="3" spans="2:24" customFormat="1" ht="15" thickBot="1" x14ac:dyDescent="0.4">
      <c r="F3" s="1"/>
      <c r="J3" s="58"/>
      <c r="K3" s="58"/>
      <c r="L3" s="58"/>
      <c r="M3" s="81"/>
    </row>
    <row r="4" spans="2:24" ht="18" customHeight="1" thickBot="1" x14ac:dyDescent="0.4">
      <c r="B4" s="285" t="s">
        <v>93</v>
      </c>
      <c r="C4" s="286"/>
      <c r="D4" s="286"/>
      <c r="E4" s="286"/>
      <c r="F4" s="286"/>
      <c r="G4" s="286"/>
      <c r="H4" s="286"/>
      <c r="I4"/>
    </row>
    <row r="5" spans="2:24" ht="19.899999999999999" customHeight="1" thickBot="1" x14ac:dyDescent="0.4">
      <c r="B5" s="61" t="s">
        <v>2</v>
      </c>
      <c r="C5" s="48">
        <f ca="1">TODAY()-1</f>
        <v>45971</v>
      </c>
      <c r="D5" s="45" t="s">
        <v>3</v>
      </c>
      <c r="E5" s="45" t="s">
        <v>4</v>
      </c>
      <c r="F5" s="45" t="s">
        <v>52</v>
      </c>
      <c r="G5" s="45" t="s">
        <v>53</v>
      </c>
      <c r="H5" s="46" t="s">
        <v>7</v>
      </c>
      <c r="I5"/>
    </row>
    <row r="6" spans="2:24" ht="19.149999999999999" customHeight="1" x14ac:dyDescent="0.35">
      <c r="B6" s="59" t="s">
        <v>8</v>
      </c>
      <c r="C6" s="74">
        <f>UA_SQL_1!N2/UA_SQL_1!M2</f>
        <v>1973</v>
      </c>
      <c r="D6" s="74">
        <f>UA_SQL_1!F2/UA_SQL_1!E2</f>
        <v>9.4560244026436202E-3</v>
      </c>
      <c r="E6" s="29">
        <f>SUMIF(EX_Goals!$B:$B,'PAGE_1 (4)'!#REF!,EX_Goals!$E:$E)</f>
        <v>0</v>
      </c>
      <c r="F6" s="80">
        <f>((UA_SQL_1!$N$2/UA_SQL_1!$M$2)-(SUMIF(OA_SQL_1!$A$1:$A$3,"DL",OA_SQL_1!$K$1:$K$3)/SUMIF(OA_SQL_1!$A$1:$A$3,"DL",OA_SQL_1!$I$1:$I$3)))*100</f>
        <v>197280.03782918668</v>
      </c>
      <c r="G6" s="80">
        <f>((UA_SQL_1!$N$2/UA_SQL_1!$M$2)-(SUMIF(OA_SQL_1!$A$1:$A$3,"AA",OA_SQL_1!$K$1:$K$3)/SUMIF(OA_SQL_1!$A$1:$A$3,"AA",OA_SQL_1!$I$1:$I$3)))*100</f>
        <v>197281.15868592178</v>
      </c>
      <c r="H6" s="51">
        <f>RANK!F2</f>
        <v>3</v>
      </c>
      <c r="I6"/>
    </row>
    <row r="7" spans="2:24" ht="19.899999999999999" customHeight="1" x14ac:dyDescent="0.35">
      <c r="B7" s="59" t="s">
        <v>9</v>
      </c>
      <c r="C7" s="74">
        <f>UA_SQL_1!Q2/UA_SQL_1!M2</f>
        <v>1539</v>
      </c>
      <c r="D7" s="74">
        <f>UA_SQL_1!I2/UA_SQL_1!E2</f>
        <v>0.66446365022877474</v>
      </c>
      <c r="E7" s="29">
        <f>SUMIF(EX_Goals!$B:$B,'PAGE_1 (4)'!#REF!,EX_Goals!$D:$D)</f>
        <v>0</v>
      </c>
      <c r="F7" s="80">
        <f>((UA_SQL_1!$Q$2/UA_SQL_1!$M$2)-(SUMIF(OA_SQL_1!$A$1:$A$3,"DL",OA_SQL_1!$L$1:$L$3)/SUMIF(OA_SQL_1!$A$1:$A$3,"DL",OA_SQL_1!$I$1:$I$3)))*100</f>
        <v>153875.29463116542</v>
      </c>
      <c r="G7" s="80">
        <f>((UA_SQL_1!$Q$2/UA_SQL_1!$M$2)-(SUMIF(OA_SQL_1!$A$1:$A$3,"AA",OA_SQL_1!$L$1:$L$3)/SUMIF(OA_SQL_1!$A$1:$A$3,"AA",OA_SQL_1!$I$1:$I$3)))*100</f>
        <v>153876.4378008614</v>
      </c>
      <c r="H7" s="51">
        <f>RANK!F3</f>
        <v>3</v>
      </c>
      <c r="I7"/>
    </row>
    <row r="8" spans="2:24" ht="19.149999999999999" customHeight="1" x14ac:dyDescent="0.35">
      <c r="B8" s="60" t="s">
        <v>11</v>
      </c>
      <c r="C8" s="74">
        <f>UA_SQL_1!P2/UA_SQL_1!M2</f>
        <v>1492</v>
      </c>
      <c r="D8" s="75">
        <f>UA_SQL_1!H2/UA_SQL_1!E2</f>
        <v>0.76817488561260805</v>
      </c>
      <c r="E8" s="29">
        <f>SUMIF(EX_Goals!$B:$B,'PAGE_1 (4)'!#REF!,EX_Goals!$C:$C)</f>
        <v>0</v>
      </c>
      <c r="F8" s="80">
        <f>((UA_SQL_1!$P$2/UA_SQL_1!$M$2)-(SUMIF(OA_SQL_1!$A$1:$A$3,"DL",OA_SQL_1!$J$1:$J$3)/SUMIF(OA_SQL_1!$A$1:$A$3,"DL",OA_SQL_1!$I$1:$I$3)))*100</f>
        <v>149175.28008147824</v>
      </c>
      <c r="G8" s="80">
        <f>((UA_SQL_1!$P$2/UA_SQL_1!$M$2)-(SUMIF(OA_SQL_1!$A$1:$A$3,"AA",OA_SQL_1!$J$1:$J$3)/SUMIF(OA_SQL_1!$A$1:$A$3,"AA",OA_SQL_1!$I$1:$I$3)))*100</f>
        <v>149176.12532725278</v>
      </c>
      <c r="H8" s="51">
        <f>RANK!F4</f>
        <v>3</v>
      </c>
      <c r="I8"/>
    </row>
    <row r="9" spans="2:24" ht="19.899999999999999" customHeight="1" x14ac:dyDescent="0.3">
      <c r="B9" s="60" t="s">
        <v>10</v>
      </c>
      <c r="C9" s="74">
        <f>UA_SQL_1!O2/UA_SQL_1!M2</f>
        <v>13</v>
      </c>
      <c r="D9" s="75">
        <f>UA_SQL_1!G2/UA_SQL_1!E2</f>
        <v>0.74082358922216573</v>
      </c>
      <c r="E9" s="29">
        <f>SUMIF(EX_Goals!$B:$B,'PAGE_1 (4)'!#REF!,EX_Goals!$C:$C)</f>
        <v>0</v>
      </c>
      <c r="F9" s="72"/>
      <c r="G9" s="72"/>
      <c r="H9" s="72"/>
    </row>
    <row r="10" spans="2:24" ht="20.5" customHeight="1" x14ac:dyDescent="0.35">
      <c r="B10" s="59" t="s">
        <v>12</v>
      </c>
      <c r="C10" s="74">
        <f>UA_SQL_1!S2/UA_SQL_1!R2</f>
        <v>1.205904617713853</v>
      </c>
      <c r="D10" s="74">
        <f>UA_SQL_1!K2/UA_SQL_1!J2</f>
        <v>0.20030063885757235</v>
      </c>
      <c r="E10" s="29">
        <f>SUMIF(EX_Goals!$B:$B,'PAGE_1 (4)'!#REF!,EX_Goals!$F:$F)</f>
        <v>0</v>
      </c>
      <c r="F10" s="73"/>
      <c r="G10" s="73"/>
      <c r="H10" s="73"/>
    </row>
    <row r="11" spans="2:24" ht="19.899999999999999" customHeight="1" x14ac:dyDescent="0.3">
      <c r="B11" s="59" t="s">
        <v>13</v>
      </c>
      <c r="C11" s="76">
        <f>(UA_SQL_1!M2-UA_SQL_1!T2)/UA_SQL_1!M2</f>
        <v>-311</v>
      </c>
      <c r="D11" s="76">
        <f>(UA_SQL_1!E2-UA_SQL_1!L2)/UA_SQL_1!E2</f>
        <v>0.85653279105236402</v>
      </c>
      <c r="E11" s="62">
        <f>SUMIF(EX_Goals!$B:$B,'PAGE_1 (4)'!#REF!,EX_Goals!$G:$G)</f>
        <v>0</v>
      </c>
      <c r="F11" s="72"/>
      <c r="G11" s="72"/>
      <c r="H11" s="72"/>
    </row>
    <row r="12" spans="2:24" ht="19.899999999999999" customHeight="1" x14ac:dyDescent="0.3">
      <c r="B12" s="59" t="s">
        <v>63</v>
      </c>
      <c r="C12" s="83">
        <f>SUMIFS(TOTAL_DIVERTS_SQL_5!$B:$B,TOTAL_DIVERTS_SQL_5!A:A,"YEST")</f>
        <v>3</v>
      </c>
      <c r="D12" s="83">
        <f>SUMIFS(TOTAL_DIVERTS_SQL_5!$B:$B,TOTAL_DIVERTS_SQL_5!A:A,"MTD")</f>
        <v>9</v>
      </c>
      <c r="E12" s="82"/>
      <c r="F12" s="72"/>
      <c r="G12" s="72"/>
      <c r="H12" s="72"/>
    </row>
    <row r="13" spans="2:24" ht="19.899999999999999" customHeight="1" x14ac:dyDescent="0.3">
      <c r="B13" s="59" t="s">
        <v>65</v>
      </c>
      <c r="C13" s="83">
        <f>SUMIF(DIVERTS_RECOVERED_SQL_6!$A:$A,"YEST",DIVERTS_RECOVERED_SQL_6!$C:$C)</f>
        <v>1</v>
      </c>
      <c r="D13" s="83">
        <f>SUMIF(DIVERTS_RECOVERED_SQL_6!$A:$A,"MTD",DIVERTS_RECOVERED_SQL_6!$C:$C)</f>
        <v>6</v>
      </c>
      <c r="E13" s="82"/>
      <c r="F13" s="72"/>
      <c r="G13" s="72"/>
      <c r="H13" s="72"/>
      <c r="J13" s="57"/>
      <c r="K13" s="57"/>
      <c r="L13" s="57"/>
      <c r="M13" s="57"/>
      <c r="N13" s="57"/>
      <c r="O13" s="56"/>
      <c r="P13" s="56"/>
    </row>
    <row r="14" spans="2:24" ht="14.5" x14ac:dyDescent="0.35">
      <c r="L14"/>
      <c r="M14"/>
      <c r="N14"/>
      <c r="O14" s="57"/>
      <c r="P14" s="57"/>
      <c r="Q14" s="57"/>
      <c r="R14" s="57"/>
      <c r="S14" s="57"/>
      <c r="T14" s="57"/>
      <c r="U14" s="57"/>
      <c r="V14" s="57"/>
      <c r="W14" s="56"/>
      <c r="X14" s="56"/>
    </row>
    <row r="15" spans="2:24" ht="15" thickBot="1" x14ac:dyDescent="0.4">
      <c r="L15"/>
      <c r="M15"/>
      <c r="N15"/>
      <c r="O15" s="57"/>
      <c r="P15" s="57"/>
      <c r="Q15" s="57"/>
      <c r="R15" s="57"/>
      <c r="S15" s="57"/>
      <c r="T15" s="57"/>
      <c r="U15" s="57"/>
      <c r="V15" s="57"/>
      <c r="W15" s="56"/>
      <c r="X15" s="56"/>
    </row>
    <row r="16" spans="2:24" ht="19.149999999999999" customHeight="1" thickBot="1" x14ac:dyDescent="0.4">
      <c r="B16" s="287" t="s">
        <v>51</v>
      </c>
      <c r="C16" s="288"/>
      <c r="D16" s="288"/>
      <c r="E16" s="288"/>
      <c r="F16" s="288"/>
      <c r="G16" s="288"/>
      <c r="H16" s="288"/>
      <c r="I16" s="288"/>
      <c r="J16" s="288"/>
      <c r="K16" s="288"/>
      <c r="L16"/>
      <c r="M16"/>
      <c r="N16"/>
      <c r="O16" s="57"/>
      <c r="P16" s="57"/>
      <c r="Q16" s="57"/>
      <c r="R16" s="57"/>
      <c r="S16" s="57"/>
      <c r="T16" s="57"/>
      <c r="U16" s="57"/>
      <c r="V16" s="57"/>
      <c r="W16" s="56"/>
      <c r="X16" s="56"/>
    </row>
    <row r="17" spans="2:24" ht="19.149999999999999" customHeight="1" thickBot="1" x14ac:dyDescent="0.4">
      <c r="B17" s="61" t="s">
        <v>94</v>
      </c>
      <c r="C17" s="48" t="s">
        <v>55</v>
      </c>
      <c r="D17" s="45" t="s">
        <v>56</v>
      </c>
      <c r="E17" s="45" t="s">
        <v>52</v>
      </c>
      <c r="F17" s="45" t="s">
        <v>53</v>
      </c>
      <c r="G17" s="46" t="s">
        <v>7</v>
      </c>
      <c r="H17" s="102" t="s">
        <v>8</v>
      </c>
      <c r="I17" s="45" t="s">
        <v>52</v>
      </c>
      <c r="J17" s="45" t="s">
        <v>53</v>
      </c>
      <c r="K17" s="46" t="s">
        <v>7</v>
      </c>
      <c r="L17"/>
      <c r="M17"/>
      <c r="N17"/>
      <c r="O17" s="57"/>
      <c r="P17" s="57"/>
      <c r="Q17" s="57"/>
      <c r="R17" s="57"/>
      <c r="S17" s="57"/>
      <c r="T17" s="57"/>
      <c r="U17" s="56"/>
      <c r="V17" s="56"/>
    </row>
    <row r="18" spans="2:24" ht="19.149999999999999" customHeight="1" x14ac:dyDescent="0.35">
      <c r="B18" s="59" t="s">
        <v>95</v>
      </c>
      <c r="C18" s="29">
        <f>SUMIFS(UA_HUB_SQL_7!J:J,UA_HUB_SQL_7!$B:$B,'PAGE_1 (4)'!B18)/SUMIFS(UA_HUB_SQL_7!$F:$F,UA_HUB_SQL_7!$B:$B,'PAGE_1 (4)'!B18)</f>
        <v>0.85567010309278346</v>
      </c>
      <c r="D18" s="29">
        <f>SUMIFS(UA_HUB_SQL_7!K:K,UA_HUB_SQL_7!B:B,'PAGE_1 (4)'!B18)/SUMIFS(UA_HUB_SQL_7!F:F,UA_HUB_SQL_7!B:B,'PAGE_1 (4)'!B18)</f>
        <v>0.90206185567010311</v>
      </c>
      <c r="E18" s="293" t="s">
        <v>38</v>
      </c>
      <c r="F18" s="294"/>
      <c r="G18" s="111" t="s">
        <v>38</v>
      </c>
      <c r="H18" s="29">
        <f>SUMIFS(UA_HUB_SQL_7!G:G,UA_HUB_SQL_7!$B:$B,'PAGE_1 (4)'!B18)/SUMIFS(UA_HUB_SQL_7!$F:$F,UA_HUB_SQL_7!$B:$B,'PAGE_1 (4)'!B18)</f>
        <v>0</v>
      </c>
      <c r="I18" s="111" t="s">
        <v>38</v>
      </c>
      <c r="J18" s="111" t="s">
        <v>38</v>
      </c>
      <c r="K18" s="111" t="s">
        <v>38</v>
      </c>
      <c r="L18"/>
      <c r="M18"/>
      <c r="N18"/>
      <c r="O18" s="57"/>
      <c r="P18" s="57"/>
      <c r="Q18" s="57"/>
      <c r="R18" s="57"/>
      <c r="S18" s="57"/>
      <c r="T18" s="57"/>
      <c r="U18" s="56"/>
      <c r="V18" s="56"/>
    </row>
    <row r="19" spans="2:24" ht="19.149999999999999" customHeight="1" x14ac:dyDescent="0.35">
      <c r="B19" s="59" t="s">
        <v>96</v>
      </c>
      <c r="C19" s="29">
        <f>SUMIFS(UA_HUB_SQL_7!J:J,UA_HUB_SQL_7!$B:$B,'PAGE_1 (4)'!B19)/SUMIFS(UA_HUB_SQL_7!$F:$F,UA_HUB_SQL_7!$B:$B,'PAGE_1 (4)'!B19)</f>
        <v>0.68468468468468469</v>
      </c>
      <c r="D19" s="29">
        <f>SUMIFS(UA_HUB_SQL_7!K:K,UA_HUB_SQL_7!B:B,'PAGE_1 (4)'!B19)/SUMIFS(UA_HUB_SQL_7!F:F,UA_HUB_SQL_7!B:B,'PAGE_1 (4)'!B19)</f>
        <v>0.70270270270270274</v>
      </c>
      <c r="E19" s="291" t="s">
        <v>97</v>
      </c>
      <c r="F19" s="292"/>
      <c r="G19" s="51">
        <f>RANK!F9</f>
        <v>3</v>
      </c>
      <c r="H19" s="29">
        <f>SUMIFS(UA_HUB_SQL_7!G:G,UA_HUB_SQL_7!$B:$B,'PAGE_1 (4)'!B19)/SUMIFS(UA_HUB_SQL_7!$F:$F,UA_HUB_SQL_7!$B:$B,'PAGE_1 (4)'!B19)</f>
        <v>0</v>
      </c>
      <c r="I19" s="80">
        <f>IFERROR(((SUMIFS(UA_HUB_SQL_7!$G:$G,UA_HUB_SQL_7!$B:$B,'PAGE_1 (4)'!B19)/SUMIFS(UA_HUB_SQL_7!$F:$F,UA_HUB_SQL_7!$B:$B,'PAGE_1 (4)'!B19))-(SUMIFS(OA_SQL_2!$L:$L,OA_SQL_2!$A:$A,'PAGE_1 (4)'!B19,OA_SQL_2!$B:$B,"DL")/SUMIFS(OA_SQL_2!$J:$J,OA_SQL_2!$A:$A,'PAGE_1 (4)'!B19,OA_SQL_2!$B:$B,"DL")))*100,"-")</f>
        <v>-100</v>
      </c>
      <c r="J19" s="80">
        <f>IFERROR(((SUMIFS(UA_HUB_SQL_7!$G:$G,UA_HUB_SQL_7!$B:$B,'PAGE_1 (4)'!B19)/SUMIFS(UA_HUB_SQL_7!$F:$F,UA_HUB_SQL_7!$B:$B,'PAGE_1 (4)'!B19))-(SUMIFS(OA_SQL_2!$L:$L,OA_SQL_2!$A:$A,'PAGE_1 (4)'!B19,OA_SQL_2!$B:$B,"AA")/SUMIFS(OA_SQL_2!$J:$J,OA_SQL_2!$A:$A,'PAGE_1 (4)'!B19,OA_SQL_2!$B:$B,"AA")))*100,"-")</f>
        <v>-100</v>
      </c>
      <c r="K19" s="51">
        <f>RANK!F20</f>
        <v>1</v>
      </c>
      <c r="L19"/>
      <c r="M19"/>
      <c r="N19"/>
      <c r="O19" s="57"/>
      <c r="P19" s="57"/>
      <c r="Q19" s="57"/>
      <c r="R19" s="57"/>
      <c r="S19" s="57"/>
      <c r="T19" s="57"/>
      <c r="U19" s="56"/>
      <c r="V19" s="56"/>
    </row>
    <row r="20" spans="2:24" ht="19.149999999999999" customHeight="1" x14ac:dyDescent="0.35">
      <c r="B20" s="60" t="s">
        <v>98</v>
      </c>
      <c r="C20" s="29">
        <f>SUMIFS(UA_HUB_SQL_7!J:J,UA_HUB_SQL_7!$B:$B,'PAGE_1 (4)'!B20)/SUMIFS(UA_HUB_SQL_7!$F:$F,UA_HUB_SQL_7!$B:$B,'PAGE_1 (4)'!B20)</f>
        <v>0.68421052631578949</v>
      </c>
      <c r="D20" s="29">
        <f>SUMIFS(UA_HUB_SQL_7!K:K,UA_HUB_SQL_7!B:B,'PAGE_1 (4)'!B20)/SUMIFS(UA_HUB_SQL_7!F:F,UA_HUB_SQL_7!B:B,'PAGE_1 (4)'!B20)</f>
        <v>0.74436090225563911</v>
      </c>
      <c r="E20" s="291" t="s">
        <v>97</v>
      </c>
      <c r="F20" s="292"/>
      <c r="G20" s="51">
        <f>RANK!F10</f>
        <v>1</v>
      </c>
      <c r="H20" s="29">
        <f>SUMIFS(UA_HUB_SQL_7!G:G,UA_HUB_SQL_7!$B:$B,'PAGE_1 (4)'!B20)/SUMIFS(UA_HUB_SQL_7!$F:$F,UA_HUB_SQL_7!$B:$B,'PAGE_1 (4)'!B20)</f>
        <v>0</v>
      </c>
      <c r="I20" s="80">
        <f>IFERROR(((SUMIFS(UA_HUB_SQL_7!$G:$G,UA_HUB_SQL_7!$B:$B,'PAGE_1 (4)'!B20)/SUMIFS(UA_HUB_SQL_7!$F:$F,UA_HUB_SQL_7!$B:$B,'PAGE_1 (4)'!B20))-(SUMIFS(OA_SQL_2!$L:$L,OA_SQL_2!$A:$A,'PAGE_1 (4)'!B20,OA_SQL_2!$B:$B,"DL")/SUMIFS(OA_SQL_2!$J:$J,OA_SQL_2!$A:$A,'PAGE_1 (4)'!B20,OA_SQL_2!$B:$B,"DL")))*100,"-")</f>
        <v>-100</v>
      </c>
      <c r="J20" s="80">
        <f>IFERROR(((SUMIFS(UA_HUB_SQL_7!$G:$G,UA_HUB_SQL_7!$B:$B,'PAGE_1 (4)'!B20)/SUMIFS(UA_HUB_SQL_7!$F:$F,UA_HUB_SQL_7!$B:$B,'PAGE_1 (4)'!B20))-(SUMIFS(OA_SQL_2!$L:$L,OA_SQL_2!$A:$A,'PAGE_1 (4)'!B20,OA_SQL_2!$B:$B,"AA")/SUMIFS(OA_SQL_2!$J:$J,OA_SQL_2!$A:$A,'PAGE_1 (4)'!B20,OA_SQL_2!$B:$B,"AA")))*100,"-")</f>
        <v>-98.969072164948457</v>
      </c>
      <c r="K20" s="51">
        <f>RANK!F21</f>
        <v>1</v>
      </c>
      <c r="L20"/>
      <c r="M20"/>
      <c r="N20"/>
      <c r="O20" s="57"/>
      <c r="P20" s="57"/>
      <c r="Q20" s="57"/>
      <c r="R20" s="57"/>
      <c r="S20" s="57"/>
      <c r="T20" s="57"/>
      <c r="U20" s="56"/>
      <c r="V20" s="56"/>
    </row>
    <row r="21" spans="2:24" ht="19.149999999999999" customHeight="1" x14ac:dyDescent="0.35">
      <c r="B21" s="60" t="s">
        <v>99</v>
      </c>
      <c r="C21" s="29">
        <f>SUMIFS(UA_HUB_SQL_7!J:J,UA_HUB_SQL_7!$B:$B,'PAGE_1 (4)'!B21)/SUMIFS(UA_HUB_SQL_7!$F:$F,UA_HUB_SQL_7!$B:$B,'PAGE_1 (4)'!B21)</f>
        <v>0.82857142857142863</v>
      </c>
      <c r="D21" s="29">
        <f>SUMIFS(UA_HUB_SQL_7!K:K,UA_HUB_SQL_7!B:B,'PAGE_1 (4)'!B21)/SUMIFS(UA_HUB_SQL_7!F:F,UA_HUB_SQL_7!B:B,'PAGE_1 (4)'!B21)</f>
        <v>0.8571428571428571</v>
      </c>
      <c r="E21" s="291" t="s">
        <v>100</v>
      </c>
      <c r="F21" s="292"/>
      <c r="G21" s="51">
        <f>RANK!F11</f>
        <v>2</v>
      </c>
      <c r="H21" s="29">
        <f>SUMIFS(UA_HUB_SQL_7!G:G,UA_HUB_SQL_7!$B:$B,'PAGE_1 (4)'!B21)/SUMIFS(UA_HUB_SQL_7!$F:$F,UA_HUB_SQL_7!$B:$B,'PAGE_1 (4)'!B21)</f>
        <v>0</v>
      </c>
      <c r="I21" s="111" t="s">
        <v>38</v>
      </c>
      <c r="J21" s="80">
        <f>IFERROR(((SUMIFS(UA_HUB_SQL_7!$G:$G,UA_HUB_SQL_7!$B:$B,'PAGE_1 (4)'!B21)/SUMIFS(UA_HUB_SQL_7!$F:$F,UA_HUB_SQL_7!$B:$B,'PAGE_1 (4)'!B21))-(SUMIFS(OA_SQL_2!$L:$L,OA_SQL_2!$A:$A,'PAGE_1 (4)'!B21,OA_SQL_2!$B:$B,"AA")/SUMIFS(OA_SQL_2!$J:$J,OA_SQL_2!$A:$A,'PAGE_1 (4)'!B21,OA_SQL_2!$B:$B,"AA")))*100,"-")</f>
        <v>-100</v>
      </c>
      <c r="K21" s="51">
        <f>RANK!F22</f>
        <v>1</v>
      </c>
      <c r="L21"/>
      <c r="M21"/>
      <c r="N21"/>
      <c r="O21" s="57"/>
      <c r="P21" s="57"/>
      <c r="Q21" s="57"/>
      <c r="R21" s="57"/>
      <c r="S21" s="57"/>
      <c r="T21" s="57"/>
      <c r="U21" s="56"/>
      <c r="V21" s="56"/>
    </row>
    <row r="22" spans="2:24" ht="19.149999999999999" customHeight="1" x14ac:dyDescent="0.35">
      <c r="B22" s="59" t="s">
        <v>101</v>
      </c>
      <c r="C22" s="29">
        <f>SUMIFS(UA_HUB_SQL_7!J:J,UA_HUB_SQL_7!$B:$B,'PAGE_1 (4)'!B22)/SUMIFS(UA_HUB_SQL_7!$F:$F,UA_HUB_SQL_7!$B:$B,'PAGE_1 (4)'!B22)</f>
        <v>0.83333333333333337</v>
      </c>
      <c r="D22" s="29">
        <f>SUMIFS(UA_HUB_SQL_7!K:K,UA_HUB_SQL_7!B:B,'PAGE_1 (4)'!B22)/SUMIFS(UA_HUB_SQL_7!F:F,UA_HUB_SQL_7!B:B,'PAGE_1 (4)'!B22)</f>
        <v>0.8666666666666667</v>
      </c>
      <c r="E22" s="291" t="s">
        <v>97</v>
      </c>
      <c r="F22" s="292"/>
      <c r="G22" s="51">
        <f>RANK!F12</f>
        <v>2</v>
      </c>
      <c r="H22" s="29">
        <f>SUMIFS(UA_HUB_SQL_7!G:G,UA_HUB_SQL_7!$B:$B,'PAGE_1 (4)'!B22)/SUMIFS(UA_HUB_SQL_7!$F:$F,UA_HUB_SQL_7!$B:$B,'PAGE_1 (4)'!B22)</f>
        <v>0</v>
      </c>
      <c r="I22" s="80">
        <f>IFERROR(((SUMIFS(UA_HUB_SQL_7!$G:$G,UA_HUB_SQL_7!$B:$B,'PAGE_1 (4)'!B22)/SUMIFS(UA_HUB_SQL_7!$F:$F,UA_HUB_SQL_7!$B:$B,'PAGE_1 (4)'!B22))-(SUMIFS(OA_SQL_2!$L:$L,OA_SQL_2!$A:$A,'PAGE_1 (4)'!B22,OA_SQL_2!$B:$B,"DL")/SUMIFS(OA_SQL_2!$J:$J,OA_SQL_2!$A:$A,'PAGE_1 (4)'!B22,OA_SQL_2!$B:$B,"DL")))*100,"-")</f>
        <v>-100</v>
      </c>
      <c r="J22" s="80">
        <f>IFERROR(((SUMIFS(UA_HUB_SQL_7!$G:$G,UA_HUB_SQL_7!$B:$B,'PAGE_1 (4)'!B22)/SUMIFS(UA_HUB_SQL_7!$F:$F,UA_HUB_SQL_7!$B:$B,'PAGE_1 (4)'!B22))-(SUMIFS(OA_SQL_2!$L:$L,OA_SQL_2!$A:$A,'PAGE_1 (4)'!B22,OA_SQL_2!$B:$B,"AA")/SUMIFS(OA_SQL_2!$J:$J,OA_SQL_2!$A:$A,'PAGE_1 (4)'!B22,OA_SQL_2!$B:$B,"AA")))*100,"-")</f>
        <v>-100</v>
      </c>
      <c r="K22" s="51">
        <f>RANK!F23</f>
        <v>1</v>
      </c>
      <c r="L22"/>
      <c r="M22"/>
      <c r="N22"/>
      <c r="O22" s="57"/>
      <c r="P22" s="57"/>
      <c r="Q22" s="57"/>
      <c r="R22" s="57"/>
      <c r="S22" s="57"/>
      <c r="T22" s="57"/>
      <c r="U22" s="56"/>
      <c r="V22" s="56"/>
    </row>
    <row r="23" spans="2:24" ht="19.149999999999999" customHeight="1" x14ac:dyDescent="0.3">
      <c r="B23" s="60" t="s">
        <v>102</v>
      </c>
      <c r="C23" s="29">
        <f>SUMIFS(UA_HUB_SQL_7!J:J,UA_HUB_SQL_7!$B:$B,'PAGE_1 (4)'!B23)/SUMIFS(UA_HUB_SQL_7!$F:$F,UA_HUB_SQL_7!$B:$B,'PAGE_1 (4)'!B23)</f>
        <v>0.71851851851851856</v>
      </c>
      <c r="D23" s="29">
        <f>SUMIFS(UA_HUB_SQL_7!K:K,UA_HUB_SQL_7!B:B,'PAGE_1 (4)'!B23)/SUMIFS(UA_HUB_SQL_7!F:F,UA_HUB_SQL_7!B:B,'PAGE_1 (4)'!B23)</f>
        <v>0.79259259259259263</v>
      </c>
      <c r="E23" s="291" t="s">
        <v>100</v>
      </c>
      <c r="F23" s="292"/>
      <c r="G23" s="51">
        <f>RANK!F13</f>
        <v>1</v>
      </c>
      <c r="H23" s="29">
        <f>SUMIFS(UA_HUB_SQL_7!G:G,UA_HUB_SQL_7!$B:$B,'PAGE_1 (4)'!B23)/SUMIFS(UA_HUB_SQL_7!$F:$F,UA_HUB_SQL_7!$B:$B,'PAGE_1 (4)'!B23)</f>
        <v>0</v>
      </c>
      <c r="I23" s="111" t="s">
        <v>38</v>
      </c>
      <c r="J23" s="80">
        <f>IFERROR(((SUMIFS(UA_HUB_SQL_7!$G:$G,UA_HUB_SQL_7!$B:$B,'PAGE_1 (4)'!B23)/SUMIFS(UA_HUB_SQL_7!$F:$F,UA_HUB_SQL_7!$B:$B,'PAGE_1 (4)'!B23))-(SUMIFS(OA_SQL_2!$L:$L,OA_SQL_2!$A:$A,'PAGE_1 (4)'!B23,OA_SQL_2!$B:$B,"AA")/SUMIFS(OA_SQL_2!$J:$J,OA_SQL_2!$A:$A,'PAGE_1 (4)'!B23,OA_SQL_2!$B:$B,"AA")))*100,"-")</f>
        <v>-100</v>
      </c>
      <c r="K23" s="51">
        <f>RANK!F24</f>
        <v>1</v>
      </c>
      <c r="L23" s="57"/>
      <c r="M23" s="57"/>
      <c r="N23" s="57"/>
      <c r="O23" s="57"/>
      <c r="P23" s="57"/>
      <c r="Q23" s="57"/>
      <c r="R23" s="57"/>
      <c r="S23" s="57"/>
      <c r="T23" s="57"/>
      <c r="U23" s="56"/>
      <c r="V23" s="56"/>
    </row>
    <row r="24" spans="2:24" ht="19.149999999999999" customHeight="1" x14ac:dyDescent="0.3">
      <c r="B24" s="59" t="s">
        <v>103</v>
      </c>
      <c r="C24" s="29">
        <f>SUMIFS(UA_HUB_SQL_7!J:J,UA_HUB_SQL_7!$B:$B,'PAGE_1 (4)'!B24)/SUMIFS(UA_HUB_SQL_7!$F:$F,UA_HUB_SQL_7!$B:$B,'PAGE_1 (4)'!B24)</f>
        <v>0.27419354838709675</v>
      </c>
      <c r="D24" s="29">
        <f>SUMIFS(UA_HUB_SQL_7!K:K,UA_HUB_SQL_7!B:B,'PAGE_1 (4)'!B24)/SUMIFS(UA_HUB_SQL_7!F:F,UA_HUB_SQL_7!B:B,'PAGE_1 (4)'!B24)</f>
        <v>0.29032258064516131</v>
      </c>
      <c r="E24" s="291" t="s">
        <v>104</v>
      </c>
      <c r="F24" s="292"/>
      <c r="G24" s="111" t="s">
        <v>38</v>
      </c>
      <c r="H24" s="29">
        <f>SUMIFS(UA_HUB_SQL_7!G:G,UA_HUB_SQL_7!$B:$B,'PAGE_1 (4)'!B24)/SUMIFS(UA_HUB_SQL_7!$F:$F,UA_HUB_SQL_7!$B:$B,'PAGE_1 (4)'!B24)</f>
        <v>3.2258064516129031E-2</v>
      </c>
      <c r="I24" s="111" t="s">
        <v>38</v>
      </c>
      <c r="J24" s="111" t="s">
        <v>38</v>
      </c>
      <c r="K24" s="111" t="s">
        <v>38</v>
      </c>
      <c r="L24" s="57"/>
      <c r="M24" s="57"/>
      <c r="N24" s="57"/>
      <c r="O24" s="57"/>
      <c r="P24" s="57"/>
      <c r="Q24" s="57"/>
      <c r="R24" s="57"/>
      <c r="S24" s="57"/>
      <c r="T24" s="57"/>
      <c r="U24" s="56"/>
      <c r="V24" s="56"/>
    </row>
    <row r="25" spans="2:24" x14ac:dyDescent="0.3">
      <c r="N25" s="57"/>
      <c r="O25" s="57"/>
      <c r="P25" s="57"/>
      <c r="Q25" s="57"/>
      <c r="R25" s="57"/>
      <c r="S25" s="57"/>
      <c r="T25" s="57"/>
      <c r="U25" s="57"/>
      <c r="V25" s="57"/>
      <c r="W25" s="56"/>
      <c r="X25" s="56"/>
    </row>
    <row r="26" spans="2:24" ht="12.5" thickBot="1" x14ac:dyDescent="0.35">
      <c r="C26" s="2"/>
      <c r="Q26" s="57"/>
      <c r="R26" s="57"/>
      <c r="S26" s="57"/>
      <c r="T26" s="57"/>
      <c r="U26" s="57"/>
      <c r="V26" s="57"/>
      <c r="W26" s="56"/>
      <c r="X26" s="56"/>
    </row>
    <row r="27" spans="2:24" ht="16" thickBot="1" x14ac:dyDescent="0.35">
      <c r="B27" s="285" t="s">
        <v>14</v>
      </c>
      <c r="C27" s="286"/>
      <c r="D27" s="286"/>
      <c r="E27" s="286"/>
      <c r="F27" s="286"/>
      <c r="G27" s="286"/>
      <c r="H27" s="286"/>
      <c r="I27" s="286"/>
      <c r="J27" s="286"/>
      <c r="K27" s="286"/>
      <c r="L27" s="286"/>
      <c r="M27" s="286"/>
      <c r="N27" s="286"/>
      <c r="O27" s="286"/>
      <c r="P27" s="286"/>
      <c r="Q27" s="57"/>
      <c r="R27" s="56"/>
      <c r="S27" s="56"/>
      <c r="T27" s="56"/>
      <c r="U27" s="56"/>
      <c r="V27" s="57"/>
      <c r="W27" s="56"/>
      <c r="X27" s="56"/>
    </row>
    <row r="28" spans="2:24" ht="30.65" customHeight="1" thickBot="1" x14ac:dyDescent="0.35">
      <c r="B28" s="67" t="s">
        <v>15</v>
      </c>
      <c r="C28" s="68" t="s">
        <v>67</v>
      </c>
      <c r="D28" s="69" t="s">
        <v>68</v>
      </c>
      <c r="E28" s="69" t="s">
        <v>69</v>
      </c>
      <c r="F28" s="69" t="s">
        <v>70</v>
      </c>
      <c r="G28" s="69" t="s">
        <v>71</v>
      </c>
      <c r="H28" s="69" t="s">
        <v>72</v>
      </c>
      <c r="I28" s="69" t="s">
        <v>73</v>
      </c>
      <c r="J28" s="69" t="s">
        <v>23</v>
      </c>
      <c r="K28" s="69" t="s">
        <v>24</v>
      </c>
      <c r="L28" s="69" t="s">
        <v>74</v>
      </c>
      <c r="M28" s="70" t="s">
        <v>25</v>
      </c>
      <c r="N28" s="71" t="s">
        <v>26</v>
      </c>
      <c r="O28" s="71" t="s">
        <v>75</v>
      </c>
      <c r="P28" s="71" t="s">
        <v>28</v>
      </c>
      <c r="Q28" s="57"/>
      <c r="R28" s="56"/>
      <c r="S28" s="56"/>
      <c r="T28" s="56"/>
      <c r="U28" s="56"/>
      <c r="V28" s="57"/>
      <c r="W28" s="56"/>
      <c r="X28" s="56"/>
    </row>
    <row r="29" spans="2:24" ht="14.5" x14ac:dyDescent="0.35">
      <c r="B29" s="63" t="s">
        <v>33</v>
      </c>
      <c r="C29" s="77">
        <f>SUMIF(SCH_DEP_SQL_4!$A:$A,'PAGE_1 (4)'!R29,SCH_DEP_SQL_4!$E:$E)</f>
        <v>0</v>
      </c>
      <c r="D29" s="12" t="str">
        <f>IF(SUMIFS(CNXL_SQL_2!$F:$F,CNXL_SQL_2!$A:$A,'PAGE_1 (4)'!$R29,CNXL_SQL_2!$D:$D,'PAGE_1 (4)'!$S$29)=0,"",SUMIFS(CNXL_SQL_2!$F:$F,CNXL_SQL_2!$A:$A,'PAGE_1 (4)'!$R29,CNXL_SQL_2!$D:$D,'PAGE_1 (4)'!$S$29))</f>
        <v/>
      </c>
      <c r="E29" s="12" t="str">
        <f>IF(SUMIFS(CNXL_SQL_2!$F:$F,CNXL_SQL_2!$A:$A,'PAGE_1 (4)'!$R29,CNXL_SQL_2!$D:$D,'PAGE_1 (4)'!$S$30)=0,"",SUMIFS(CNXL_SQL_2!$F:$F,CNXL_SQL_2!$A:$A,'PAGE_1 (4)'!$R29,CNXL_SQL_2!$D:$D,'PAGE_1 (4)'!$S$30))</f>
        <v/>
      </c>
      <c r="F29" s="12" t="str">
        <f>IF(SUMIFS(CNXL_SQL_2!$F:$F,CNXL_SQL_2!$A:$A,'PAGE_1 (4)'!$R29,CNXL_SQL_2!$D:$D,'PAGE_1 (4)'!$S$31)=0,"",SUMIFS(CNXL_SQL_2!$F:$F,CNXL_SQL_2!$A:$A,'PAGE_1 (4)'!$R29,CNXL_SQL_2!$D:$D,'PAGE_1 (4)'!$S$31))</f>
        <v/>
      </c>
      <c r="G29" s="12" t="str">
        <f>IF(SUMIFS(CNXL_SQL_2!$F:$F,CNXL_SQL_2!$A:$A,'PAGE_1 (4)'!$R29,CNXL_SQL_2!$D:$D,'PAGE_1 (4)'!$S$32)=0,"",SUMIFS(CNXL_SQL_2!$F:$F,CNXL_SQL_2!$A:$A,'PAGE_1 (4)'!$R29,CNXL_SQL_2!$D:$D,'PAGE_1 (4)'!$S$32))</f>
        <v/>
      </c>
      <c r="H29" s="12" t="str">
        <f>IF(SUMIFS(CNXL_SQL_2!$F:$F,CNXL_SQL_2!$A:$A,'PAGE_1 (4)'!$R29,CNXL_SQL_2!$D:$D,'PAGE_1 (4)'!$S$33)=0,"",SUMIFS(CNXL_SQL_2!$F:$F,CNXL_SQL_2!$A:$A,'PAGE_1 (4)'!$R29,CNXL_SQL_2!$D:$D,'PAGE_1 (4)'!$S$33))</f>
        <v/>
      </c>
      <c r="I29" s="12" t="str">
        <f>IF(SUMIFS(CNXL_SQL_2!$F:$F,CNXL_SQL_2!$A:$A,'PAGE_1 (4)'!$R29,CNXL_SQL_2!$D:$D,'PAGE_1 (4)'!$S$34)=0,"",SUMIFS(CNXL_SQL_2!$F:$F,CNXL_SQL_2!$A:$A,'PAGE_1 (4)'!$R29,CNXL_SQL_2!$D:$D,'PAGE_1 (4)'!$S$34))</f>
        <v/>
      </c>
      <c r="J29" s="12" t="str">
        <f>IF(SUMIFS(CNXL_SQL_2!$F:$F,CNXL_SQL_2!$A:$A,'PAGE_1 (4)'!$R29,CNXL_SQL_2!$D:$D,'PAGE_1 (4)'!$S$35)=0,"",SUMIFS(CNXL_SQL_2!$F:$F,CNXL_SQL_2!$A:$A,'PAGE_1 (4)'!$R29,CNXL_SQL_2!$D:$D,'PAGE_1 (4)'!$S$35))</f>
        <v/>
      </c>
      <c r="K29" s="12" t="str">
        <f>IF(SUMIFS(CNXL_SQL_2!$F:$F,CNXL_SQL_2!$A:$A,'PAGE_1 (4)'!$R29,CNXL_SQL_2!$D:$D,'PAGE_1 (4)'!$S$36)=0,"",SUMIFS(CNXL_SQL_2!$F:$F,CNXL_SQL_2!$A:$A,'PAGE_1 (4)'!$R29,CNXL_SQL_2!$D:$D,'PAGE_1 (4)'!$S$36))</f>
        <v/>
      </c>
      <c r="L29" s="12" t="str">
        <f>IF(SUMIFS(CNXL_SQL_2!$F:$F,CNXL_SQL_2!$A:$A,'PAGE_1 (4)'!$R29,CNXL_SQL_2!$D:$D,'PAGE_1 (4)'!$S$37)=0,"",SUMIFS(CNXL_SQL_2!$F:$F,CNXL_SQL_2!$A:$A,'PAGE_1 (4)'!$R29,CNXL_SQL_2!$D:$D,'PAGE_1 (4)'!$S$37))</f>
        <v/>
      </c>
      <c r="M29" s="37" t="str">
        <f>IF(SUM(D29:L29)=0,"",SUM(D29:L29))</f>
        <v/>
      </c>
      <c r="N29" s="37" t="str">
        <f>ES_MATRIX!K3</f>
        <v/>
      </c>
      <c r="O29" s="14" t="str">
        <f>IFERROR(M29-ES_MATRIX!L3,"")</f>
        <v/>
      </c>
      <c r="P29" s="40" t="str">
        <f>IF(SUMIF(CNXL_SQL_2!$E:$E,'PAGE_1 (4)'!R29,CNXL_SQL_2!$F:$F)=0,"",SUMIF(CNXL_SQL_2!$E:$E,'PAGE_1 (4)'!R29,CNXL_SQL_2!$F:$F))</f>
        <v/>
      </c>
      <c r="Q29" s="57"/>
      <c r="R29" s="58" t="s">
        <v>76</v>
      </c>
      <c r="S29" s="58" t="s">
        <v>77</v>
      </c>
      <c r="T29" s="56"/>
      <c r="U29" s="56"/>
      <c r="V29" s="57"/>
      <c r="W29" s="56"/>
      <c r="X29" s="56"/>
    </row>
    <row r="30" spans="2:24" ht="14.5" x14ac:dyDescent="0.35">
      <c r="B30" s="64" t="s">
        <v>35</v>
      </c>
      <c r="C30" s="78">
        <f>SUMIF(SCH_DEP_SQL_4!$A:$A,'PAGE_1 (4)'!R30,SCH_DEP_SQL_4!$E:$E)</f>
        <v>972</v>
      </c>
      <c r="D30" s="17">
        <f>IF(SUMIFS(CNXL_SQL_2!$F:$F,CNXL_SQL_2!$A:$A,'PAGE_1 (4)'!$R30,CNXL_SQL_2!$D:$D,'PAGE_1 (4)'!$S$29)=0,"",SUMIFS(CNXL_SQL_2!$F:$F,CNXL_SQL_2!$A:$A,'PAGE_1 (4)'!$R30,CNXL_SQL_2!$D:$D,'PAGE_1 (4)'!$S$29))</f>
        <v>5</v>
      </c>
      <c r="E30" s="17" t="str">
        <f>IF(SUMIFS(CNXL_SQL_2!$F:$F,CNXL_SQL_2!$A:$A,'PAGE_1 (4)'!$R30,CNXL_SQL_2!$D:$D,'PAGE_1 (4)'!$S$30)=0,"",SUMIFS(CNXL_SQL_2!$F:$F,CNXL_SQL_2!$A:$A,'PAGE_1 (4)'!$R30,CNXL_SQL_2!$D:$D,'PAGE_1 (4)'!$S$30))</f>
        <v/>
      </c>
      <c r="F30" s="17" t="str">
        <f>IF(SUMIFS(CNXL_SQL_2!$F:$F,CNXL_SQL_2!$A:$A,'PAGE_1 (4)'!$R30,CNXL_SQL_2!$D:$D,'PAGE_1 (4)'!$S$31)=0,"",SUMIFS(CNXL_SQL_2!$F:$F,CNXL_SQL_2!$A:$A,'PAGE_1 (4)'!$R30,CNXL_SQL_2!$D:$D,'PAGE_1 (4)'!$S$31))</f>
        <v/>
      </c>
      <c r="G30" s="17" t="str">
        <f>IF(SUMIFS(CNXL_SQL_2!$F:$F,CNXL_SQL_2!$A:$A,'PAGE_1 (4)'!$R30,CNXL_SQL_2!$D:$D,'PAGE_1 (4)'!$S$32)=0,"",SUMIFS(CNXL_SQL_2!$F:$F,CNXL_SQL_2!$A:$A,'PAGE_1 (4)'!$R30,CNXL_SQL_2!$D:$D,'PAGE_1 (4)'!$S$32))</f>
        <v/>
      </c>
      <c r="H30" s="17" t="str">
        <f>IF(SUMIFS(CNXL_SQL_2!$F:$F,CNXL_SQL_2!$A:$A,'PAGE_1 (4)'!$R30,CNXL_SQL_2!$D:$D,'PAGE_1 (4)'!$S$33)=0,"",SUMIFS(CNXL_SQL_2!$F:$F,CNXL_SQL_2!$A:$A,'PAGE_1 (4)'!$R30,CNXL_SQL_2!$D:$D,'PAGE_1 (4)'!$S$33))</f>
        <v/>
      </c>
      <c r="I30" s="17" t="str">
        <f>IF(SUMIFS(CNXL_SQL_2!$F:$F,CNXL_SQL_2!$A:$A,'PAGE_1 (4)'!$R30,CNXL_SQL_2!$D:$D,'PAGE_1 (4)'!$S$34)=0,"",SUMIFS(CNXL_SQL_2!$F:$F,CNXL_SQL_2!$A:$A,'PAGE_1 (4)'!$R30,CNXL_SQL_2!$D:$D,'PAGE_1 (4)'!$S$34))</f>
        <v/>
      </c>
      <c r="J30" s="17" t="str">
        <f>IF(SUMIFS(CNXL_SQL_2!$F:$F,CNXL_SQL_2!$A:$A,'PAGE_1 (4)'!$R30,CNXL_SQL_2!$D:$D,'PAGE_1 (4)'!$S$35)=0,"",SUMIFS(CNXL_SQL_2!$F:$F,CNXL_SQL_2!$A:$A,'PAGE_1 (4)'!$R30,CNXL_SQL_2!$D:$D,'PAGE_1 (4)'!$S$35))</f>
        <v/>
      </c>
      <c r="K30" s="17" t="str">
        <f>IF(SUMIFS(CNXL_SQL_2!$F:$F,CNXL_SQL_2!$A:$A,'PAGE_1 (4)'!$R30,CNXL_SQL_2!$D:$D,'PAGE_1 (4)'!$S$36)=0,"",SUMIFS(CNXL_SQL_2!$F:$F,CNXL_SQL_2!$A:$A,'PAGE_1 (4)'!$R30,CNXL_SQL_2!$D:$D,'PAGE_1 (4)'!$S$36))</f>
        <v/>
      </c>
      <c r="L30" s="17" t="str">
        <f>IF(SUMIFS(CNXL_SQL_2!$F:$F,CNXL_SQL_2!$A:$A,'PAGE_1 (4)'!$R30,CNXL_SQL_2!$D:$D,'PAGE_1 (4)'!$S$37)=0,"",SUMIFS(CNXL_SQL_2!$F:$F,CNXL_SQL_2!$A:$A,'PAGE_1 (4)'!$R30,CNXL_SQL_2!$D:$D,'PAGE_1 (4)'!$S$37))</f>
        <v/>
      </c>
      <c r="M30" s="18">
        <f t="shared" ref="M30:M36" si="0">IF(SUM(D30:L30)=0,"",SUM(D30:L30))</f>
        <v>5</v>
      </c>
      <c r="N30" s="18" t="str">
        <f>ES_MATRIX!K4</f>
        <v/>
      </c>
      <c r="O30" s="18">
        <f>IFERROR(M30-ES_MATRIX!L4,"")</f>
        <v>5</v>
      </c>
      <c r="P30" s="16" t="str">
        <f>IF(SUMIF(CNXL_SQL_2!$E:$E,'PAGE_1 (4)'!R30,CNXL_SQL_2!$F:$F)=0,"",SUMIF(CNXL_SQL_2!$E:$E,'PAGE_1 (4)'!R30,CNXL_SQL_2!$F:$F))</f>
        <v/>
      </c>
      <c r="Q30" s="57"/>
      <c r="R30" s="56" t="s">
        <v>78</v>
      </c>
      <c r="S30" s="58" t="s">
        <v>79</v>
      </c>
      <c r="T30" s="56"/>
      <c r="U30" s="56"/>
      <c r="V30" s="57"/>
      <c r="W30" s="56"/>
      <c r="X30" s="56"/>
    </row>
    <row r="31" spans="2:24" ht="14.5" x14ac:dyDescent="0.35">
      <c r="B31" s="63" t="s">
        <v>37</v>
      </c>
      <c r="C31" s="77">
        <f>SUMIF(SCH_DEP_SQL_4!$A:$A,'PAGE_1 (4)'!R31,SCH_DEP_SQL_4!$E:$E)</f>
        <v>0</v>
      </c>
      <c r="D31" s="12" t="str">
        <f>IF(SUMIFS(CNXL_SQL_2!$F:$F,CNXL_SQL_2!$A:$A,'PAGE_1 (4)'!$R31,CNXL_SQL_2!$D:$D,'PAGE_1 (4)'!$S$29)=0,"",SUMIFS(CNXL_SQL_2!$F:$F,CNXL_SQL_2!$A:$A,'PAGE_1 (4)'!$R31,CNXL_SQL_2!$D:$D,'PAGE_1 (4)'!$S$29))</f>
        <v/>
      </c>
      <c r="E31" s="12" t="str">
        <f>IF(SUMIFS(CNXL_SQL_2!$F:$F,CNXL_SQL_2!$A:$A,'PAGE_1 (4)'!$R31,CNXL_SQL_2!$D:$D,'PAGE_1 (4)'!$S$30)=0,"",SUMIFS(CNXL_SQL_2!$F:$F,CNXL_SQL_2!$A:$A,'PAGE_1 (4)'!$R31,CNXL_SQL_2!$D:$D,'PAGE_1 (4)'!$S$30))</f>
        <v/>
      </c>
      <c r="F31" s="12" t="str">
        <f>IF(SUMIFS(CNXL_SQL_2!$F:$F,CNXL_SQL_2!$A:$A,'PAGE_1 (4)'!$R31,CNXL_SQL_2!$D:$D,'PAGE_1 (4)'!$S$31)=0,"",SUMIFS(CNXL_SQL_2!$F:$F,CNXL_SQL_2!$A:$A,'PAGE_1 (4)'!$R31,CNXL_SQL_2!$D:$D,'PAGE_1 (4)'!$S$31))</f>
        <v/>
      </c>
      <c r="G31" s="12" t="str">
        <f>IF(SUMIFS(CNXL_SQL_2!$F:$F,CNXL_SQL_2!$A:$A,'PAGE_1 (4)'!$R31,CNXL_SQL_2!$D:$D,'PAGE_1 (4)'!$S$32)=0,"",SUMIFS(CNXL_SQL_2!$F:$F,CNXL_SQL_2!$A:$A,'PAGE_1 (4)'!$R31,CNXL_SQL_2!$D:$D,'PAGE_1 (4)'!$S$32))</f>
        <v/>
      </c>
      <c r="H31" s="12" t="str">
        <f>IF(SUMIFS(CNXL_SQL_2!$F:$F,CNXL_SQL_2!$A:$A,'PAGE_1 (4)'!$R31,CNXL_SQL_2!$D:$D,'PAGE_1 (4)'!$S$33)=0,"",SUMIFS(CNXL_SQL_2!$F:$F,CNXL_SQL_2!$A:$A,'PAGE_1 (4)'!$R31,CNXL_SQL_2!$D:$D,'PAGE_1 (4)'!$S$33))</f>
        <v/>
      </c>
      <c r="I31" s="12" t="str">
        <f>IF(SUMIFS(CNXL_SQL_2!$F:$F,CNXL_SQL_2!$A:$A,'PAGE_1 (4)'!$R31,CNXL_SQL_2!$D:$D,'PAGE_1 (4)'!$S$34)=0,"",SUMIFS(CNXL_SQL_2!$F:$F,CNXL_SQL_2!$A:$A,'PAGE_1 (4)'!$R31,CNXL_SQL_2!$D:$D,'PAGE_1 (4)'!$S$34))</f>
        <v/>
      </c>
      <c r="J31" s="12" t="str">
        <f>IF(SUMIFS(CNXL_SQL_2!$F:$F,CNXL_SQL_2!$A:$A,'PAGE_1 (4)'!$R31,CNXL_SQL_2!$D:$D,'PAGE_1 (4)'!$S$35)=0,"",SUMIFS(CNXL_SQL_2!$F:$F,CNXL_SQL_2!$A:$A,'PAGE_1 (4)'!$R31,CNXL_SQL_2!$D:$D,'PAGE_1 (4)'!$S$35))</f>
        <v/>
      </c>
      <c r="K31" s="12" t="str">
        <f>IF(SUMIFS(CNXL_SQL_2!$F:$F,CNXL_SQL_2!$A:$A,'PAGE_1 (4)'!$R31,CNXL_SQL_2!$D:$D,'PAGE_1 (4)'!$S$36)=0,"",SUMIFS(CNXL_SQL_2!$F:$F,CNXL_SQL_2!$A:$A,'PAGE_1 (4)'!$R31,CNXL_SQL_2!$D:$D,'PAGE_1 (4)'!$S$36))</f>
        <v/>
      </c>
      <c r="L31" s="12" t="str">
        <f>IF(SUMIFS(CNXL_SQL_2!$F:$F,CNXL_SQL_2!$A:$A,'PAGE_1 (4)'!$R31,CNXL_SQL_2!$D:$D,'PAGE_1 (4)'!$S$37)=0,"",SUMIFS(CNXL_SQL_2!$F:$F,CNXL_SQL_2!$A:$A,'PAGE_1 (4)'!$R31,CNXL_SQL_2!$D:$D,'PAGE_1 (4)'!$S$37))</f>
        <v/>
      </c>
      <c r="M31" s="42" t="str">
        <f t="shared" si="0"/>
        <v/>
      </c>
      <c r="N31" s="38" t="str">
        <f>ES_MATRIX!K5</f>
        <v/>
      </c>
      <c r="O31" s="14" t="str">
        <f>IFERROR(M31-ES_MATRIX!L5,"")</f>
        <v/>
      </c>
      <c r="P31" s="40" t="str">
        <f>IF(SUMIF(CNXL_SQL_2!$E:$E,'PAGE_1 (4)'!R31,CNXL_SQL_2!$F:$F)=0,"",SUMIF(CNXL_SQL_2!$E:$E,'PAGE_1 (4)'!R31,CNXL_SQL_2!$F:$F))</f>
        <v/>
      </c>
      <c r="Q31" s="57"/>
      <c r="R31" s="56" t="s">
        <v>80</v>
      </c>
      <c r="S31" s="58" t="s">
        <v>81</v>
      </c>
      <c r="T31" s="56"/>
      <c r="U31" s="56"/>
      <c r="V31" s="57"/>
      <c r="W31" s="56"/>
      <c r="X31" s="56"/>
    </row>
    <row r="32" spans="2:24" ht="14.5" x14ac:dyDescent="0.35">
      <c r="B32" s="64" t="s">
        <v>39</v>
      </c>
      <c r="C32" s="78">
        <f>SUMIF(SCH_DEP_SQL_4!$A:$A,'PAGE_1 (4)'!R32,SCH_DEP_SQL_4!$E:$E)</f>
        <v>316</v>
      </c>
      <c r="D32" s="17">
        <f>IF(SUMIFS(CNXL_SQL_2!$F:$F,CNXL_SQL_2!$A:$A,'PAGE_1 (4)'!$R32,CNXL_SQL_2!$D:$D,'PAGE_1 (4)'!$S$29)=0,"",SUMIFS(CNXL_SQL_2!$F:$F,CNXL_SQL_2!$A:$A,'PAGE_1 (4)'!$R32,CNXL_SQL_2!$D:$D,'PAGE_1 (4)'!$S$29))</f>
        <v>4</v>
      </c>
      <c r="E32" s="17" t="str">
        <f>IF(SUMIFS(CNXL_SQL_2!$F:$F,CNXL_SQL_2!$A:$A,'PAGE_1 (4)'!$R32,CNXL_SQL_2!$D:$D,'PAGE_1 (4)'!$S$30)=0,"",SUMIFS(CNXL_SQL_2!$F:$F,CNXL_SQL_2!$A:$A,'PAGE_1 (4)'!$R32,CNXL_SQL_2!$D:$D,'PAGE_1 (4)'!$S$30))</f>
        <v/>
      </c>
      <c r="F32" s="17" t="str">
        <f>IF(SUMIFS(CNXL_SQL_2!$F:$F,CNXL_SQL_2!$A:$A,'PAGE_1 (4)'!$R32,CNXL_SQL_2!$D:$D,'PAGE_1 (4)'!$S$31)=0,"",SUMIFS(CNXL_SQL_2!$F:$F,CNXL_SQL_2!$A:$A,'PAGE_1 (4)'!$R32,CNXL_SQL_2!$D:$D,'PAGE_1 (4)'!$S$31))</f>
        <v/>
      </c>
      <c r="G32" s="17" t="str">
        <f>IF(SUMIFS(CNXL_SQL_2!$F:$F,CNXL_SQL_2!$A:$A,'PAGE_1 (4)'!$R32,CNXL_SQL_2!$D:$D,'PAGE_1 (4)'!$S$32)=0,"",SUMIFS(CNXL_SQL_2!$F:$F,CNXL_SQL_2!$A:$A,'PAGE_1 (4)'!$R32,CNXL_SQL_2!$D:$D,'PAGE_1 (4)'!$S$32))</f>
        <v/>
      </c>
      <c r="H32" s="17" t="str">
        <f>IF(SUMIFS(CNXL_SQL_2!$F:$F,CNXL_SQL_2!$A:$A,'PAGE_1 (4)'!$R32,CNXL_SQL_2!$D:$D,'PAGE_1 (4)'!$S$33)=0,"",SUMIFS(CNXL_SQL_2!$F:$F,CNXL_SQL_2!$A:$A,'PAGE_1 (4)'!$R32,CNXL_SQL_2!$D:$D,'PAGE_1 (4)'!$S$33))</f>
        <v/>
      </c>
      <c r="I32" s="17" t="str">
        <f>IF(SUMIFS(CNXL_SQL_2!$F:$F,CNXL_SQL_2!$A:$A,'PAGE_1 (4)'!$R32,CNXL_SQL_2!$D:$D,'PAGE_1 (4)'!$S$34)=0,"",SUMIFS(CNXL_SQL_2!$F:$F,CNXL_SQL_2!$A:$A,'PAGE_1 (4)'!$R32,CNXL_SQL_2!$D:$D,'PAGE_1 (4)'!$S$34))</f>
        <v/>
      </c>
      <c r="J32" s="17" t="str">
        <f>IF(SUMIFS(CNXL_SQL_2!$F:$F,CNXL_SQL_2!$A:$A,'PAGE_1 (4)'!$R32,CNXL_SQL_2!$D:$D,'PAGE_1 (4)'!$S$35)=0,"",SUMIFS(CNXL_SQL_2!$F:$F,CNXL_SQL_2!$A:$A,'PAGE_1 (4)'!$R32,CNXL_SQL_2!$D:$D,'PAGE_1 (4)'!$S$35))</f>
        <v/>
      </c>
      <c r="K32" s="17" t="str">
        <f>IF(SUMIFS(CNXL_SQL_2!$F:$F,CNXL_SQL_2!$A:$A,'PAGE_1 (4)'!$R32,CNXL_SQL_2!$D:$D,'PAGE_1 (4)'!$S$36)=0,"",SUMIFS(CNXL_SQL_2!$F:$F,CNXL_SQL_2!$A:$A,'PAGE_1 (4)'!$R32,CNXL_SQL_2!$D:$D,'PAGE_1 (4)'!$S$36))</f>
        <v/>
      </c>
      <c r="L32" s="17" t="str">
        <f>IF(SUMIFS(CNXL_SQL_2!$F:$F,CNXL_SQL_2!$A:$A,'PAGE_1 (4)'!$R32,CNXL_SQL_2!$D:$D,'PAGE_1 (4)'!$S$37)=0,"",SUMIFS(CNXL_SQL_2!$F:$F,CNXL_SQL_2!$A:$A,'PAGE_1 (4)'!$R32,CNXL_SQL_2!$D:$D,'PAGE_1 (4)'!$S$37))</f>
        <v/>
      </c>
      <c r="M32" s="18">
        <f t="shared" si="0"/>
        <v>4</v>
      </c>
      <c r="N32" s="18" t="str">
        <f>ES_MATRIX!K6</f>
        <v/>
      </c>
      <c r="O32" s="18">
        <f>IFERROR(M32-ES_MATRIX!L6,"")</f>
        <v>4</v>
      </c>
      <c r="P32" s="16" t="str">
        <f>IF(SUMIF(CNXL_SQL_2!$E:$E,'PAGE_1 (4)'!R32,CNXL_SQL_2!$F:$F)=0,"",SUMIF(CNXL_SQL_2!$E:$E,'PAGE_1 (4)'!R32,CNXL_SQL_2!$F:$F))</f>
        <v/>
      </c>
      <c r="Q32" s="57"/>
      <c r="R32" s="56" t="s">
        <v>82</v>
      </c>
      <c r="S32" s="58" t="s">
        <v>83</v>
      </c>
      <c r="T32" s="56"/>
      <c r="U32" s="56"/>
      <c r="V32" s="57"/>
      <c r="W32" s="56"/>
      <c r="X32" s="56"/>
    </row>
    <row r="33" spans="2:24" ht="14.5" x14ac:dyDescent="0.35">
      <c r="B33" s="63" t="s">
        <v>41</v>
      </c>
      <c r="C33" s="77">
        <f>SUMIF(SCH_DEP_SQL_4!$A:$A,'PAGE_1 (4)'!R33,SCH_DEP_SQL_4!$E:$E)</f>
        <v>237</v>
      </c>
      <c r="D33" s="12" t="str">
        <f>IF(SUMIFS(CNXL_SQL_2!$F:$F,CNXL_SQL_2!$A:$A,'PAGE_1 (4)'!$R33,CNXL_SQL_2!$D:$D,'PAGE_1 (4)'!$S$29)=0,"",SUMIFS(CNXL_SQL_2!$F:$F,CNXL_SQL_2!$A:$A,'PAGE_1 (4)'!$R33,CNXL_SQL_2!$D:$D,'PAGE_1 (4)'!$S$29))</f>
        <v/>
      </c>
      <c r="E33" s="12" t="str">
        <f>IF(SUMIFS(CNXL_SQL_2!$F:$F,CNXL_SQL_2!$A:$A,'PAGE_1 (4)'!$R33,CNXL_SQL_2!$D:$D,'PAGE_1 (4)'!$S$30)=0,"",SUMIFS(CNXL_SQL_2!$F:$F,CNXL_SQL_2!$A:$A,'PAGE_1 (4)'!$R33,CNXL_SQL_2!$D:$D,'PAGE_1 (4)'!$S$30))</f>
        <v/>
      </c>
      <c r="F33" s="12" t="str">
        <f>IF(SUMIFS(CNXL_SQL_2!$F:$F,CNXL_SQL_2!$A:$A,'PAGE_1 (4)'!$R33,CNXL_SQL_2!$D:$D,'PAGE_1 (4)'!$S$31)=0,"",SUMIFS(CNXL_SQL_2!$F:$F,CNXL_SQL_2!$A:$A,'PAGE_1 (4)'!$R33,CNXL_SQL_2!$D:$D,'PAGE_1 (4)'!$S$31))</f>
        <v/>
      </c>
      <c r="G33" s="12" t="str">
        <f>IF(SUMIFS(CNXL_SQL_2!$F:$F,CNXL_SQL_2!$A:$A,'PAGE_1 (4)'!$R33,CNXL_SQL_2!$D:$D,'PAGE_1 (4)'!$S$32)=0,"",SUMIFS(CNXL_SQL_2!$F:$F,CNXL_SQL_2!$A:$A,'PAGE_1 (4)'!$R33,CNXL_SQL_2!$D:$D,'PAGE_1 (4)'!$S$32))</f>
        <v/>
      </c>
      <c r="H33" s="12" t="str">
        <f>IF(SUMIFS(CNXL_SQL_2!$F:$F,CNXL_SQL_2!$A:$A,'PAGE_1 (4)'!$R33,CNXL_SQL_2!$D:$D,'PAGE_1 (4)'!$S$33)=0,"",SUMIFS(CNXL_SQL_2!$F:$F,CNXL_SQL_2!$A:$A,'PAGE_1 (4)'!$R33,CNXL_SQL_2!$D:$D,'PAGE_1 (4)'!$S$33))</f>
        <v/>
      </c>
      <c r="I33" s="12" t="str">
        <f>IF(SUMIFS(CNXL_SQL_2!$F:$F,CNXL_SQL_2!$A:$A,'PAGE_1 (4)'!$R33,CNXL_SQL_2!$D:$D,'PAGE_1 (4)'!$S$34)=0,"",SUMIFS(CNXL_SQL_2!$F:$F,CNXL_SQL_2!$A:$A,'PAGE_1 (4)'!$R33,CNXL_SQL_2!$D:$D,'PAGE_1 (4)'!$S$34))</f>
        <v/>
      </c>
      <c r="J33" s="12" t="str">
        <f>IF(SUMIFS(CNXL_SQL_2!$F:$F,CNXL_SQL_2!$A:$A,'PAGE_1 (4)'!$R33,CNXL_SQL_2!$D:$D,'PAGE_1 (4)'!$S$35)=0,"",SUMIFS(CNXL_SQL_2!$F:$F,CNXL_SQL_2!$A:$A,'PAGE_1 (4)'!$R33,CNXL_SQL_2!$D:$D,'PAGE_1 (4)'!$S$35))</f>
        <v/>
      </c>
      <c r="K33" s="12" t="str">
        <f>IF(SUMIFS(CNXL_SQL_2!$F:$F,CNXL_SQL_2!$A:$A,'PAGE_1 (4)'!$R33,CNXL_SQL_2!$D:$D,'PAGE_1 (4)'!$S$36)=0,"",SUMIFS(CNXL_SQL_2!$F:$F,CNXL_SQL_2!$A:$A,'PAGE_1 (4)'!$R33,CNXL_SQL_2!$D:$D,'PAGE_1 (4)'!$S$36))</f>
        <v/>
      </c>
      <c r="L33" s="12" t="str">
        <f>IF(SUMIFS(CNXL_SQL_2!$F:$F,CNXL_SQL_2!$A:$A,'PAGE_1 (4)'!$R33,CNXL_SQL_2!$D:$D,'PAGE_1 (4)'!$S$37)=0,"",SUMIFS(CNXL_SQL_2!$F:$F,CNXL_SQL_2!$A:$A,'PAGE_1 (4)'!$R33,CNXL_SQL_2!$D:$D,'PAGE_1 (4)'!$S$37))</f>
        <v/>
      </c>
      <c r="M33" s="42" t="str">
        <f t="shared" si="0"/>
        <v/>
      </c>
      <c r="N33" s="38" t="str">
        <f>ES_MATRIX!K7</f>
        <v/>
      </c>
      <c r="O33" s="14" t="str">
        <f>IFERROR(M33-ES_MATRIX!L7,"")</f>
        <v/>
      </c>
      <c r="P33" s="40" t="str">
        <f>IF(SUMIF(CNXL_SQL_2!$E:$E,'PAGE_1 (4)'!R33,CNXL_SQL_2!$F:$F)=0,"",SUMIF(CNXL_SQL_2!$E:$E,'PAGE_1 (4)'!R33,CNXL_SQL_2!$F:$F))</f>
        <v/>
      </c>
      <c r="Q33" s="57"/>
      <c r="R33" s="56" t="s">
        <v>84</v>
      </c>
      <c r="S33" s="58" t="s">
        <v>85</v>
      </c>
      <c r="T33" s="56"/>
      <c r="U33" s="56"/>
      <c r="V33" s="57"/>
      <c r="W33" s="56"/>
      <c r="X33" s="56"/>
    </row>
    <row r="34" spans="2:24" ht="14.5" x14ac:dyDescent="0.35">
      <c r="B34" s="64" t="s">
        <v>43</v>
      </c>
      <c r="C34" s="78">
        <f>SUMIF(SCH_DEP_SQL_4!$A:$A,'PAGE_1 (4)'!R34,SCH_DEP_SQL_4!$E:$E)</f>
        <v>221</v>
      </c>
      <c r="D34" s="17">
        <f>IF(SUMIFS(CNXL_SQL_2!$F:$F,CNXL_SQL_2!$A:$A,'PAGE_1 (4)'!$R34,CNXL_SQL_2!$D:$D,'PAGE_1 (4)'!$S$29)=0,"",SUMIFS(CNXL_SQL_2!$F:$F,CNXL_SQL_2!$A:$A,'PAGE_1 (4)'!$R34,CNXL_SQL_2!$D:$D,'PAGE_1 (4)'!$S$29))</f>
        <v>1</v>
      </c>
      <c r="E34" s="17" t="str">
        <f>IF(SUMIFS(CNXL_SQL_2!$F:$F,CNXL_SQL_2!$A:$A,'PAGE_1 (4)'!$R34,CNXL_SQL_2!$D:$D,'PAGE_1 (4)'!$S$30)=0,"",SUMIFS(CNXL_SQL_2!$F:$F,CNXL_SQL_2!$A:$A,'PAGE_1 (4)'!$R34,CNXL_SQL_2!$D:$D,'PAGE_1 (4)'!$S$30))</f>
        <v/>
      </c>
      <c r="F34" s="17" t="str">
        <f>IF(SUMIFS(CNXL_SQL_2!$F:$F,CNXL_SQL_2!$A:$A,'PAGE_1 (4)'!$R34,CNXL_SQL_2!$D:$D,'PAGE_1 (4)'!$S$31)=0,"",SUMIFS(CNXL_SQL_2!$F:$F,CNXL_SQL_2!$A:$A,'PAGE_1 (4)'!$R34,CNXL_SQL_2!$D:$D,'PAGE_1 (4)'!$S$31))</f>
        <v/>
      </c>
      <c r="G34" s="17" t="str">
        <f>IF(SUMIFS(CNXL_SQL_2!$F:$F,CNXL_SQL_2!$A:$A,'PAGE_1 (4)'!$R34,CNXL_SQL_2!$D:$D,'PAGE_1 (4)'!$S$32)=0,"",SUMIFS(CNXL_SQL_2!$F:$F,CNXL_SQL_2!$A:$A,'PAGE_1 (4)'!$R34,CNXL_SQL_2!$D:$D,'PAGE_1 (4)'!$S$32))</f>
        <v/>
      </c>
      <c r="H34" s="17" t="str">
        <f>IF(SUMIFS(CNXL_SQL_2!$F:$F,CNXL_SQL_2!$A:$A,'PAGE_1 (4)'!$R34,CNXL_SQL_2!$D:$D,'PAGE_1 (4)'!$S$33)=0,"",SUMIFS(CNXL_SQL_2!$F:$F,CNXL_SQL_2!$A:$A,'PAGE_1 (4)'!$R34,CNXL_SQL_2!$D:$D,'PAGE_1 (4)'!$S$33))</f>
        <v/>
      </c>
      <c r="I34" s="17" t="str">
        <f>IF(SUMIFS(CNXL_SQL_2!$F:$F,CNXL_SQL_2!$A:$A,'PAGE_1 (4)'!$R34,CNXL_SQL_2!$D:$D,'PAGE_1 (4)'!$S$34)=0,"",SUMIFS(CNXL_SQL_2!$F:$F,CNXL_SQL_2!$A:$A,'PAGE_1 (4)'!$R34,CNXL_SQL_2!$D:$D,'PAGE_1 (4)'!$S$34))</f>
        <v/>
      </c>
      <c r="J34" s="17" t="str">
        <f>IF(SUMIFS(CNXL_SQL_2!$F:$F,CNXL_SQL_2!$A:$A,'PAGE_1 (4)'!$R34,CNXL_SQL_2!$D:$D,'PAGE_1 (4)'!$S$35)=0,"",SUMIFS(CNXL_SQL_2!$F:$F,CNXL_SQL_2!$A:$A,'PAGE_1 (4)'!$R34,CNXL_SQL_2!$D:$D,'PAGE_1 (4)'!$S$35))</f>
        <v/>
      </c>
      <c r="K34" s="17" t="str">
        <f>IF(SUMIFS(CNXL_SQL_2!$F:$F,CNXL_SQL_2!$A:$A,'PAGE_1 (4)'!$R34,CNXL_SQL_2!$D:$D,'PAGE_1 (4)'!$S$36)=0,"",SUMIFS(CNXL_SQL_2!$F:$F,CNXL_SQL_2!$A:$A,'PAGE_1 (4)'!$R34,CNXL_SQL_2!$D:$D,'PAGE_1 (4)'!$S$36))</f>
        <v/>
      </c>
      <c r="L34" s="17" t="str">
        <f>IF(SUMIFS(CNXL_SQL_2!$F:$F,CNXL_SQL_2!$A:$A,'PAGE_1 (4)'!$R34,CNXL_SQL_2!$D:$D,'PAGE_1 (4)'!$S$37)=0,"",SUMIFS(CNXL_SQL_2!$F:$F,CNXL_SQL_2!$A:$A,'PAGE_1 (4)'!$R34,CNXL_SQL_2!$D:$D,'PAGE_1 (4)'!$S$37))</f>
        <v/>
      </c>
      <c r="M34" s="41">
        <f t="shared" si="0"/>
        <v>1</v>
      </c>
      <c r="N34" s="18" t="str">
        <f>ES_MATRIX!K8</f>
        <v/>
      </c>
      <c r="O34" s="18">
        <f>IFERROR(M34-ES_MATRIX!L8,"")</f>
        <v>1</v>
      </c>
      <c r="P34" s="16" t="str">
        <f>IF(SUMIF(CNXL_SQL_2!$E:$E,'PAGE_1 (4)'!R34,CNXL_SQL_2!$F:$F)=0,"",SUMIF(CNXL_SQL_2!$E:$E,'PAGE_1 (4)'!R34,CNXL_SQL_2!$F:$F))</f>
        <v/>
      </c>
      <c r="Q34" s="57"/>
      <c r="R34" s="56" t="s">
        <v>86</v>
      </c>
      <c r="S34" s="58" t="s">
        <v>87</v>
      </c>
      <c r="T34" s="56"/>
      <c r="U34" s="56"/>
      <c r="V34" s="57"/>
      <c r="W34" s="56"/>
      <c r="X34" s="56"/>
    </row>
    <row r="35" spans="2:24" ht="14.5" x14ac:dyDescent="0.35">
      <c r="B35" s="63" t="s">
        <v>44</v>
      </c>
      <c r="C35" s="77">
        <f>SUMIF(SCH_DEP_SQL_4!$A:$A,'PAGE_1 (4)'!R35,SCH_DEP_SQL_4!$E:$E)</f>
        <v>227</v>
      </c>
      <c r="D35" s="12">
        <f>IF(SUMIFS(CNXL_SQL_2!$F:$F,CNXL_SQL_2!$A:$A,'PAGE_1 (4)'!$R35,CNXL_SQL_2!$D:$D,'PAGE_1 (4)'!$S$29)=0,"",SUMIFS(CNXL_SQL_2!$F:$F,CNXL_SQL_2!$A:$A,'PAGE_1 (4)'!$R35,CNXL_SQL_2!$D:$D,'PAGE_1 (4)'!$S$29))</f>
        <v>3</v>
      </c>
      <c r="E35" s="12" t="str">
        <f>IF(SUMIFS(CNXL_SQL_2!$F:$F,CNXL_SQL_2!$A:$A,'PAGE_1 (4)'!$R35,CNXL_SQL_2!$D:$D,'PAGE_1 (4)'!$S$30)=0,"",SUMIFS(CNXL_SQL_2!$F:$F,CNXL_SQL_2!$A:$A,'PAGE_1 (4)'!$R35,CNXL_SQL_2!$D:$D,'PAGE_1 (4)'!$S$30))</f>
        <v/>
      </c>
      <c r="F35" s="12" t="str">
        <f>IF(SUMIFS(CNXL_SQL_2!$F:$F,CNXL_SQL_2!$A:$A,'PAGE_1 (4)'!$R35,CNXL_SQL_2!$D:$D,'PAGE_1 (4)'!$S$31)=0,"",SUMIFS(CNXL_SQL_2!$F:$F,CNXL_SQL_2!$A:$A,'PAGE_1 (4)'!$R35,CNXL_SQL_2!$D:$D,'PAGE_1 (4)'!$S$31))</f>
        <v/>
      </c>
      <c r="G35" s="12" t="str">
        <f>IF(SUMIFS(CNXL_SQL_2!$F:$F,CNXL_SQL_2!$A:$A,'PAGE_1 (4)'!$R35,CNXL_SQL_2!$D:$D,'PAGE_1 (4)'!$S$32)=0,"",SUMIFS(CNXL_SQL_2!$F:$F,CNXL_SQL_2!$A:$A,'PAGE_1 (4)'!$R35,CNXL_SQL_2!$D:$D,'PAGE_1 (4)'!$S$32))</f>
        <v/>
      </c>
      <c r="H35" s="12" t="str">
        <f>IF(SUMIFS(CNXL_SQL_2!$F:$F,CNXL_SQL_2!$A:$A,'PAGE_1 (4)'!$R35,CNXL_SQL_2!$D:$D,'PAGE_1 (4)'!$S$33)=0,"",SUMIFS(CNXL_SQL_2!$F:$F,CNXL_SQL_2!$A:$A,'PAGE_1 (4)'!$R35,CNXL_SQL_2!$D:$D,'PAGE_1 (4)'!$S$33))</f>
        <v/>
      </c>
      <c r="I35" s="12" t="str">
        <f>IF(SUMIFS(CNXL_SQL_2!$F:$F,CNXL_SQL_2!$A:$A,'PAGE_1 (4)'!$R35,CNXL_SQL_2!$D:$D,'PAGE_1 (4)'!$S$34)=0,"",SUMIFS(CNXL_SQL_2!$F:$F,CNXL_SQL_2!$A:$A,'PAGE_1 (4)'!$R35,CNXL_SQL_2!$D:$D,'PAGE_1 (4)'!$S$34))</f>
        <v/>
      </c>
      <c r="J35" s="12" t="str">
        <f>IF(SUMIFS(CNXL_SQL_2!$F:$F,CNXL_SQL_2!$A:$A,'PAGE_1 (4)'!$R35,CNXL_SQL_2!$D:$D,'PAGE_1 (4)'!$S$35)=0,"",SUMIFS(CNXL_SQL_2!$F:$F,CNXL_SQL_2!$A:$A,'PAGE_1 (4)'!$R35,CNXL_SQL_2!$D:$D,'PAGE_1 (4)'!$S$35))</f>
        <v/>
      </c>
      <c r="K35" s="12" t="str">
        <f>IF(SUMIFS(CNXL_SQL_2!$F:$F,CNXL_SQL_2!$A:$A,'PAGE_1 (4)'!$R35,CNXL_SQL_2!$D:$D,'PAGE_1 (4)'!$S$36)=0,"",SUMIFS(CNXL_SQL_2!$F:$F,CNXL_SQL_2!$A:$A,'PAGE_1 (4)'!$R35,CNXL_SQL_2!$D:$D,'PAGE_1 (4)'!$S$36))</f>
        <v/>
      </c>
      <c r="L35" s="12" t="str">
        <f>IF(SUMIFS(CNXL_SQL_2!$F:$F,CNXL_SQL_2!$A:$A,'PAGE_1 (4)'!$R35,CNXL_SQL_2!$D:$D,'PAGE_1 (4)'!$S$37)=0,"",SUMIFS(CNXL_SQL_2!$F:$F,CNXL_SQL_2!$A:$A,'PAGE_1 (4)'!$R35,CNXL_SQL_2!$D:$D,'PAGE_1 (4)'!$S$37))</f>
        <v/>
      </c>
      <c r="M35" s="38">
        <f t="shared" si="0"/>
        <v>3</v>
      </c>
      <c r="N35" s="38" t="str">
        <f>ES_MATRIX!K9</f>
        <v/>
      </c>
      <c r="O35" s="14">
        <f>IFERROR(M35-ES_MATRIX!L9,"")</f>
        <v>3</v>
      </c>
      <c r="P35" s="40" t="str">
        <f>IF(SUMIF(CNXL_SQL_2!$E:$E,'PAGE_1 (4)'!R35,CNXL_SQL_2!$F:$F)=0,"",SUMIF(CNXL_SQL_2!$E:$E,'PAGE_1 (4)'!R35,CNXL_SQL_2!$F:$F))</f>
        <v/>
      </c>
      <c r="Q35" s="57"/>
      <c r="R35" s="56" t="s">
        <v>88</v>
      </c>
      <c r="S35" s="58" t="s">
        <v>89</v>
      </c>
      <c r="T35" s="56"/>
      <c r="U35" s="56"/>
      <c r="V35" s="57"/>
      <c r="W35" s="56"/>
      <c r="X35" s="56"/>
    </row>
    <row r="36" spans="2:24" ht="15" thickBot="1" x14ac:dyDescent="0.4">
      <c r="B36" s="64" t="s">
        <v>45</v>
      </c>
      <c r="C36" s="78">
        <f>SUMIF(SCH_DEP_SQL_4!$A:$A,'PAGE_1 (4)'!R36,SCH_DEP_SQL_4!$E:$E)</f>
        <v>0</v>
      </c>
      <c r="D36" s="17" t="str">
        <f>IF(SUMIFS(CNXL_SQL_2!$F:$F,CNXL_SQL_2!$A:$A,'PAGE_1 (4)'!$R36,CNXL_SQL_2!$D:$D,'PAGE_1 (4)'!$S$29)=0,"",SUMIFS(CNXL_SQL_2!$F:$F,CNXL_SQL_2!$A:$A,'PAGE_1 (4)'!$R36,CNXL_SQL_2!$D:$D,'PAGE_1 (4)'!$S$29))</f>
        <v/>
      </c>
      <c r="E36" s="17" t="str">
        <f>IF(SUMIFS(CNXL_SQL_2!$F:$F,CNXL_SQL_2!$A:$A,'PAGE_1 (4)'!$R36,CNXL_SQL_2!$D:$D,'PAGE_1 (4)'!$S$30)=0,"",SUMIFS(CNXL_SQL_2!$F:$F,CNXL_SQL_2!$A:$A,'PAGE_1 (4)'!$R36,CNXL_SQL_2!$D:$D,'PAGE_1 (4)'!$S$30))</f>
        <v/>
      </c>
      <c r="F36" s="17" t="str">
        <f>IF(SUMIFS(CNXL_SQL_2!$F:$F,CNXL_SQL_2!$A:$A,'PAGE_1 (4)'!$R36,CNXL_SQL_2!$D:$D,'PAGE_1 (4)'!$S$31)=0,"",SUMIFS(CNXL_SQL_2!$F:$F,CNXL_SQL_2!$A:$A,'PAGE_1 (4)'!$R36,CNXL_SQL_2!$D:$D,'PAGE_1 (4)'!$S$31))</f>
        <v/>
      </c>
      <c r="G36" s="17" t="str">
        <f>IF(SUMIFS(CNXL_SQL_2!$F:$F,CNXL_SQL_2!$A:$A,'PAGE_1 (4)'!$R36,CNXL_SQL_2!$D:$D,'PAGE_1 (4)'!$S$32)=0,"",SUMIFS(CNXL_SQL_2!$F:$F,CNXL_SQL_2!$A:$A,'PAGE_1 (4)'!$R36,CNXL_SQL_2!$D:$D,'PAGE_1 (4)'!$S$32))</f>
        <v/>
      </c>
      <c r="H36" s="17" t="str">
        <f>IF(SUMIFS(CNXL_SQL_2!$F:$F,CNXL_SQL_2!$A:$A,'PAGE_1 (4)'!$R36,CNXL_SQL_2!$D:$D,'PAGE_1 (4)'!$S$33)=0,"",SUMIFS(CNXL_SQL_2!$F:$F,CNXL_SQL_2!$A:$A,'PAGE_1 (4)'!$R36,CNXL_SQL_2!$D:$D,'PAGE_1 (4)'!$S$33))</f>
        <v/>
      </c>
      <c r="I36" s="17" t="str">
        <f>IF(SUMIFS(CNXL_SQL_2!$F:$F,CNXL_SQL_2!$A:$A,'PAGE_1 (4)'!$R36,CNXL_SQL_2!$D:$D,'PAGE_1 (4)'!$S$34)=0,"",SUMIFS(CNXL_SQL_2!$F:$F,CNXL_SQL_2!$A:$A,'PAGE_1 (4)'!$R36,CNXL_SQL_2!$D:$D,'PAGE_1 (4)'!$S$34))</f>
        <v/>
      </c>
      <c r="J36" s="17" t="str">
        <f>IF(SUMIFS(CNXL_SQL_2!$F:$F,CNXL_SQL_2!$A:$A,'PAGE_1 (4)'!$R36,CNXL_SQL_2!$D:$D,'PAGE_1 (4)'!$S$35)=0,"",SUMIFS(CNXL_SQL_2!$F:$F,CNXL_SQL_2!$A:$A,'PAGE_1 (4)'!$R36,CNXL_SQL_2!$D:$D,'PAGE_1 (4)'!$S$35))</f>
        <v/>
      </c>
      <c r="K36" s="17" t="str">
        <f>IF(SUMIFS(CNXL_SQL_2!$F:$F,CNXL_SQL_2!$A:$A,'PAGE_1 (4)'!$R36,CNXL_SQL_2!$D:$D,'PAGE_1 (4)'!$S$36)=0,"",SUMIFS(CNXL_SQL_2!$F:$F,CNXL_SQL_2!$A:$A,'PAGE_1 (4)'!$R36,CNXL_SQL_2!$D:$D,'PAGE_1 (4)'!$S$36))</f>
        <v/>
      </c>
      <c r="L36" s="17" t="str">
        <f>IF(SUMIFS(CNXL_SQL_2!$F:$F,CNXL_SQL_2!$A:$A,'PAGE_1 (4)'!$R36,CNXL_SQL_2!$D:$D,'PAGE_1 (4)'!$S$37)=0,"",SUMIFS(CNXL_SQL_2!$F:$F,CNXL_SQL_2!$A:$A,'PAGE_1 (4)'!$R36,CNXL_SQL_2!$D:$D,'PAGE_1 (4)'!$S$37))</f>
        <v/>
      </c>
      <c r="M36" s="18" t="str">
        <f t="shared" si="0"/>
        <v/>
      </c>
      <c r="N36" s="18" t="str">
        <f>ES_MATRIX!K10</f>
        <v/>
      </c>
      <c r="O36" s="18" t="str">
        <f>IFERROR(M36-ES_MATRIX!L10,"")</f>
        <v/>
      </c>
      <c r="P36" s="16" t="str">
        <f>IF(SUMIF(CNXL_SQL_2!$E:$E,'PAGE_1 (4)'!R36,CNXL_SQL_2!$F:$F)=0,"",SUMIF(CNXL_SQL_2!$E:$E,'PAGE_1 (4)'!R36,CNXL_SQL_2!$F:$F))</f>
        <v/>
      </c>
      <c r="Q36" s="57"/>
      <c r="R36" s="56" t="s">
        <v>90</v>
      </c>
      <c r="S36" s="58" t="s">
        <v>91</v>
      </c>
      <c r="T36" s="56"/>
      <c r="U36" s="56"/>
      <c r="V36" s="57"/>
      <c r="W36" s="56"/>
      <c r="X36" s="56"/>
    </row>
    <row r="37" spans="2:24" ht="15" thickBot="1" x14ac:dyDescent="0.4">
      <c r="B37" s="65" t="s">
        <v>47</v>
      </c>
      <c r="C37" s="79">
        <f>SUM(C29:C36)</f>
        <v>1973</v>
      </c>
      <c r="D37" s="22">
        <f>IF(SUM(D29:D36)=0,"",SUM(D29:D36))</f>
        <v>13</v>
      </c>
      <c r="E37" s="22" t="str">
        <f t="shared" ref="E37:L37" si="1">IF(SUM(E29:E36)=0,"",SUM(E29:E36))</f>
        <v/>
      </c>
      <c r="F37" s="22" t="str">
        <f>IF(SUM(F29:F36)=0,"",SUM(F29:F36))</f>
        <v/>
      </c>
      <c r="G37" s="22" t="str">
        <f t="shared" si="1"/>
        <v/>
      </c>
      <c r="H37" s="22" t="str">
        <f t="shared" si="1"/>
        <v/>
      </c>
      <c r="I37" s="22" t="str">
        <f t="shared" si="1"/>
        <v/>
      </c>
      <c r="J37" s="22" t="str">
        <f t="shared" si="1"/>
        <v/>
      </c>
      <c r="K37" s="22" t="str">
        <f t="shared" si="1"/>
        <v/>
      </c>
      <c r="L37" s="22" t="str">
        <f t="shared" si="1"/>
        <v/>
      </c>
      <c r="M37" s="23">
        <f>SUM(M29:M36)</f>
        <v>13</v>
      </c>
      <c r="N37" s="23"/>
      <c r="O37" s="23">
        <f>SUM(O29:O36)</f>
        <v>13</v>
      </c>
      <c r="P37" s="23">
        <f>SUM(P29:P36)</f>
        <v>0</v>
      </c>
      <c r="Q37" s="57"/>
      <c r="R37" s="56"/>
      <c r="S37" s="58" t="s">
        <v>92</v>
      </c>
      <c r="T37" s="56"/>
      <c r="U37" s="56"/>
      <c r="V37" s="57"/>
      <c r="W37" s="56"/>
      <c r="X37" s="56"/>
    </row>
    <row r="38" spans="2:24" ht="9.4" customHeight="1" x14ac:dyDescent="0.35">
      <c r="B38" s="8"/>
      <c r="C38" s="9"/>
      <c r="D38"/>
      <c r="E38"/>
      <c r="F38"/>
      <c r="G38"/>
      <c r="H38" s="9"/>
      <c r="I38" s="9"/>
      <c r="J38" s="9"/>
      <c r="K38" s="9"/>
      <c r="L38" s="9"/>
      <c r="M38" s="9"/>
      <c r="N38" s="9"/>
      <c r="O38" s="9"/>
      <c r="P38" s="9"/>
      <c r="Q38" s="57"/>
      <c r="R38" s="56"/>
      <c r="S38" s="56"/>
      <c r="T38" s="56"/>
      <c r="U38" s="56"/>
      <c r="V38" s="57"/>
      <c r="W38" s="56"/>
      <c r="X38" s="56"/>
    </row>
    <row r="39" spans="2:24" ht="9.4" customHeight="1" x14ac:dyDescent="0.35">
      <c r="B39" s="8"/>
      <c r="C39" s="9"/>
      <c r="D39"/>
      <c r="E39"/>
      <c r="F39"/>
      <c r="G39"/>
      <c r="H39" s="9"/>
      <c r="I39" s="9"/>
      <c r="J39" s="9"/>
      <c r="K39" s="9"/>
      <c r="L39" s="9"/>
      <c r="M39" s="9"/>
      <c r="N39" s="9"/>
      <c r="O39" s="9"/>
      <c r="P39" s="9"/>
      <c r="Q39" s="57"/>
      <c r="R39" s="56"/>
      <c r="S39" s="56"/>
      <c r="T39" s="56"/>
      <c r="U39" s="56"/>
      <c r="V39" s="57"/>
      <c r="W39" s="56"/>
      <c r="X39" s="56"/>
    </row>
    <row r="40" spans="2:24" ht="9.4" customHeight="1" thickBot="1" x14ac:dyDescent="0.35">
      <c r="Q40" s="57"/>
      <c r="R40" s="56"/>
      <c r="S40" s="56"/>
      <c r="T40" s="56"/>
      <c r="U40" s="56"/>
      <c r="V40" s="57"/>
      <c r="W40" s="56"/>
      <c r="X40" s="56"/>
    </row>
    <row r="41" spans="2:24" ht="16" thickBot="1" x14ac:dyDescent="0.35">
      <c r="B41" s="287" t="s">
        <v>48</v>
      </c>
      <c r="C41" s="288"/>
      <c r="D41" s="288"/>
      <c r="E41" s="288"/>
      <c r="F41" s="288"/>
      <c r="G41" s="288"/>
      <c r="H41" s="288"/>
      <c r="I41" s="288"/>
      <c r="J41" s="288"/>
      <c r="K41" s="288"/>
      <c r="L41" s="288"/>
      <c r="M41" s="288"/>
      <c r="N41" s="288"/>
      <c r="O41" s="288"/>
      <c r="P41" s="288"/>
      <c r="Q41" s="57"/>
      <c r="R41" s="56"/>
      <c r="S41" s="56"/>
      <c r="T41" s="56"/>
      <c r="U41" s="56"/>
      <c r="V41" s="57"/>
      <c r="W41" s="56"/>
      <c r="X41" s="56"/>
    </row>
    <row r="42" spans="2:24" ht="30.65" customHeight="1" thickBot="1" x14ac:dyDescent="0.35">
      <c r="B42" s="67" t="s">
        <v>15</v>
      </c>
      <c r="C42" s="68" t="s">
        <v>67</v>
      </c>
      <c r="D42" s="69" t="s">
        <v>68</v>
      </c>
      <c r="E42" s="69" t="s">
        <v>69</v>
      </c>
      <c r="F42" s="69" t="s">
        <v>70</v>
      </c>
      <c r="G42" s="69" t="s">
        <v>71</v>
      </c>
      <c r="H42" s="69" t="s">
        <v>72</v>
      </c>
      <c r="I42" s="69" t="s">
        <v>73</v>
      </c>
      <c r="J42" s="69" t="s">
        <v>23</v>
      </c>
      <c r="K42" s="69" t="s">
        <v>24</v>
      </c>
      <c r="L42" s="69" t="s">
        <v>74</v>
      </c>
      <c r="M42" s="70" t="s">
        <v>25</v>
      </c>
      <c r="N42" s="71" t="s">
        <v>26</v>
      </c>
      <c r="O42" s="71" t="s">
        <v>75</v>
      </c>
      <c r="P42" s="71" t="s">
        <v>28</v>
      </c>
      <c r="Q42" s="57"/>
      <c r="R42" s="57"/>
      <c r="S42" s="57"/>
      <c r="T42" s="57"/>
      <c r="U42" s="57"/>
      <c r="V42" s="57"/>
      <c r="W42" s="56"/>
      <c r="X42" s="56"/>
    </row>
    <row r="43" spans="2:24" ht="13" x14ac:dyDescent="0.3">
      <c r="B43" s="63" t="s">
        <v>33</v>
      </c>
      <c r="C43" s="77">
        <f>SUMIF(SCH_DEP_SQL_4!$A:$A,'PAGE_1 (4)'!R29,SCH_DEP_SQL_4!$E:$E)</f>
        <v>0</v>
      </c>
      <c r="D43" s="12" t="str">
        <f>IF(SUMIFS(RES_CNXL_SQL_3!$F:$F,RES_CNXL_SQL_3!$A:$A,'PAGE_1 (4)'!$R29,RES_CNXL_SQL_3!$D:$D,'PAGE_1 (4)'!$S$29)=0,"",SUMIFS(RES_CNXL_SQL_3!$F:$F,RES_CNXL_SQL_3!$A:$A,'PAGE_1 (4)'!$R29,RES_CNXL_SQL_3!$D:$D,'PAGE_1 (4)'!$S$29))</f>
        <v/>
      </c>
      <c r="E43" s="12" t="str">
        <f>IF(SUMIFS(RES_CNXL_SQL_3!$F:$F,RES_CNXL_SQL_3!$A:$A,'PAGE_1 (4)'!$R29,RES_CNXL_SQL_3!$D:$D,'PAGE_1 (4)'!$S$30)=0,"",SUMIFS(RES_CNXL_SQL_3!$F:$F,RES_CNXL_SQL_3!$A:$A,'PAGE_1 (4)'!$R29,RES_CNXL_SQL_3!$D:$D,'PAGE_1 (4)'!$S$30))</f>
        <v/>
      </c>
      <c r="F43" s="12" t="str">
        <f>IF(SUMIFS(RES_CNXL_SQL_3!$F:$F,RES_CNXL_SQL_3!$A:$A,'PAGE_1 (4)'!$R29,RES_CNXL_SQL_3!$D:$D,'PAGE_1 (4)'!$S$31)=0,"",SUMIFS(RES_CNXL_SQL_3!$F:$F,RES_CNXL_SQL_3!$A:$A,'PAGE_1 (4)'!$R29,RES_CNXL_SQL_3!$D:$D,'PAGE_1 (4)'!$S$31))</f>
        <v/>
      </c>
      <c r="G43" s="12" t="str">
        <f>IF(SUMIFS(RES_CNXL_SQL_3!$F:$F,RES_CNXL_SQL_3!$A:$A,'PAGE_1 (4)'!$R29,RES_CNXL_SQL_3!$D:$D,'PAGE_1 (4)'!$S$32)=0,"",SUMIFS(RES_CNXL_SQL_3!$F:$F,RES_CNXL_SQL_3!$A:$A,'PAGE_1 (4)'!$R29,RES_CNXL_SQL_3!$D:$D,'PAGE_1 (4)'!$S$32))</f>
        <v/>
      </c>
      <c r="H43" s="12" t="str">
        <f>IF(SUMIFS(RES_CNXL_SQL_3!$F:$F,RES_CNXL_SQL_3!$A:$A,'PAGE_1 (4)'!$R29,RES_CNXL_SQL_3!$D:$D,'PAGE_1 (4)'!$S$33)=0,"",SUMIFS(RES_CNXL_SQL_3!$F:$F,RES_CNXL_SQL_3!$A:$A,'PAGE_1 (4)'!$R29,RES_CNXL_SQL_3!$D:$D,'PAGE_1 (4)'!$S$33))</f>
        <v/>
      </c>
      <c r="I43" s="12" t="str">
        <f>IF(SUMIFS(RES_CNXL_SQL_3!$F:$F,RES_CNXL_SQL_3!$A:$A,'PAGE_1 (4)'!$R29,RES_CNXL_SQL_3!$D:$D,'PAGE_1 (4)'!$S$34)=0,"",SUMIFS(RES_CNXL_SQL_3!$F:$F,RES_CNXL_SQL_3!$A:$A,'PAGE_1 (4)'!$R29,RES_CNXL_SQL_3!$D:$D,'PAGE_1 (4)'!$S$34))</f>
        <v/>
      </c>
      <c r="J43" s="12" t="str">
        <f>IF(SUMIFS(RES_CNXL_SQL_3!$F:$F,RES_CNXL_SQL_3!$A:$A,'PAGE_1 (4)'!$R29,RES_CNXL_SQL_3!$D:$D,'PAGE_1 (4)'!$S$35)=0,"",SUMIFS(RES_CNXL_SQL_3!$F:$F,RES_CNXL_SQL_3!$A:$A,'PAGE_1 (4)'!$R29,RES_CNXL_SQL_3!$D:$D,'PAGE_1 (4)'!$S$35))</f>
        <v/>
      </c>
      <c r="K43" s="12" t="str">
        <f>IF(SUMIFS(RES_CNXL_SQL_3!$F:$F,RES_CNXL_SQL_3!$A:$A,'PAGE_1 (4)'!$R29,RES_CNXL_SQL_3!$D:$D,'PAGE_1 (4)'!$S$36)=0,"",SUMIFS(RES_CNXL_SQL_3!$F:$F,RES_CNXL_SQL_3!$A:$A,'PAGE_1 (4)'!$R29,RES_CNXL_SQL_3!$D:$D,'PAGE_1 (4)'!$S$36))</f>
        <v/>
      </c>
      <c r="L43" s="12" t="str">
        <f>IF(SUMIFS(RES_CNXL_SQL_3!$F:$F,RES_CNXL_SQL_3!$A:$A,'PAGE_1 (4)'!$R29,RES_CNXL_SQL_3!$D:$D,'PAGE_1 (4)'!$S$37)=0,"",SUMIFS(RES_CNXL_SQL_3!$F:$F,RES_CNXL_SQL_3!$A:$A,'PAGE_1 (4)'!$R29,RES_CNXL_SQL_3!$D:$D,'PAGE_1 (4)'!$S$37))</f>
        <v/>
      </c>
      <c r="M43" s="37" t="str">
        <f>IF(SUM(D43:L43)=0,"",SUM(D43:L43))</f>
        <v/>
      </c>
      <c r="N43" s="37" t="str">
        <f>ES_MATRIX!K14</f>
        <v/>
      </c>
      <c r="O43" s="14" t="str">
        <f>IFERROR(M43-ES_MATRIX!L14,"")</f>
        <v/>
      </c>
      <c r="P43" s="40" t="str">
        <f>IF(SUMIF(RES_CNXL_SQL_3!$E:$E,'PAGE_1 (4)'!R29,RES_CNXL_SQL_3!$F:$F)=0,"",SUMIF(RES_CNXL_SQL_3!$E:$E,'PAGE_1 (4)'!R29,RES_CNXL_SQL_3!$F:$F))</f>
        <v/>
      </c>
      <c r="Q43" s="56"/>
      <c r="R43" s="56"/>
      <c r="S43" s="56"/>
      <c r="T43" s="56"/>
      <c r="U43" s="56"/>
      <c r="V43" s="56"/>
      <c r="W43" s="56"/>
      <c r="X43" s="56"/>
    </row>
    <row r="44" spans="2:24" ht="13" x14ac:dyDescent="0.3">
      <c r="B44" s="64" t="s">
        <v>35</v>
      </c>
      <c r="C44" s="78">
        <f>SUMIF(SCH_DEP_SQL_4!$A:$A,'PAGE_1 (4)'!R30,SCH_DEP_SQL_4!$E:$E)</f>
        <v>972</v>
      </c>
      <c r="D44" s="17" t="str">
        <f>IF(SUMIFS(RES_CNXL_SQL_3!$F:$F,RES_CNXL_SQL_3!$A:$A,'PAGE_1 (4)'!$R30,RES_CNXL_SQL_3!$D:$D,'PAGE_1 (4)'!$S$29)=0,"",SUMIFS(RES_CNXL_SQL_3!$F:$F,RES_CNXL_SQL_3!$A:$A,'PAGE_1 (4)'!$R30,RES_CNXL_SQL_3!$D:$D,'PAGE_1 (4)'!$S$29))</f>
        <v/>
      </c>
      <c r="E44" s="17" t="str">
        <f>IF(SUMIFS(RES_CNXL_SQL_3!$F:$F,RES_CNXL_SQL_3!$A:$A,'PAGE_1 (4)'!$R30,RES_CNXL_SQL_3!$D:$D,'PAGE_1 (4)'!$S$30)=0,"",SUMIFS(RES_CNXL_SQL_3!$F:$F,RES_CNXL_SQL_3!$A:$A,'PAGE_1 (4)'!$R30,RES_CNXL_SQL_3!$D:$D,'PAGE_1 (4)'!$S$30))</f>
        <v/>
      </c>
      <c r="F44" s="17" t="str">
        <f>IF(SUMIFS(RES_CNXL_SQL_3!$F:$F,RES_CNXL_SQL_3!$A:$A,'PAGE_1 (4)'!$R30,RES_CNXL_SQL_3!$D:$D,'PAGE_1 (4)'!$S$31)=0,"",SUMIFS(RES_CNXL_SQL_3!$F:$F,RES_CNXL_SQL_3!$A:$A,'PAGE_1 (4)'!$R30,RES_CNXL_SQL_3!$D:$D,'PAGE_1 (4)'!$S$31))</f>
        <v/>
      </c>
      <c r="G44" s="17" t="str">
        <f>IF(SUMIFS(RES_CNXL_SQL_3!$F:$F,RES_CNXL_SQL_3!$A:$A,'PAGE_1 (4)'!$R30,RES_CNXL_SQL_3!$D:$D,'PAGE_1 (4)'!$S$32)=0,"",SUMIFS(RES_CNXL_SQL_3!$F:$F,RES_CNXL_SQL_3!$A:$A,'PAGE_1 (4)'!$R30,RES_CNXL_SQL_3!$D:$D,'PAGE_1 (4)'!$S$32))</f>
        <v/>
      </c>
      <c r="H44" s="17" t="str">
        <f>IF(SUMIFS(RES_CNXL_SQL_3!$F:$F,RES_CNXL_SQL_3!$A:$A,'PAGE_1 (4)'!$R30,RES_CNXL_SQL_3!$D:$D,'PAGE_1 (4)'!$S$33)=0,"",SUMIFS(RES_CNXL_SQL_3!$F:$F,RES_CNXL_SQL_3!$A:$A,'PAGE_1 (4)'!$R30,RES_CNXL_SQL_3!$D:$D,'PAGE_1 (4)'!$S$33))</f>
        <v/>
      </c>
      <c r="I44" s="17" t="str">
        <f>IF(SUMIFS(RES_CNXL_SQL_3!$F:$F,RES_CNXL_SQL_3!$A:$A,'PAGE_1 (4)'!$R30,RES_CNXL_SQL_3!$D:$D,'PAGE_1 (4)'!$S$34)=0,"",SUMIFS(RES_CNXL_SQL_3!$F:$F,RES_CNXL_SQL_3!$A:$A,'PAGE_1 (4)'!$R30,RES_CNXL_SQL_3!$D:$D,'PAGE_1 (4)'!$S$34))</f>
        <v/>
      </c>
      <c r="J44" s="17" t="str">
        <f>IF(SUMIFS(RES_CNXL_SQL_3!$F:$F,RES_CNXL_SQL_3!$A:$A,'PAGE_1 (4)'!$R30,RES_CNXL_SQL_3!$D:$D,'PAGE_1 (4)'!$S$35)=0,"",SUMIFS(RES_CNXL_SQL_3!$F:$F,RES_CNXL_SQL_3!$A:$A,'PAGE_1 (4)'!$R30,RES_CNXL_SQL_3!$D:$D,'PAGE_1 (4)'!$S$35))</f>
        <v/>
      </c>
      <c r="K44" s="17" t="str">
        <f>IF(SUMIFS(RES_CNXL_SQL_3!$F:$F,RES_CNXL_SQL_3!$A:$A,'PAGE_1 (4)'!$R30,RES_CNXL_SQL_3!$D:$D,'PAGE_1 (4)'!$S$36)=0,"",SUMIFS(RES_CNXL_SQL_3!$F:$F,RES_CNXL_SQL_3!$A:$A,'PAGE_1 (4)'!$R30,RES_CNXL_SQL_3!$D:$D,'PAGE_1 (4)'!$S$36))</f>
        <v/>
      </c>
      <c r="L44" s="17" t="str">
        <f>IF(SUMIFS(RES_CNXL_SQL_3!$F:$F,RES_CNXL_SQL_3!$A:$A,'PAGE_1 (4)'!$R30,RES_CNXL_SQL_3!$D:$D,'PAGE_1 (4)'!$S$37)=0,"",SUMIFS(RES_CNXL_SQL_3!$F:$F,RES_CNXL_SQL_3!$A:$A,'PAGE_1 (4)'!$R30,RES_CNXL_SQL_3!$D:$D,'PAGE_1 (4)'!$S$37))</f>
        <v/>
      </c>
      <c r="M44" s="18" t="str">
        <f t="shared" ref="M44:M50" si="2">IF(SUM(D44:L44)=0,"",SUM(D44:L44))</f>
        <v/>
      </c>
      <c r="N44" s="18" t="str">
        <f>ES_MATRIX!K15</f>
        <v/>
      </c>
      <c r="O44" s="18" t="str">
        <f>IFERROR(M44-ES_MATRIX!L15,"")</f>
        <v/>
      </c>
      <c r="P44" s="16" t="str">
        <f>IF(SUMIF(RES_CNXL_SQL_3!$E:$E,'PAGE_1 (4)'!R30,RES_CNXL_SQL_3!$F:$F)=0,"",SUMIF(RES_CNXL_SQL_3!$E:$E,'PAGE_1 (4)'!R30,RES_CNXL_SQL_3!$F:$F))</f>
        <v/>
      </c>
    </row>
    <row r="45" spans="2:24" ht="13" x14ac:dyDescent="0.3">
      <c r="B45" s="63" t="s">
        <v>37</v>
      </c>
      <c r="C45" s="77">
        <f>SUMIF(SCH_DEP_SQL_4!$A:$A,'PAGE_1 (4)'!R31,SCH_DEP_SQL_4!$E:$E)</f>
        <v>0</v>
      </c>
      <c r="D45" s="12" t="str">
        <f>IF(SUMIFS(RES_CNXL_SQL_3!$F:$F,RES_CNXL_SQL_3!$A:$A,'PAGE_1 (4)'!$R31,RES_CNXL_SQL_3!$D:$D,'PAGE_1 (4)'!$S$29)=0,"",SUMIFS(RES_CNXL_SQL_3!$F:$F,RES_CNXL_SQL_3!$A:$A,'PAGE_1 (4)'!$R31,RES_CNXL_SQL_3!$D:$D,'PAGE_1 (4)'!$S$29))</f>
        <v/>
      </c>
      <c r="E45" s="12" t="str">
        <f>IF(SUMIFS(RES_CNXL_SQL_3!$F:$F,RES_CNXL_SQL_3!$A:$A,'PAGE_1 (4)'!$R31,RES_CNXL_SQL_3!$D:$D,'PAGE_1 (4)'!$S$30)=0,"",SUMIFS(RES_CNXL_SQL_3!$F:$F,RES_CNXL_SQL_3!$A:$A,'PAGE_1 (4)'!$R31,RES_CNXL_SQL_3!$D:$D,'PAGE_1 (4)'!$S$30))</f>
        <v/>
      </c>
      <c r="F45" s="12" t="str">
        <f>IF(SUMIFS(RES_CNXL_SQL_3!$F:$F,RES_CNXL_SQL_3!$A:$A,'PAGE_1 (4)'!$R31,RES_CNXL_SQL_3!$D:$D,'PAGE_1 (4)'!$S$31)=0,"",SUMIFS(RES_CNXL_SQL_3!$F:$F,RES_CNXL_SQL_3!$A:$A,'PAGE_1 (4)'!$R31,RES_CNXL_SQL_3!$D:$D,'PAGE_1 (4)'!$S$31))</f>
        <v/>
      </c>
      <c r="G45" s="12" t="str">
        <f>IF(SUMIFS(RES_CNXL_SQL_3!$F:$F,RES_CNXL_SQL_3!$A:$A,'PAGE_1 (4)'!$R31,RES_CNXL_SQL_3!$D:$D,'PAGE_1 (4)'!$S$32)=0,"",SUMIFS(RES_CNXL_SQL_3!$F:$F,RES_CNXL_SQL_3!$A:$A,'PAGE_1 (4)'!$R31,RES_CNXL_SQL_3!$D:$D,'PAGE_1 (4)'!$S$32))</f>
        <v/>
      </c>
      <c r="H45" s="12" t="str">
        <f>IF(SUMIFS(RES_CNXL_SQL_3!$F:$F,RES_CNXL_SQL_3!$A:$A,'PAGE_1 (4)'!$R31,RES_CNXL_SQL_3!$D:$D,'PAGE_1 (4)'!$S$33)=0,"",SUMIFS(RES_CNXL_SQL_3!$F:$F,RES_CNXL_SQL_3!$A:$A,'PAGE_1 (4)'!$R31,RES_CNXL_SQL_3!$D:$D,'PAGE_1 (4)'!$S$33))</f>
        <v/>
      </c>
      <c r="I45" s="12" t="str">
        <f>IF(SUMIFS(RES_CNXL_SQL_3!$F:$F,RES_CNXL_SQL_3!$A:$A,'PAGE_1 (4)'!$R31,RES_CNXL_SQL_3!$D:$D,'PAGE_1 (4)'!$S$34)=0,"",SUMIFS(RES_CNXL_SQL_3!$F:$F,RES_CNXL_SQL_3!$A:$A,'PAGE_1 (4)'!$R31,RES_CNXL_SQL_3!$D:$D,'PAGE_1 (4)'!$S$34))</f>
        <v/>
      </c>
      <c r="J45" s="12" t="str">
        <f>IF(SUMIFS(RES_CNXL_SQL_3!$F:$F,RES_CNXL_SQL_3!$A:$A,'PAGE_1 (4)'!$R31,RES_CNXL_SQL_3!$D:$D,'PAGE_1 (4)'!$S$35)=0,"",SUMIFS(RES_CNXL_SQL_3!$F:$F,RES_CNXL_SQL_3!$A:$A,'PAGE_1 (4)'!$R31,RES_CNXL_SQL_3!$D:$D,'PAGE_1 (4)'!$S$35))</f>
        <v/>
      </c>
      <c r="K45" s="12" t="str">
        <f>IF(SUMIFS(RES_CNXL_SQL_3!$F:$F,RES_CNXL_SQL_3!$A:$A,'PAGE_1 (4)'!$R31,RES_CNXL_SQL_3!$D:$D,'PAGE_1 (4)'!$S$36)=0,"",SUMIFS(RES_CNXL_SQL_3!$F:$F,RES_CNXL_SQL_3!$A:$A,'PAGE_1 (4)'!$R31,RES_CNXL_SQL_3!$D:$D,'PAGE_1 (4)'!$S$36))</f>
        <v/>
      </c>
      <c r="L45" s="12" t="str">
        <f>IF(SUMIFS(RES_CNXL_SQL_3!$F:$F,RES_CNXL_SQL_3!$A:$A,'PAGE_1 (4)'!$R31,RES_CNXL_SQL_3!$D:$D,'PAGE_1 (4)'!$S$37)=0,"",SUMIFS(RES_CNXL_SQL_3!$F:$F,RES_CNXL_SQL_3!$A:$A,'PAGE_1 (4)'!$R31,RES_CNXL_SQL_3!$D:$D,'PAGE_1 (4)'!$S$37))</f>
        <v/>
      </c>
      <c r="M45" s="42" t="str">
        <f t="shared" si="2"/>
        <v/>
      </c>
      <c r="N45" s="38" t="str">
        <f>ES_MATRIX!K16</f>
        <v/>
      </c>
      <c r="O45" s="14" t="str">
        <f>IFERROR(M45-ES_MATRIX!L16,"")</f>
        <v/>
      </c>
      <c r="P45" s="40" t="str">
        <f>IF(SUMIF(RES_CNXL_SQL_3!$E:$E,'PAGE_1 (4)'!R31,RES_CNXL_SQL_3!$F:$F)=0,"",SUMIF(RES_CNXL_SQL_3!$E:$E,'PAGE_1 (4)'!R31,RES_CNXL_SQL_3!$F:$F))</f>
        <v/>
      </c>
    </row>
    <row r="46" spans="2:24" ht="13" x14ac:dyDescent="0.3">
      <c r="B46" s="64" t="s">
        <v>39</v>
      </c>
      <c r="C46" s="78">
        <f>SUMIF(SCH_DEP_SQL_4!$A:$A,'PAGE_1 (4)'!R32,SCH_DEP_SQL_4!$E:$E)</f>
        <v>316</v>
      </c>
      <c r="D46" s="17" t="str">
        <f>IF(SUMIFS(RES_CNXL_SQL_3!$F:$F,RES_CNXL_SQL_3!$A:$A,'PAGE_1 (4)'!$R32,RES_CNXL_SQL_3!$D:$D,'PAGE_1 (4)'!$S$29)=0,"",SUMIFS(RES_CNXL_SQL_3!$F:$F,RES_CNXL_SQL_3!$A:$A,'PAGE_1 (4)'!$R32,RES_CNXL_SQL_3!$D:$D,'PAGE_1 (4)'!$S$29))</f>
        <v/>
      </c>
      <c r="E46" s="17" t="str">
        <f>IF(SUMIFS(RES_CNXL_SQL_3!$F:$F,RES_CNXL_SQL_3!$A:$A,'PAGE_1 (4)'!$R32,RES_CNXL_SQL_3!$D:$D,'PAGE_1 (4)'!$S$30)=0,"",SUMIFS(RES_CNXL_SQL_3!$F:$F,RES_CNXL_SQL_3!$A:$A,'PAGE_1 (4)'!$R32,RES_CNXL_SQL_3!$D:$D,'PAGE_1 (4)'!$S$30))</f>
        <v/>
      </c>
      <c r="F46" s="17" t="str">
        <f>IF(SUMIFS(RES_CNXL_SQL_3!$F:$F,RES_CNXL_SQL_3!$A:$A,'PAGE_1 (4)'!$R32,RES_CNXL_SQL_3!$D:$D,'PAGE_1 (4)'!$S$31)=0,"",SUMIFS(RES_CNXL_SQL_3!$F:$F,RES_CNXL_SQL_3!$A:$A,'PAGE_1 (4)'!$R32,RES_CNXL_SQL_3!$D:$D,'PAGE_1 (4)'!$S$31))</f>
        <v/>
      </c>
      <c r="G46" s="17" t="str">
        <f>IF(SUMIFS(RES_CNXL_SQL_3!$F:$F,RES_CNXL_SQL_3!$A:$A,'PAGE_1 (4)'!$R32,RES_CNXL_SQL_3!$D:$D,'PAGE_1 (4)'!$S$32)=0,"",SUMIFS(RES_CNXL_SQL_3!$F:$F,RES_CNXL_SQL_3!$A:$A,'PAGE_1 (4)'!$R32,RES_CNXL_SQL_3!$D:$D,'PAGE_1 (4)'!$S$32))</f>
        <v/>
      </c>
      <c r="H46" s="17" t="str">
        <f>IF(SUMIFS(RES_CNXL_SQL_3!$F:$F,RES_CNXL_SQL_3!$A:$A,'PAGE_1 (4)'!$R32,RES_CNXL_SQL_3!$D:$D,'PAGE_1 (4)'!$S$33)=0,"",SUMIFS(RES_CNXL_SQL_3!$F:$F,RES_CNXL_SQL_3!$A:$A,'PAGE_1 (4)'!$R32,RES_CNXL_SQL_3!$D:$D,'PAGE_1 (4)'!$S$33))</f>
        <v/>
      </c>
      <c r="I46" s="17" t="str">
        <f>IF(SUMIFS(RES_CNXL_SQL_3!$F:$F,RES_CNXL_SQL_3!$A:$A,'PAGE_1 (4)'!$R32,RES_CNXL_SQL_3!$D:$D,'PAGE_1 (4)'!$S$34)=0,"",SUMIFS(RES_CNXL_SQL_3!$F:$F,RES_CNXL_SQL_3!$A:$A,'PAGE_1 (4)'!$R32,RES_CNXL_SQL_3!$D:$D,'PAGE_1 (4)'!$S$34))</f>
        <v/>
      </c>
      <c r="J46" s="17" t="str">
        <f>IF(SUMIFS(RES_CNXL_SQL_3!$F:$F,RES_CNXL_SQL_3!$A:$A,'PAGE_1 (4)'!$R32,RES_CNXL_SQL_3!$D:$D,'PAGE_1 (4)'!$S$35)=0,"",SUMIFS(RES_CNXL_SQL_3!$F:$F,RES_CNXL_SQL_3!$A:$A,'PAGE_1 (4)'!$R32,RES_CNXL_SQL_3!$D:$D,'PAGE_1 (4)'!$S$35))</f>
        <v/>
      </c>
      <c r="K46" s="17" t="str">
        <f>IF(SUMIFS(RES_CNXL_SQL_3!$F:$F,RES_CNXL_SQL_3!$A:$A,'PAGE_1 (4)'!$R32,RES_CNXL_SQL_3!$D:$D,'PAGE_1 (4)'!$S$36)=0,"",SUMIFS(RES_CNXL_SQL_3!$F:$F,RES_CNXL_SQL_3!$A:$A,'PAGE_1 (4)'!$R32,RES_CNXL_SQL_3!$D:$D,'PAGE_1 (4)'!$S$36))</f>
        <v/>
      </c>
      <c r="L46" s="17" t="str">
        <f>IF(SUMIFS(RES_CNXL_SQL_3!$F:$F,RES_CNXL_SQL_3!$A:$A,'PAGE_1 (4)'!$R32,RES_CNXL_SQL_3!$D:$D,'PAGE_1 (4)'!$S$37)=0,"",SUMIFS(RES_CNXL_SQL_3!$F:$F,RES_CNXL_SQL_3!$A:$A,'PAGE_1 (4)'!$R32,RES_CNXL_SQL_3!$D:$D,'PAGE_1 (4)'!$S$37))</f>
        <v/>
      </c>
      <c r="M46" s="18" t="str">
        <f t="shared" si="2"/>
        <v/>
      </c>
      <c r="N46" s="18" t="str">
        <f>ES_MATRIX!K17</f>
        <v/>
      </c>
      <c r="O46" s="18" t="str">
        <f>IFERROR(M46-ES_MATRIX!L17,"")</f>
        <v/>
      </c>
      <c r="P46" s="16" t="str">
        <f>IF(SUMIF(RES_CNXL_SQL_3!$E:$E,'PAGE_1 (4)'!R32,RES_CNXL_SQL_3!$F:$F)=0,"",SUMIF(RES_CNXL_SQL_3!$E:$E,'PAGE_1 (4)'!R32,RES_CNXL_SQL_3!$F:$F))</f>
        <v/>
      </c>
    </row>
    <row r="47" spans="2:24" ht="13" x14ac:dyDescent="0.3">
      <c r="B47" s="63" t="s">
        <v>41</v>
      </c>
      <c r="C47" s="77">
        <f>SUMIF(SCH_DEP_SQL_4!$A:$A,'PAGE_1 (4)'!R33,SCH_DEP_SQL_4!$E:$E)</f>
        <v>237</v>
      </c>
      <c r="D47" s="12" t="str">
        <f>IF(SUMIFS(RES_CNXL_SQL_3!$F:$F,RES_CNXL_SQL_3!$A:$A,'PAGE_1 (4)'!$R33,RES_CNXL_SQL_3!$D:$D,'PAGE_1 (4)'!$S$29)=0,"",SUMIFS(RES_CNXL_SQL_3!$F:$F,RES_CNXL_SQL_3!$A:$A,'PAGE_1 (4)'!$R33,RES_CNXL_SQL_3!$D:$D,'PAGE_1 (4)'!$S$29))</f>
        <v/>
      </c>
      <c r="E47" s="12" t="str">
        <f>IF(SUMIFS(RES_CNXL_SQL_3!$F:$F,RES_CNXL_SQL_3!$A:$A,'PAGE_1 (4)'!$R33,RES_CNXL_SQL_3!$D:$D,'PAGE_1 (4)'!$S$30)=0,"",SUMIFS(RES_CNXL_SQL_3!$F:$F,RES_CNXL_SQL_3!$A:$A,'PAGE_1 (4)'!$R33,RES_CNXL_SQL_3!$D:$D,'PAGE_1 (4)'!$S$30))</f>
        <v/>
      </c>
      <c r="F47" s="12" t="str">
        <f>IF(SUMIFS(RES_CNXL_SQL_3!$F:$F,RES_CNXL_SQL_3!$A:$A,'PAGE_1 (4)'!$R33,RES_CNXL_SQL_3!$D:$D,'PAGE_1 (4)'!$S$31)=0,"",SUMIFS(RES_CNXL_SQL_3!$F:$F,RES_CNXL_SQL_3!$A:$A,'PAGE_1 (4)'!$R33,RES_CNXL_SQL_3!$D:$D,'PAGE_1 (4)'!$S$31))</f>
        <v/>
      </c>
      <c r="G47" s="12" t="str">
        <f>IF(SUMIFS(RES_CNXL_SQL_3!$F:$F,RES_CNXL_SQL_3!$A:$A,'PAGE_1 (4)'!$R33,RES_CNXL_SQL_3!$D:$D,'PAGE_1 (4)'!$S$32)=0,"",SUMIFS(RES_CNXL_SQL_3!$F:$F,RES_CNXL_SQL_3!$A:$A,'PAGE_1 (4)'!$R33,RES_CNXL_SQL_3!$D:$D,'PAGE_1 (4)'!$S$32))</f>
        <v/>
      </c>
      <c r="H47" s="12" t="str">
        <f>IF(SUMIFS(RES_CNXL_SQL_3!$F:$F,RES_CNXL_SQL_3!$A:$A,'PAGE_1 (4)'!$R33,RES_CNXL_SQL_3!$D:$D,'PAGE_1 (4)'!$S$33)=0,"",SUMIFS(RES_CNXL_SQL_3!$F:$F,RES_CNXL_SQL_3!$A:$A,'PAGE_1 (4)'!$R33,RES_CNXL_SQL_3!$D:$D,'PAGE_1 (4)'!$S$33))</f>
        <v/>
      </c>
      <c r="I47" s="12" t="str">
        <f>IF(SUMIFS(RES_CNXL_SQL_3!$F:$F,RES_CNXL_SQL_3!$A:$A,'PAGE_1 (4)'!$R33,RES_CNXL_SQL_3!$D:$D,'PAGE_1 (4)'!$S$34)=0,"",SUMIFS(RES_CNXL_SQL_3!$F:$F,RES_CNXL_SQL_3!$A:$A,'PAGE_1 (4)'!$R33,RES_CNXL_SQL_3!$D:$D,'PAGE_1 (4)'!$S$34))</f>
        <v/>
      </c>
      <c r="J47" s="12" t="str">
        <f>IF(SUMIFS(RES_CNXL_SQL_3!$F:$F,RES_CNXL_SQL_3!$A:$A,'PAGE_1 (4)'!$R33,RES_CNXL_SQL_3!$D:$D,'PAGE_1 (4)'!$S$35)=0,"",SUMIFS(RES_CNXL_SQL_3!$F:$F,RES_CNXL_SQL_3!$A:$A,'PAGE_1 (4)'!$R33,RES_CNXL_SQL_3!$D:$D,'PAGE_1 (4)'!$S$35))</f>
        <v/>
      </c>
      <c r="K47" s="12" t="str">
        <f>IF(SUMIFS(RES_CNXL_SQL_3!$F:$F,RES_CNXL_SQL_3!$A:$A,'PAGE_1 (4)'!$R33,RES_CNXL_SQL_3!$D:$D,'PAGE_1 (4)'!$S$36)=0,"",SUMIFS(RES_CNXL_SQL_3!$F:$F,RES_CNXL_SQL_3!$A:$A,'PAGE_1 (4)'!$R33,RES_CNXL_SQL_3!$D:$D,'PAGE_1 (4)'!$S$36))</f>
        <v/>
      </c>
      <c r="L47" s="12" t="str">
        <f>IF(SUMIFS(RES_CNXL_SQL_3!$F:$F,RES_CNXL_SQL_3!$A:$A,'PAGE_1 (4)'!$R33,RES_CNXL_SQL_3!$D:$D,'PAGE_1 (4)'!$S$37)=0,"",SUMIFS(RES_CNXL_SQL_3!$F:$F,RES_CNXL_SQL_3!$A:$A,'PAGE_1 (4)'!$R33,RES_CNXL_SQL_3!$D:$D,'PAGE_1 (4)'!$S$37))</f>
        <v/>
      </c>
      <c r="M47" s="42" t="str">
        <f t="shared" si="2"/>
        <v/>
      </c>
      <c r="N47" s="38" t="str">
        <f>ES_MATRIX!K18</f>
        <v/>
      </c>
      <c r="O47" s="14" t="str">
        <f>IFERROR(M47-ES_MATRIX!L18,"")</f>
        <v/>
      </c>
      <c r="P47" s="40" t="str">
        <f>IF(SUMIF(RES_CNXL_SQL_3!$E:$E,'PAGE_1 (4)'!R33,RES_CNXL_SQL_3!$F:$F)=0,"",SUMIF(RES_CNXL_SQL_3!$E:$E,'PAGE_1 (4)'!R33,RES_CNXL_SQL_3!$F:$F))</f>
        <v/>
      </c>
    </row>
    <row r="48" spans="2:24" ht="13" x14ac:dyDescent="0.3">
      <c r="B48" s="64" t="s">
        <v>43</v>
      </c>
      <c r="C48" s="78">
        <f>SUMIF(SCH_DEP_SQL_4!$A:$A,'PAGE_1 (4)'!R34,SCH_DEP_SQL_4!$E:$E)</f>
        <v>221</v>
      </c>
      <c r="D48" s="17" t="str">
        <f>IF(SUMIFS(RES_CNXL_SQL_3!$F:$F,RES_CNXL_SQL_3!$A:$A,'PAGE_1 (4)'!$R34,RES_CNXL_SQL_3!$D:$D,'PAGE_1 (4)'!$S$29)=0,"",SUMIFS(RES_CNXL_SQL_3!$F:$F,RES_CNXL_SQL_3!$A:$A,'PAGE_1 (4)'!$R34,RES_CNXL_SQL_3!$D:$D,'PAGE_1 (4)'!$S$29))</f>
        <v/>
      </c>
      <c r="E48" s="17" t="str">
        <f>IF(SUMIFS(RES_CNXL_SQL_3!$F:$F,RES_CNXL_SQL_3!$A:$A,'PAGE_1 (4)'!$R34,RES_CNXL_SQL_3!$D:$D,'PAGE_1 (4)'!$S$30)=0,"",SUMIFS(RES_CNXL_SQL_3!$F:$F,RES_CNXL_SQL_3!$A:$A,'PAGE_1 (4)'!$R34,RES_CNXL_SQL_3!$D:$D,'PAGE_1 (4)'!$S$30))</f>
        <v/>
      </c>
      <c r="F48" s="17" t="str">
        <f>IF(SUMIFS(RES_CNXL_SQL_3!$F:$F,RES_CNXL_SQL_3!$A:$A,'PAGE_1 (4)'!$R34,RES_CNXL_SQL_3!$D:$D,'PAGE_1 (4)'!$S$31)=0,"",SUMIFS(RES_CNXL_SQL_3!$F:$F,RES_CNXL_SQL_3!$A:$A,'PAGE_1 (4)'!$R34,RES_CNXL_SQL_3!$D:$D,'PAGE_1 (4)'!$S$31))</f>
        <v/>
      </c>
      <c r="G48" s="17" t="str">
        <f>IF(SUMIFS(RES_CNXL_SQL_3!$F:$F,RES_CNXL_SQL_3!$A:$A,'PAGE_1 (4)'!$R34,RES_CNXL_SQL_3!$D:$D,'PAGE_1 (4)'!$S$32)=0,"",SUMIFS(RES_CNXL_SQL_3!$F:$F,RES_CNXL_SQL_3!$A:$A,'PAGE_1 (4)'!$R34,RES_CNXL_SQL_3!$D:$D,'PAGE_1 (4)'!$S$32))</f>
        <v/>
      </c>
      <c r="H48" s="17" t="str">
        <f>IF(SUMIFS(RES_CNXL_SQL_3!$F:$F,RES_CNXL_SQL_3!$A:$A,'PAGE_1 (4)'!$R34,RES_CNXL_SQL_3!$D:$D,'PAGE_1 (4)'!$S$33)=0,"",SUMIFS(RES_CNXL_SQL_3!$F:$F,RES_CNXL_SQL_3!$A:$A,'PAGE_1 (4)'!$R34,RES_CNXL_SQL_3!$D:$D,'PAGE_1 (4)'!$S$33))</f>
        <v/>
      </c>
      <c r="I48" s="17" t="str">
        <f>IF(SUMIFS(RES_CNXL_SQL_3!$F:$F,RES_CNXL_SQL_3!$A:$A,'PAGE_1 (4)'!$R34,RES_CNXL_SQL_3!$D:$D,'PAGE_1 (4)'!$S$34)=0,"",SUMIFS(RES_CNXL_SQL_3!$F:$F,RES_CNXL_SQL_3!$A:$A,'PAGE_1 (4)'!$R34,RES_CNXL_SQL_3!$D:$D,'PAGE_1 (4)'!$S$34))</f>
        <v/>
      </c>
      <c r="J48" s="17" t="str">
        <f>IF(SUMIFS(RES_CNXL_SQL_3!$F:$F,RES_CNXL_SQL_3!$A:$A,'PAGE_1 (4)'!$R34,RES_CNXL_SQL_3!$D:$D,'PAGE_1 (4)'!$S$35)=0,"",SUMIFS(RES_CNXL_SQL_3!$F:$F,RES_CNXL_SQL_3!$A:$A,'PAGE_1 (4)'!$R34,RES_CNXL_SQL_3!$D:$D,'PAGE_1 (4)'!$S$35))</f>
        <v/>
      </c>
      <c r="K48" s="17" t="str">
        <f>IF(SUMIFS(RES_CNXL_SQL_3!$F:$F,RES_CNXL_SQL_3!$A:$A,'PAGE_1 (4)'!$R34,RES_CNXL_SQL_3!$D:$D,'PAGE_1 (4)'!$S$36)=0,"",SUMIFS(RES_CNXL_SQL_3!$F:$F,RES_CNXL_SQL_3!$A:$A,'PAGE_1 (4)'!$R34,RES_CNXL_SQL_3!$D:$D,'PAGE_1 (4)'!$S$36))</f>
        <v/>
      </c>
      <c r="L48" s="17" t="str">
        <f>IF(SUMIFS(RES_CNXL_SQL_3!$F:$F,RES_CNXL_SQL_3!$A:$A,'PAGE_1 (4)'!$R34,RES_CNXL_SQL_3!$D:$D,'PAGE_1 (4)'!$S$37)=0,"",SUMIFS(RES_CNXL_SQL_3!$F:$F,RES_CNXL_SQL_3!$A:$A,'PAGE_1 (4)'!$R34,RES_CNXL_SQL_3!$D:$D,'PAGE_1 (4)'!$S$37))</f>
        <v/>
      </c>
      <c r="M48" s="41" t="str">
        <f t="shared" si="2"/>
        <v/>
      </c>
      <c r="N48" s="18" t="str">
        <f>ES_MATRIX!K19</f>
        <v/>
      </c>
      <c r="O48" s="18" t="str">
        <f>IFERROR(M48-ES_MATRIX!L19,"")</f>
        <v/>
      </c>
      <c r="P48" s="16" t="str">
        <f>IF(SUMIF(RES_CNXL_SQL_3!$E:$E,'PAGE_1 (4)'!R34,RES_CNXL_SQL_3!$F:$F)=0,"",SUMIF(RES_CNXL_SQL_3!$E:$E,'PAGE_1 (4)'!R34,RES_CNXL_SQL_3!$F:$F))</f>
        <v/>
      </c>
    </row>
    <row r="49" spans="2:16" ht="13" x14ac:dyDescent="0.3">
      <c r="B49" s="63" t="s">
        <v>44</v>
      </c>
      <c r="C49" s="77">
        <f>SUMIF(SCH_DEP_SQL_4!$A:$A,'PAGE_1 (4)'!R35,SCH_DEP_SQL_4!$E:$E)</f>
        <v>227</v>
      </c>
      <c r="D49" s="12" t="str">
        <f>IF(SUMIFS(RES_CNXL_SQL_3!$F:$F,RES_CNXL_SQL_3!$A:$A,'PAGE_1 (4)'!$R35,RES_CNXL_SQL_3!$D:$D,'PAGE_1 (4)'!$S$29)=0,"",SUMIFS(RES_CNXL_SQL_3!$F:$F,RES_CNXL_SQL_3!$A:$A,'PAGE_1 (4)'!$R35,RES_CNXL_SQL_3!$D:$D,'PAGE_1 (4)'!$S$29))</f>
        <v/>
      </c>
      <c r="E49" s="12" t="str">
        <f>IF(SUMIFS(RES_CNXL_SQL_3!$F:$F,RES_CNXL_SQL_3!$A:$A,'PAGE_1 (4)'!$R35,RES_CNXL_SQL_3!$D:$D,'PAGE_1 (4)'!$S$30)=0,"",SUMIFS(RES_CNXL_SQL_3!$F:$F,RES_CNXL_SQL_3!$A:$A,'PAGE_1 (4)'!$R35,RES_CNXL_SQL_3!$D:$D,'PAGE_1 (4)'!$S$30))</f>
        <v/>
      </c>
      <c r="F49" s="12" t="str">
        <f>IF(SUMIFS(RES_CNXL_SQL_3!$F:$F,RES_CNXL_SQL_3!$A:$A,'PAGE_1 (4)'!$R35,RES_CNXL_SQL_3!$D:$D,'PAGE_1 (4)'!$S$31)=0,"",SUMIFS(RES_CNXL_SQL_3!$F:$F,RES_CNXL_SQL_3!$A:$A,'PAGE_1 (4)'!$R35,RES_CNXL_SQL_3!$D:$D,'PAGE_1 (4)'!$S$31))</f>
        <v/>
      </c>
      <c r="G49" s="12" t="str">
        <f>IF(SUMIFS(RES_CNXL_SQL_3!$F:$F,RES_CNXL_SQL_3!$A:$A,'PAGE_1 (4)'!$R35,RES_CNXL_SQL_3!$D:$D,'PAGE_1 (4)'!$S$32)=0,"",SUMIFS(RES_CNXL_SQL_3!$F:$F,RES_CNXL_SQL_3!$A:$A,'PAGE_1 (4)'!$R35,RES_CNXL_SQL_3!$D:$D,'PAGE_1 (4)'!$S$32))</f>
        <v/>
      </c>
      <c r="H49" s="12" t="str">
        <f>IF(SUMIFS(RES_CNXL_SQL_3!$F:$F,RES_CNXL_SQL_3!$A:$A,'PAGE_1 (4)'!$R35,RES_CNXL_SQL_3!$D:$D,'PAGE_1 (4)'!$S$33)=0,"",SUMIFS(RES_CNXL_SQL_3!$F:$F,RES_CNXL_SQL_3!$A:$A,'PAGE_1 (4)'!$R35,RES_CNXL_SQL_3!$D:$D,'PAGE_1 (4)'!$S$33))</f>
        <v/>
      </c>
      <c r="I49" s="12" t="str">
        <f>IF(SUMIFS(RES_CNXL_SQL_3!$F:$F,RES_CNXL_SQL_3!$A:$A,'PAGE_1 (4)'!$R35,RES_CNXL_SQL_3!$D:$D,'PAGE_1 (4)'!$S$34)=0,"",SUMIFS(RES_CNXL_SQL_3!$F:$F,RES_CNXL_SQL_3!$A:$A,'PAGE_1 (4)'!$R35,RES_CNXL_SQL_3!$D:$D,'PAGE_1 (4)'!$S$34))</f>
        <v/>
      </c>
      <c r="J49" s="12" t="str">
        <f>IF(SUMIFS(RES_CNXL_SQL_3!$F:$F,RES_CNXL_SQL_3!$A:$A,'PAGE_1 (4)'!$R35,RES_CNXL_SQL_3!$D:$D,'PAGE_1 (4)'!$S$35)=0,"",SUMIFS(RES_CNXL_SQL_3!$F:$F,RES_CNXL_SQL_3!$A:$A,'PAGE_1 (4)'!$R35,RES_CNXL_SQL_3!$D:$D,'PAGE_1 (4)'!$S$35))</f>
        <v/>
      </c>
      <c r="K49" s="12" t="str">
        <f>IF(SUMIFS(RES_CNXL_SQL_3!$F:$F,RES_CNXL_SQL_3!$A:$A,'PAGE_1 (4)'!$R35,RES_CNXL_SQL_3!$D:$D,'PAGE_1 (4)'!$S$36)=0,"",SUMIFS(RES_CNXL_SQL_3!$F:$F,RES_CNXL_SQL_3!$A:$A,'PAGE_1 (4)'!$R35,RES_CNXL_SQL_3!$D:$D,'PAGE_1 (4)'!$S$36))</f>
        <v/>
      </c>
      <c r="L49" s="12" t="str">
        <f>IF(SUMIFS(RES_CNXL_SQL_3!$F:$F,RES_CNXL_SQL_3!$A:$A,'PAGE_1 (4)'!$R35,RES_CNXL_SQL_3!$D:$D,'PAGE_1 (4)'!$S$37)=0,"",SUMIFS(RES_CNXL_SQL_3!$F:$F,RES_CNXL_SQL_3!$A:$A,'PAGE_1 (4)'!$R35,RES_CNXL_SQL_3!$D:$D,'PAGE_1 (4)'!$S$37))</f>
        <v/>
      </c>
      <c r="M49" s="38" t="str">
        <f t="shared" si="2"/>
        <v/>
      </c>
      <c r="N49" s="38" t="str">
        <f>ES_MATRIX!K20</f>
        <v/>
      </c>
      <c r="O49" s="14" t="str">
        <f>IFERROR(M49-ES_MATRIX!L20,"")</f>
        <v/>
      </c>
      <c r="P49" s="40" t="str">
        <f>IF(SUMIF(RES_CNXL_SQL_3!$E:$E,'PAGE_1 (4)'!R35,RES_CNXL_SQL_3!$F:$F)=0,"",SUMIF(RES_CNXL_SQL_3!$E:$E,'PAGE_1 (4)'!R35,RES_CNXL_SQL_3!$F:$F))</f>
        <v/>
      </c>
    </row>
    <row r="50" spans="2:16" ht="13.5" thickBot="1" x14ac:dyDescent="0.35">
      <c r="B50" s="64" t="s">
        <v>45</v>
      </c>
      <c r="C50" s="78">
        <f>SUMIF(SCH_DEP_SQL_4!$A:$A,'PAGE_1 (4)'!R36,SCH_DEP_SQL_4!$E:$E)</f>
        <v>0</v>
      </c>
      <c r="D50" s="17" t="str">
        <f>IF(SUMIFS(RES_CNXL_SQL_3!$F:$F,RES_CNXL_SQL_3!$A:$A,'PAGE_1 (4)'!$R36,RES_CNXL_SQL_3!$D:$D,'PAGE_1 (4)'!$S$29)=0,"",SUMIFS(RES_CNXL_SQL_3!$F:$F,RES_CNXL_SQL_3!$A:$A,'PAGE_1 (4)'!$R36,RES_CNXL_SQL_3!$D:$D,'PAGE_1 (4)'!$S$29))</f>
        <v/>
      </c>
      <c r="E50" s="17" t="str">
        <f>IF(SUMIFS(RES_CNXL_SQL_3!$F:$F,RES_CNXL_SQL_3!$A:$A,'PAGE_1 (4)'!$R36,RES_CNXL_SQL_3!$D:$D,'PAGE_1 (4)'!$S$30)=0,"",SUMIFS(RES_CNXL_SQL_3!$F:$F,RES_CNXL_SQL_3!$A:$A,'PAGE_1 (4)'!$R36,RES_CNXL_SQL_3!$D:$D,'PAGE_1 (4)'!$S$30))</f>
        <v/>
      </c>
      <c r="F50" s="17" t="str">
        <f>IF(SUMIFS(RES_CNXL_SQL_3!$F:$F,RES_CNXL_SQL_3!$A:$A,'PAGE_1 (4)'!$R36,RES_CNXL_SQL_3!$D:$D,'PAGE_1 (4)'!$S$31)=0,"",SUMIFS(RES_CNXL_SQL_3!$F:$F,RES_CNXL_SQL_3!$A:$A,'PAGE_1 (4)'!$R36,RES_CNXL_SQL_3!$D:$D,'PAGE_1 (4)'!$S$31))</f>
        <v/>
      </c>
      <c r="G50" s="17" t="str">
        <f>IF(SUMIFS(RES_CNXL_SQL_3!$F:$F,RES_CNXL_SQL_3!$A:$A,'PAGE_1 (4)'!$R36,RES_CNXL_SQL_3!$D:$D,'PAGE_1 (4)'!$S$32)=0,"",SUMIFS(RES_CNXL_SQL_3!$F:$F,RES_CNXL_SQL_3!$A:$A,'PAGE_1 (4)'!$R36,RES_CNXL_SQL_3!$D:$D,'PAGE_1 (4)'!$S$32))</f>
        <v/>
      </c>
      <c r="H50" s="17" t="str">
        <f>IF(SUMIFS(RES_CNXL_SQL_3!$F:$F,RES_CNXL_SQL_3!$A:$A,'PAGE_1 (4)'!$R36,RES_CNXL_SQL_3!$D:$D,'PAGE_1 (4)'!$S$33)=0,"",SUMIFS(RES_CNXL_SQL_3!$F:$F,RES_CNXL_SQL_3!$A:$A,'PAGE_1 (4)'!$R36,RES_CNXL_SQL_3!$D:$D,'PAGE_1 (4)'!$S$33))</f>
        <v/>
      </c>
      <c r="I50" s="17" t="str">
        <f>IF(SUMIFS(RES_CNXL_SQL_3!$F:$F,RES_CNXL_SQL_3!$A:$A,'PAGE_1 (4)'!$R36,RES_CNXL_SQL_3!$D:$D,'PAGE_1 (4)'!$S$34)=0,"",SUMIFS(RES_CNXL_SQL_3!$F:$F,RES_CNXL_SQL_3!$A:$A,'PAGE_1 (4)'!$R36,RES_CNXL_SQL_3!$D:$D,'PAGE_1 (4)'!$S$34))</f>
        <v/>
      </c>
      <c r="J50" s="17" t="str">
        <f>IF(SUMIFS(RES_CNXL_SQL_3!$F:$F,RES_CNXL_SQL_3!$A:$A,'PAGE_1 (4)'!$R36,RES_CNXL_SQL_3!$D:$D,'PAGE_1 (4)'!$S$35)=0,"",SUMIFS(RES_CNXL_SQL_3!$F:$F,RES_CNXL_SQL_3!$A:$A,'PAGE_1 (4)'!$R36,RES_CNXL_SQL_3!$D:$D,'PAGE_1 (4)'!$S$35))</f>
        <v/>
      </c>
      <c r="K50" s="17" t="str">
        <f>IF(SUMIFS(RES_CNXL_SQL_3!$F:$F,RES_CNXL_SQL_3!$A:$A,'PAGE_1 (4)'!$R36,RES_CNXL_SQL_3!$D:$D,'PAGE_1 (4)'!$S$36)=0,"",SUMIFS(RES_CNXL_SQL_3!$F:$F,RES_CNXL_SQL_3!$A:$A,'PAGE_1 (4)'!$R36,RES_CNXL_SQL_3!$D:$D,'PAGE_1 (4)'!$S$36))</f>
        <v/>
      </c>
      <c r="L50" s="17" t="str">
        <f>IF(SUMIFS(RES_CNXL_SQL_3!$F:$F,RES_CNXL_SQL_3!$A:$A,'PAGE_1 (4)'!$R36,RES_CNXL_SQL_3!$D:$D,'PAGE_1 (4)'!$S$37)=0,"",SUMIFS(RES_CNXL_SQL_3!$F:$F,RES_CNXL_SQL_3!$A:$A,'PAGE_1 (4)'!$R36,RES_CNXL_SQL_3!$D:$D,'PAGE_1 (4)'!$S$37))</f>
        <v/>
      </c>
      <c r="M50" s="18" t="str">
        <f t="shared" si="2"/>
        <v/>
      </c>
      <c r="N50" s="18" t="str">
        <f>ES_MATRIX!K21</f>
        <v/>
      </c>
      <c r="O50" s="18" t="str">
        <f>IFERROR(M50-ES_MATRIX!L21,"")</f>
        <v/>
      </c>
      <c r="P50" s="16" t="str">
        <f>IF(SUMIF(RES_CNXL_SQL_3!$E:$E,'PAGE_1 (4)'!R36,RES_CNXL_SQL_3!$F:$F)=0,"",SUMIF(RES_CNXL_SQL_3!$E:$E,'PAGE_1 (4)'!R36,RES_CNXL_SQL_3!$F:$F))</f>
        <v/>
      </c>
    </row>
    <row r="51" spans="2:16" ht="13.5" thickBot="1" x14ac:dyDescent="0.35">
      <c r="B51" s="65" t="s">
        <v>47</v>
      </c>
      <c r="C51" s="79">
        <f>SUM(C43:C50)</f>
        <v>1973</v>
      </c>
      <c r="D51" s="22" t="str">
        <f>IF(SUM(D43:D50)=0,"",SUM(D43:D50))</f>
        <v/>
      </c>
      <c r="E51" s="22" t="str">
        <f t="shared" ref="E51:L51" si="3">IF(SUM(E43:E50)=0,"",SUM(E43:E50))</f>
        <v/>
      </c>
      <c r="F51" s="22" t="str">
        <f t="shared" si="3"/>
        <v/>
      </c>
      <c r="G51" s="22" t="str">
        <f t="shared" si="3"/>
        <v/>
      </c>
      <c r="H51" s="22" t="str">
        <f t="shared" si="3"/>
        <v/>
      </c>
      <c r="I51" s="22" t="str">
        <f t="shared" si="3"/>
        <v/>
      </c>
      <c r="J51" s="22" t="str">
        <f t="shared" si="3"/>
        <v/>
      </c>
      <c r="K51" s="22" t="str">
        <f t="shared" si="3"/>
        <v/>
      </c>
      <c r="L51" s="22" t="str">
        <f t="shared" si="3"/>
        <v/>
      </c>
      <c r="M51" s="23">
        <f>SUM(M43:M50)</f>
        <v>0</v>
      </c>
      <c r="N51" s="23"/>
      <c r="O51" s="23">
        <f>SUM(O43:O50)</f>
        <v>0</v>
      </c>
      <c r="P51" s="23">
        <f>SUM(P43:P50)</f>
        <v>0</v>
      </c>
    </row>
    <row r="52" spans="2:16" ht="21" customHeight="1" x14ac:dyDescent="0.3">
      <c r="C52" s="66"/>
    </row>
  </sheetData>
  <mergeCells count="13">
    <mergeCell ref="E18:F18"/>
    <mergeCell ref="E24:F24"/>
    <mergeCell ref="B2:C2"/>
    <mergeCell ref="D2:E2"/>
    <mergeCell ref="B4:H4"/>
    <mergeCell ref="B16:K16"/>
    <mergeCell ref="B27:P27"/>
    <mergeCell ref="B41:P41"/>
    <mergeCell ref="E19:F19"/>
    <mergeCell ref="E20:F20"/>
    <mergeCell ref="E21:F21"/>
    <mergeCell ref="E22:F22"/>
    <mergeCell ref="E23:F23"/>
  </mergeCells>
  <conditionalFormatting sqref="D8">
    <cfRule type="iconSet" priority="85">
      <iconSet>
        <cfvo type="percent" val="0"/>
        <cfvo type="num" val="$E$8"/>
        <cfvo type="num" val="$E$8"/>
      </iconSet>
    </cfRule>
  </conditionalFormatting>
  <conditionalFormatting sqref="D6">
    <cfRule type="iconSet" priority="87">
      <iconSet>
        <cfvo type="percent" val="0"/>
        <cfvo type="num" val="$E$6"/>
        <cfvo type="num" val="$E$6"/>
      </iconSet>
    </cfRule>
  </conditionalFormatting>
  <conditionalFormatting sqref="C7">
    <cfRule type="iconSet" priority="82">
      <iconSet>
        <cfvo type="percent" val="0"/>
        <cfvo type="num" val="$E$7"/>
        <cfvo type="num" val="$E$7"/>
      </iconSet>
    </cfRule>
  </conditionalFormatting>
  <conditionalFormatting sqref="C8">
    <cfRule type="iconSet" priority="81">
      <iconSet>
        <cfvo type="percent" val="0"/>
        <cfvo type="num" val="$E$8"/>
        <cfvo type="num" val="$E$8"/>
      </iconSet>
    </cfRule>
  </conditionalFormatting>
  <conditionalFormatting sqref="C9">
    <cfRule type="iconSet" priority="80">
      <iconSet>
        <cfvo type="percent" val="0"/>
        <cfvo type="num" val="$E$9"/>
        <cfvo type="num" val="$E$9"/>
      </iconSet>
    </cfRule>
  </conditionalFormatting>
  <conditionalFormatting sqref="C10">
    <cfRule type="iconSet" priority="79">
      <iconSet>
        <cfvo type="percent" val="0"/>
        <cfvo type="num" val="$E$10"/>
        <cfvo type="num" val="$E$10"/>
      </iconSet>
    </cfRule>
  </conditionalFormatting>
  <conditionalFormatting sqref="C11">
    <cfRule type="iconSet" priority="78">
      <iconSet>
        <cfvo type="percent" val="0"/>
        <cfvo type="num" val="$E$11"/>
        <cfvo type="num" val="$E$11"/>
      </iconSet>
    </cfRule>
  </conditionalFormatting>
  <conditionalFormatting sqref="D7">
    <cfRule type="iconSet" priority="77">
      <iconSet>
        <cfvo type="percent" val="0"/>
        <cfvo type="num" val="$E$7"/>
        <cfvo type="num" val="$E$7"/>
      </iconSet>
    </cfRule>
  </conditionalFormatting>
  <conditionalFormatting sqref="D9">
    <cfRule type="iconSet" priority="76">
      <iconSet>
        <cfvo type="percent" val="0"/>
        <cfvo type="num" val="$E$9"/>
        <cfvo type="num" val="$E$9"/>
      </iconSet>
    </cfRule>
  </conditionalFormatting>
  <conditionalFormatting sqref="D10">
    <cfRule type="iconSet" priority="75">
      <iconSet>
        <cfvo type="percent" val="0"/>
        <cfvo type="num" val="$E$10"/>
        <cfvo type="num" val="$E$10"/>
      </iconSet>
    </cfRule>
  </conditionalFormatting>
  <conditionalFormatting sqref="D11">
    <cfRule type="iconSet" priority="74">
      <iconSet>
        <cfvo type="percent" val="0"/>
        <cfvo type="num" val="$E$11"/>
        <cfvo type="num" val="$E$11"/>
      </iconSet>
    </cfRule>
  </conditionalFormatting>
  <conditionalFormatting sqref="D29:D36">
    <cfRule type="top10" dxfId="225" priority="73" rank="1"/>
  </conditionalFormatting>
  <conditionalFormatting sqref="E29:E36">
    <cfRule type="top10" dxfId="224" priority="72" rank="1"/>
  </conditionalFormatting>
  <conditionalFormatting sqref="F29:F36">
    <cfRule type="top10" dxfId="223" priority="71" rank="1"/>
  </conditionalFormatting>
  <conditionalFormatting sqref="G29:G36">
    <cfRule type="top10" dxfId="222" priority="70" rank="1"/>
  </conditionalFormatting>
  <conditionalFormatting sqref="H29:H36">
    <cfRule type="top10" dxfId="221" priority="69" rank="1"/>
  </conditionalFormatting>
  <conditionalFormatting sqref="I29:I36">
    <cfRule type="top10" dxfId="220" priority="68" rank="1"/>
  </conditionalFormatting>
  <conditionalFormatting sqref="J29:J36">
    <cfRule type="top10" dxfId="219" priority="67" rank="1"/>
  </conditionalFormatting>
  <conditionalFormatting sqref="K29:K36">
    <cfRule type="top10" dxfId="218" priority="66" rank="1"/>
  </conditionalFormatting>
  <conditionalFormatting sqref="L29:L36">
    <cfRule type="top10" dxfId="217" priority="65" rank="1"/>
  </conditionalFormatting>
  <conditionalFormatting sqref="D43:D50">
    <cfRule type="top10" dxfId="216" priority="64" rank="1"/>
  </conditionalFormatting>
  <conditionalFormatting sqref="E43:E50">
    <cfRule type="top10" dxfId="215" priority="63" rank="1"/>
  </conditionalFormatting>
  <conditionalFormatting sqref="F43:F50">
    <cfRule type="top10" dxfId="214" priority="62" rank="1"/>
  </conditionalFormatting>
  <conditionalFormatting sqref="G43:G50">
    <cfRule type="top10" dxfId="213" priority="61" rank="1"/>
  </conditionalFormatting>
  <conditionalFormatting sqref="H43:H50">
    <cfRule type="top10" dxfId="212" priority="60" rank="1"/>
  </conditionalFormatting>
  <conditionalFormatting sqref="I43:I50">
    <cfRule type="top10" dxfId="211" priority="59" rank="1"/>
  </conditionalFormatting>
  <conditionalFormatting sqref="J43:J50">
    <cfRule type="top10" dxfId="210" priority="58" rank="1"/>
  </conditionalFormatting>
  <conditionalFormatting sqref="K43:K50">
    <cfRule type="top10" dxfId="209" priority="57" rank="1"/>
  </conditionalFormatting>
  <conditionalFormatting sqref="L43:L50">
    <cfRule type="top10" dxfId="208" priority="56" rank="1"/>
  </conditionalFormatting>
  <conditionalFormatting sqref="F6">
    <cfRule type="cellIs" dxfId="207" priority="53" operator="greaterThan">
      <formula>0</formula>
    </cfRule>
    <cfRule type="cellIs" dxfId="206" priority="55" operator="lessThan">
      <formula>0</formula>
    </cfRule>
  </conditionalFormatting>
  <conditionalFormatting sqref="F7">
    <cfRule type="cellIs" dxfId="205" priority="54" operator="lessThan">
      <formula>0</formula>
    </cfRule>
  </conditionalFormatting>
  <conditionalFormatting sqref="G6">
    <cfRule type="cellIs" dxfId="204" priority="51" operator="greaterThan">
      <formula>0</formula>
    </cfRule>
    <cfRule type="cellIs" dxfId="203" priority="52" operator="lessThan">
      <formula>0</formula>
    </cfRule>
  </conditionalFormatting>
  <conditionalFormatting sqref="G7">
    <cfRule type="cellIs" dxfId="202" priority="48" operator="greaterThan">
      <formula>0</formula>
    </cfRule>
    <cfRule type="cellIs" dxfId="201" priority="49" operator="greaterThan">
      <formula>0</formula>
    </cfRule>
    <cfRule type="cellIs" dxfId="200" priority="50" operator="lessThan">
      <formula>0</formula>
    </cfRule>
  </conditionalFormatting>
  <conditionalFormatting sqref="G8">
    <cfRule type="cellIs" dxfId="199" priority="45" operator="greaterThan">
      <formula>0</formula>
    </cfRule>
    <cfRule type="cellIs" dxfId="198" priority="46" operator="greaterThan">
      <formula>0</formula>
    </cfRule>
    <cfRule type="cellIs" dxfId="197" priority="47" operator="lessThan">
      <formula>0</formula>
    </cfRule>
  </conditionalFormatting>
  <conditionalFormatting sqref="F8">
    <cfRule type="cellIs" dxfId="196" priority="42" operator="greaterThan">
      <formula>0</formula>
    </cfRule>
    <cfRule type="cellIs" dxfId="195" priority="43" operator="greaterThan">
      <formula>0</formula>
    </cfRule>
    <cfRule type="cellIs" dxfId="194" priority="44" operator="lessThan">
      <formula>0</formula>
    </cfRule>
  </conditionalFormatting>
  <conditionalFormatting sqref="E19:E22">
    <cfRule type="cellIs" dxfId="193" priority="31" operator="greaterThan">
      <formula>0</formula>
    </cfRule>
    <cfRule type="cellIs" dxfId="192" priority="32" operator="lessThan">
      <formula>0</formula>
    </cfRule>
  </conditionalFormatting>
  <conditionalFormatting sqref="I19">
    <cfRule type="cellIs" dxfId="191" priority="17" operator="greaterThan">
      <formula>0</formula>
    </cfRule>
    <cfRule type="cellIs" dxfId="190" priority="18" operator="lessThan">
      <formula>0</formula>
    </cfRule>
  </conditionalFormatting>
  <conditionalFormatting sqref="I20">
    <cfRule type="cellIs" dxfId="189" priority="15" operator="greaterThan">
      <formula>0</formula>
    </cfRule>
    <cfRule type="cellIs" dxfId="188" priority="16" operator="lessThan">
      <formula>0</formula>
    </cfRule>
  </conditionalFormatting>
  <conditionalFormatting sqref="J19">
    <cfRule type="cellIs" dxfId="187" priority="13" operator="greaterThan">
      <formula>0</formula>
    </cfRule>
    <cfRule type="cellIs" dxfId="186" priority="14" operator="lessThan">
      <formula>0</formula>
    </cfRule>
  </conditionalFormatting>
  <conditionalFormatting sqref="J20">
    <cfRule type="cellIs" dxfId="185" priority="11" operator="greaterThan">
      <formula>0</formula>
    </cfRule>
    <cfRule type="cellIs" dxfId="184" priority="12" operator="lessThan">
      <formula>0</formula>
    </cfRule>
  </conditionalFormatting>
  <conditionalFormatting sqref="J21">
    <cfRule type="cellIs" dxfId="183" priority="9" operator="greaterThan">
      <formula>0</formula>
    </cfRule>
    <cfRule type="cellIs" dxfId="182" priority="10" operator="lessThan">
      <formula>0</formula>
    </cfRule>
  </conditionalFormatting>
  <conditionalFormatting sqref="I22">
    <cfRule type="cellIs" dxfId="181" priority="7" operator="greaterThanOrEqual">
      <formula>0</formula>
    </cfRule>
    <cfRule type="cellIs" dxfId="180" priority="8" operator="lessThan">
      <formula>0</formula>
    </cfRule>
  </conditionalFormatting>
  <conditionalFormatting sqref="J22">
    <cfRule type="cellIs" dxfId="179" priority="5" operator="greaterThanOrEqual">
      <formula>0</formula>
    </cfRule>
    <cfRule type="cellIs" dxfId="178" priority="6" operator="lessThan">
      <formula>0</formula>
    </cfRule>
  </conditionalFormatting>
  <conditionalFormatting sqref="J23">
    <cfRule type="cellIs" dxfId="177" priority="3" operator="greaterThan">
      <formula>0</formula>
    </cfRule>
    <cfRule type="cellIs" dxfId="176" priority="4" operator="lessThan">
      <formula>0</formula>
    </cfRule>
  </conditionalFormatting>
  <conditionalFormatting sqref="E23:E24">
    <cfRule type="cellIs" dxfId="175" priority="1" operator="greaterThan">
      <formula>0</formula>
    </cfRule>
    <cfRule type="cellIs" dxfId="174" priority="2" operator="lessThan">
      <formula>0</formula>
    </cfRule>
  </conditionalFormatting>
  <pageMargins left="1" right="1" top="1" bottom="1" header="0.5" footer="0.5"/>
  <pageSetup scale="52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6" id="{414B316D-A3C1-41B0-B631-5A1CA0D08472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H6</xm:sqref>
        </x14:conditionalFormatting>
        <x14:conditionalFormatting xmlns:xm="http://schemas.microsoft.com/office/excel/2006/main">
          <x14:cfRule type="iconSet" priority="88" id="{125761AF-16FE-40A1-AF52-DB6697E272AC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C6</xm:sqref>
        </x14:conditionalFormatting>
        <x14:conditionalFormatting xmlns:xm="http://schemas.microsoft.com/office/excel/2006/main">
          <x14:cfRule type="iconSet" priority="84" id="{0C3E749C-061A-43E4-8343-8C90876A5EB1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H7</xm:sqref>
        </x14:conditionalFormatting>
        <x14:conditionalFormatting xmlns:xm="http://schemas.microsoft.com/office/excel/2006/main">
          <x14:cfRule type="iconSet" priority="83" id="{4F25CD4B-0C90-4D6F-8E9B-CF0A201B42EB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H8</xm:sqref>
        </x14:conditionalFormatting>
        <x14:conditionalFormatting xmlns:xm="http://schemas.microsoft.com/office/excel/2006/main">
          <x14:cfRule type="iconSet" priority="41" id="{5E1B523C-A42D-4DF3-9659-61ECD699F71F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K19:K23</xm:sqref>
        </x14:conditionalFormatting>
        <x14:conditionalFormatting xmlns:xm="http://schemas.microsoft.com/office/excel/2006/main">
          <x14:cfRule type="iconSet" priority="40" id="{440B4A23-D906-4987-A359-F695FCD7841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G19</xm:sqref>
        </x14:conditionalFormatting>
        <x14:conditionalFormatting xmlns:xm="http://schemas.microsoft.com/office/excel/2006/main">
          <x14:cfRule type="iconSet" priority="39" id="{B5584CB7-39FA-496A-9EEF-F8A76C05304E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G20</xm:sqref>
        </x14:conditionalFormatting>
        <x14:conditionalFormatting xmlns:xm="http://schemas.microsoft.com/office/excel/2006/main">
          <x14:cfRule type="iconSet" priority="38" id="{51D80CA7-E973-4900-A581-2675DC0C9C35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G21</xm:sqref>
        </x14:conditionalFormatting>
        <x14:conditionalFormatting xmlns:xm="http://schemas.microsoft.com/office/excel/2006/main">
          <x14:cfRule type="iconSet" priority="37" id="{84ACDBF4-DDAD-46E8-A3CC-B3296E673B25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G22</xm:sqref>
        </x14:conditionalFormatting>
        <x14:conditionalFormatting xmlns:xm="http://schemas.microsoft.com/office/excel/2006/main">
          <x14:cfRule type="iconSet" priority="36" id="{6E6A6867-CC75-4C79-8B90-2F315A92BB02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8">
    <tabColor theme="9" tint="-0.249977111117893"/>
    <pageSetUpPr fitToPage="1"/>
  </sheetPr>
  <dimension ref="A1:X55"/>
  <sheetViews>
    <sheetView showGridLines="0" topLeftCell="A15" zoomScale="85" zoomScaleNormal="85" workbookViewId="0">
      <selection activeCell="C43" sqref="C43"/>
    </sheetView>
  </sheetViews>
  <sheetFormatPr defaultColWidth="8.7265625" defaultRowHeight="12" x14ac:dyDescent="0.3"/>
  <cols>
    <col min="1" max="1" width="6" style="1" customWidth="1"/>
    <col min="2" max="2" width="21.26953125" style="1" customWidth="1"/>
    <col min="3" max="3" width="15.1796875" style="1" customWidth="1"/>
    <col min="4" max="4" width="11" style="1" customWidth="1"/>
    <col min="5" max="6" width="9.7265625" style="1" bestFit="1" customWidth="1"/>
    <col min="7" max="7" width="9.7265625" style="1" customWidth="1"/>
    <col min="8" max="8" width="10.54296875" style="1" customWidth="1"/>
    <col min="9" max="9" width="10.7265625" style="1" customWidth="1"/>
    <col min="10" max="10" width="11.1796875" style="1" customWidth="1"/>
    <col min="11" max="11" width="11.7265625" style="1" customWidth="1"/>
    <col min="12" max="12" width="9" style="1" customWidth="1"/>
    <col min="13" max="13" width="10.81640625" style="1" customWidth="1"/>
    <col min="14" max="14" width="22.08984375" style="1" customWidth="1"/>
    <col min="15" max="15" width="15.36328125" style="1" customWidth="1"/>
    <col min="16" max="16" width="26" style="1" customWidth="1"/>
    <col min="17" max="17" width="6.7265625" style="1" customWidth="1"/>
    <col min="18" max="16384" width="8.7265625" style="1"/>
  </cols>
  <sheetData>
    <row r="1" spans="2:24" ht="21" customHeight="1" thickBot="1" x14ac:dyDescent="0.35"/>
    <row r="2" spans="2:24" ht="28.9" customHeight="1" x14ac:dyDescent="0.3">
      <c r="B2" s="271" t="s">
        <v>0</v>
      </c>
      <c r="C2" s="272"/>
      <c r="D2" s="273">
        <f ca="1">TODAY()-1</f>
        <v>45971</v>
      </c>
      <c r="E2" s="274"/>
    </row>
    <row r="3" spans="2:24" customFormat="1" ht="15" thickBot="1" x14ac:dyDescent="0.4">
      <c r="F3" s="1"/>
      <c r="J3" s="58"/>
      <c r="K3" s="58"/>
      <c r="L3" s="58"/>
      <c r="M3" s="81"/>
      <c r="N3" s="81"/>
      <c r="O3" s="81"/>
      <c r="P3" s="81"/>
      <c r="Q3" s="81"/>
      <c r="R3" s="81"/>
      <c r="S3" s="81"/>
      <c r="T3" s="81"/>
    </row>
    <row r="4" spans="2:24" ht="18" customHeight="1" thickBot="1" x14ac:dyDescent="0.4">
      <c r="B4" s="285" t="s">
        <v>93</v>
      </c>
      <c r="C4" s="286"/>
      <c r="D4" s="286"/>
      <c r="E4" s="286"/>
      <c r="F4" s="286"/>
      <c r="G4" s="286"/>
      <c r="H4" s="286"/>
      <c r="I4"/>
      <c r="N4" s="116"/>
      <c r="O4" s="116"/>
      <c r="P4" s="56"/>
      <c r="Q4" s="56"/>
      <c r="R4" s="56"/>
      <c r="S4" s="116"/>
      <c r="T4" s="116"/>
    </row>
    <row r="5" spans="2:24" ht="19.899999999999999" customHeight="1" thickBot="1" x14ac:dyDescent="0.4">
      <c r="B5" s="61" t="s">
        <v>2</v>
      </c>
      <c r="C5" s="48">
        <f ca="1">TODAY()-1</f>
        <v>45971</v>
      </c>
      <c r="D5" s="45" t="s">
        <v>3</v>
      </c>
      <c r="E5" s="45" t="s">
        <v>4</v>
      </c>
      <c r="F5" s="45" t="s">
        <v>52</v>
      </c>
      <c r="G5" s="45" t="s">
        <v>53</v>
      </c>
      <c r="H5" s="46" t="s">
        <v>7</v>
      </c>
      <c r="I5"/>
      <c r="N5" s="116"/>
      <c r="O5" s="116"/>
      <c r="P5" s="56"/>
      <c r="Q5" s="56">
        <f ca="1">MONTH(TODAY()-1)</f>
        <v>11</v>
      </c>
      <c r="R5" s="56"/>
      <c r="S5" s="116"/>
      <c r="T5" s="116"/>
    </row>
    <row r="6" spans="2:24" ht="19.149999999999999" customHeight="1" x14ac:dyDescent="0.35">
      <c r="B6" s="59" t="s">
        <v>8</v>
      </c>
      <c r="C6" s="62">
        <f>UA_SQL_1!N2/UA_SQL_1!M2</f>
        <v>1973</v>
      </c>
      <c r="D6" s="62">
        <f>UA_SQL_1!F2/UA_SQL_1!E2</f>
        <v>9.4560244026436202E-3</v>
      </c>
      <c r="E6" s="124" t="s">
        <v>38</v>
      </c>
      <c r="F6" s="80">
        <f>((UA_SQL_1!$N$2/UA_SQL_1!$M$2)-(SUMIF(OA_SQL_1!$A$1:$A$3,"DL",OA_SQL_1!$K$1:$K$3)/SUMIF(OA_SQL_1!$A$1:$A$3,"DL",OA_SQL_1!$I$1:$I$3)))*100</f>
        <v>197280.03782918668</v>
      </c>
      <c r="G6" s="80">
        <f>((UA_SQL_1!$N$2/UA_SQL_1!$M$2)-(SUMIF(OA_SQL_1!$A$1:$A$3,"AA",OA_SQL_1!$K$1:$K$3)/SUMIF(OA_SQL_1!$A$1:$A$3,"AA",OA_SQL_1!$I$1:$I$3)))*100</f>
        <v>197281.15868592178</v>
      </c>
      <c r="H6" s="51">
        <f>RANK!F2</f>
        <v>3</v>
      </c>
      <c r="I6"/>
      <c r="N6" s="116"/>
      <c r="O6" s="116"/>
      <c r="P6" s="56"/>
      <c r="Q6" s="56"/>
      <c r="R6" s="56"/>
      <c r="S6" s="116"/>
      <c r="T6" s="116"/>
    </row>
    <row r="7" spans="2:24" ht="19.899999999999999" customHeight="1" x14ac:dyDescent="0.35">
      <c r="B7" s="59" t="s">
        <v>9</v>
      </c>
      <c r="C7" s="29">
        <f>UA_SQL_1!$Q$2/UA_SQL_1!$M$2</f>
        <v>1539</v>
      </c>
      <c r="D7" s="29">
        <f>UA_SQL_1!I2/UA_SQL_1!E2</f>
        <v>0.66446365022877474</v>
      </c>
      <c r="E7" s="124" t="s">
        <v>38</v>
      </c>
      <c r="F7" s="80">
        <f>((UA_SQL_1!$Q$2/UA_SQL_1!$M$2)-(SUMIF(OA_SQL_1!$A$1:$A$3,"DL",OA_SQL_1!$L$1:$L$3)/SUMIF(OA_SQL_1!$A$1:$A$3,"DL",OA_SQL_1!$I$1:$I$3)))*100</f>
        <v>153875.29463116542</v>
      </c>
      <c r="G7" s="80">
        <f>((UA_SQL_1!$Q$2/UA_SQL_1!$M$2)-(SUMIF(OA_SQL_1!$A$1:$A$3,"AA",OA_SQL_1!$L$1:$L$3)/SUMIF(OA_SQL_1!$A$1:$A$3,"AA",OA_SQL_1!$I$1:$I$3)))*100</f>
        <v>153876.4378008614</v>
      </c>
      <c r="H7" s="51">
        <f>RANK!F3</f>
        <v>3</v>
      </c>
      <c r="I7"/>
      <c r="N7" s="116"/>
      <c r="O7" s="116"/>
      <c r="P7" s="56"/>
      <c r="Q7" s="56"/>
      <c r="R7" s="56"/>
      <c r="S7" s="116"/>
      <c r="T7" s="116"/>
    </row>
    <row r="8" spans="2:24" ht="19.149999999999999" customHeight="1" x14ac:dyDescent="0.35">
      <c r="B8" s="60" t="s">
        <v>105</v>
      </c>
      <c r="C8" s="29">
        <f>UA_SQL_1!$P$2/UA_SQL_1!$M$2</f>
        <v>1492</v>
      </c>
      <c r="D8" s="33">
        <f>UA_SQL_1!H2/UA_SQL_1!E2</f>
        <v>0.76817488561260805</v>
      </c>
      <c r="E8" s="124" t="s">
        <v>38</v>
      </c>
      <c r="F8" s="80">
        <f>((UA_SQL_1!$P$2/UA_SQL_1!$M$2)-(SUMIF(OA_SQL_1!$A$1:$A$3,"DL",OA_SQL_1!$J$1:$J$3)/SUMIF(OA_SQL_1!$A$1:$A$3,"DL",OA_SQL_1!$I$1:$I$3)))*100</f>
        <v>149175.28008147824</v>
      </c>
      <c r="G8" s="80">
        <f>((UA_SQL_1!$P$2/UA_SQL_1!$M$2)-(SUMIF(OA_SQL_1!$A$1:$A$3,"AA",OA_SQL_1!$J$1:$J$3)/SUMIF(OA_SQL_1!$A$1:$A$3,"AA",OA_SQL_1!$I$1:$I$3)))*100</f>
        <v>149176.12532725278</v>
      </c>
      <c r="H8" s="51">
        <f>RANK!F4</f>
        <v>3</v>
      </c>
      <c r="I8"/>
      <c r="N8" s="116"/>
      <c r="O8" s="116"/>
      <c r="P8" s="116"/>
      <c r="Q8" s="116"/>
      <c r="R8" s="116"/>
      <c r="S8" s="116"/>
      <c r="T8" s="116"/>
    </row>
    <row r="9" spans="2:24" ht="19.899999999999999" customHeight="1" x14ac:dyDescent="0.3">
      <c r="B9" s="60" t="s">
        <v>10</v>
      </c>
      <c r="C9" s="29">
        <f>UA_SQL_1!$O$2/UA_SQL_1!$M$2</f>
        <v>13</v>
      </c>
      <c r="D9" s="33">
        <f>UA_SQL_1!G2/UA_SQL_1!E2</f>
        <v>0.74082358922216573</v>
      </c>
      <c r="E9" s="124" t="s">
        <v>38</v>
      </c>
      <c r="F9" s="72"/>
      <c r="G9" s="72"/>
      <c r="H9" s="72"/>
      <c r="N9" s="116"/>
      <c r="O9" s="116"/>
      <c r="P9" s="116"/>
      <c r="Q9" s="116"/>
      <c r="R9" s="116"/>
      <c r="S9" s="116"/>
      <c r="T9" s="116"/>
    </row>
    <row r="10" spans="2:24" ht="20.5" customHeight="1" x14ac:dyDescent="0.35">
      <c r="B10" s="59" t="s">
        <v>12</v>
      </c>
      <c r="C10" s="29">
        <f>UA_SQL_1!$S$2/UA_SQL_1!$R$2</f>
        <v>1.205904617713853</v>
      </c>
      <c r="D10" s="29">
        <f>UA_SQL_1!K2/UA_SQL_1!J2</f>
        <v>0.20030063885757235</v>
      </c>
      <c r="E10" s="124" t="s">
        <v>38</v>
      </c>
      <c r="F10" s="73"/>
      <c r="G10" s="73"/>
      <c r="H10" s="73"/>
      <c r="N10" s="116"/>
      <c r="O10" s="116"/>
      <c r="P10" s="116"/>
      <c r="Q10" s="116"/>
      <c r="R10" s="116"/>
      <c r="S10" s="116"/>
      <c r="T10" s="116"/>
    </row>
    <row r="11" spans="2:24" ht="19.899999999999999" customHeight="1" x14ac:dyDescent="0.3">
      <c r="B11" s="59" t="s">
        <v>13</v>
      </c>
      <c r="C11" s="62">
        <f>(UA_SQL_1!$M$2-UA_SQL_1!$T$2)/UA_SQL_1!$M$2</f>
        <v>-311</v>
      </c>
      <c r="D11" s="62">
        <f>(UA_SQL_1!E2-UA_SQL_1!L2)/UA_SQL_1!E2</f>
        <v>0.85653279105236402</v>
      </c>
      <c r="E11" s="124" t="s">
        <v>38</v>
      </c>
      <c r="F11" s="72"/>
      <c r="G11" s="72"/>
      <c r="H11" s="72"/>
      <c r="N11" s="116"/>
      <c r="O11" s="116"/>
      <c r="P11" s="116"/>
      <c r="Q11" s="116"/>
      <c r="R11" s="116"/>
      <c r="S11" s="116"/>
      <c r="T11" s="116"/>
    </row>
    <row r="12" spans="2:24" ht="19.899999999999999" customHeight="1" x14ac:dyDescent="0.3">
      <c r="B12" s="59" t="s">
        <v>63</v>
      </c>
      <c r="C12" s="51">
        <f>SUMIFS(TOTAL_DIVERTS_SQL_5!$B:$B,TOTAL_DIVERTS_SQL_5!$A:$A,"YEST")</f>
        <v>3</v>
      </c>
      <c r="D12" s="51">
        <f>SUMIFS(TOTAL_DIVERTS_SQL_5!$B:$B,TOTAL_DIVERTS_SQL_5!A:A,"MTD")</f>
        <v>9</v>
      </c>
      <c r="E12" s="82"/>
      <c r="F12" s="72"/>
      <c r="G12" s="72"/>
      <c r="H12" s="72"/>
      <c r="N12" s="116"/>
      <c r="O12" s="116"/>
      <c r="P12" s="116"/>
      <c r="Q12" s="116"/>
      <c r="R12" s="116"/>
      <c r="S12" s="116"/>
      <c r="T12" s="116"/>
    </row>
    <row r="13" spans="2:24" ht="19.899999999999999" customHeight="1" x14ac:dyDescent="0.3">
      <c r="B13" s="59" t="s">
        <v>65</v>
      </c>
      <c r="C13" s="51">
        <f>SUMIF(DIVERTS_RECOVERED_SQL_6!$A:$A,"YEST",DIVERTS_RECOVERED_SQL_6!$C:$C)</f>
        <v>1</v>
      </c>
      <c r="D13" s="51">
        <f>SUMIF(DIVERTS_RECOVERED_SQL_6!$A:$A,"MTD",DIVERTS_RECOVERED_SQL_6!$C:$C)</f>
        <v>6</v>
      </c>
      <c r="E13" s="82"/>
      <c r="F13" s="72"/>
      <c r="G13" s="72"/>
      <c r="H13" s="72"/>
      <c r="J13" s="57"/>
      <c r="K13" s="57"/>
      <c r="L13" s="57"/>
      <c r="M13" s="57"/>
      <c r="N13" s="57"/>
      <c r="O13" s="56"/>
      <c r="P13" s="56"/>
    </row>
    <row r="14" spans="2:24" ht="19.149999999999999" customHeight="1" x14ac:dyDescent="0.35">
      <c r="B14" s="59" t="s">
        <v>106</v>
      </c>
      <c r="C14" s="51">
        <f>FLIGHTS_NOT_DEPARTED_SQL_8!$A$2</f>
        <v>0</v>
      </c>
      <c r="D14" s="126"/>
      <c r="L14"/>
      <c r="M14"/>
      <c r="N14"/>
      <c r="O14" s="57"/>
      <c r="P14" s="57"/>
      <c r="Q14" s="57"/>
      <c r="R14" s="57"/>
      <c r="S14" s="57"/>
      <c r="T14" s="57"/>
      <c r="U14" s="57"/>
      <c r="V14" s="57"/>
      <c r="W14" s="56"/>
      <c r="X14" s="56"/>
    </row>
    <row r="15" spans="2:24" ht="19.149999999999999" customHeight="1" x14ac:dyDescent="0.35">
      <c r="B15" s="59" t="s">
        <v>107</v>
      </c>
      <c r="C15" s="51">
        <f>REPOSITIONED_FLIGHTS_SQL_13!$A$2</f>
        <v>17</v>
      </c>
      <c r="D15" s="126"/>
      <c r="L15"/>
      <c r="M15"/>
      <c r="N15"/>
      <c r="O15" s="57"/>
      <c r="P15" s="57"/>
      <c r="Q15" s="57"/>
      <c r="R15" s="57"/>
      <c r="S15" s="57"/>
      <c r="T15" s="57"/>
      <c r="U15" s="57"/>
      <c r="V15" s="57"/>
      <c r="W15" s="56"/>
      <c r="X15" s="56"/>
    </row>
    <row r="16" spans="2:24" ht="14.5" x14ac:dyDescent="0.35">
      <c r="L16"/>
      <c r="M16"/>
      <c r="N16"/>
      <c r="O16" s="57"/>
      <c r="P16" s="57"/>
      <c r="Q16" s="57"/>
      <c r="R16" s="57"/>
      <c r="S16" s="57"/>
      <c r="T16" s="57"/>
      <c r="U16" s="57"/>
      <c r="V16" s="57"/>
      <c r="W16" s="56"/>
      <c r="X16" s="56"/>
    </row>
    <row r="17" spans="1:24" ht="14.5" x14ac:dyDescent="0.35">
      <c r="L17"/>
      <c r="M17"/>
      <c r="N17"/>
      <c r="O17" s="57"/>
      <c r="P17" s="57"/>
      <c r="Q17" s="57"/>
      <c r="R17" s="57"/>
      <c r="S17" s="57"/>
      <c r="T17" s="57"/>
      <c r="U17" s="57"/>
      <c r="V17" s="57"/>
      <c r="W17" s="56"/>
      <c r="X17" s="56"/>
    </row>
    <row r="18" spans="1:24" ht="19.149999999999999" customHeight="1" thickBot="1" x14ac:dyDescent="0.4">
      <c r="B18" s="295" t="s">
        <v>51</v>
      </c>
      <c r="C18" s="296"/>
      <c r="D18" s="296"/>
      <c r="E18" s="296"/>
      <c r="F18" s="296"/>
      <c r="G18" s="296"/>
      <c r="H18" s="296"/>
      <c r="I18" s="296"/>
      <c r="J18" s="296"/>
      <c r="K18" s="296"/>
      <c r="L18" s="296"/>
      <c r="M18" s="296"/>
      <c r="N18"/>
      <c r="O18" s="57"/>
      <c r="P18" s="57"/>
      <c r="Q18" s="57"/>
      <c r="R18" s="57"/>
      <c r="S18" s="57"/>
      <c r="T18" s="57"/>
      <c r="U18" s="57"/>
      <c r="V18" s="57"/>
      <c r="W18" s="56"/>
      <c r="X18" s="56"/>
    </row>
    <row r="19" spans="1:24" ht="19.149999999999999" customHeight="1" thickBot="1" x14ac:dyDescent="0.4">
      <c r="B19" s="61" t="s">
        <v>94</v>
      </c>
      <c r="C19" s="48" t="s">
        <v>55</v>
      </c>
      <c r="D19" s="45" t="s">
        <v>108</v>
      </c>
      <c r="E19" s="45" t="s">
        <v>52</v>
      </c>
      <c r="F19" s="45" t="s">
        <v>53</v>
      </c>
      <c r="G19" s="112" t="s">
        <v>109</v>
      </c>
      <c r="H19" s="46" t="s">
        <v>7</v>
      </c>
      <c r="I19" s="102" t="s">
        <v>8</v>
      </c>
      <c r="J19" s="45" t="s">
        <v>52</v>
      </c>
      <c r="K19" s="45" t="s">
        <v>53</v>
      </c>
      <c r="L19" s="112" t="s">
        <v>109</v>
      </c>
      <c r="M19" s="46" t="s">
        <v>7</v>
      </c>
      <c r="N19"/>
      <c r="O19"/>
      <c r="P19"/>
      <c r="Q19" s="57"/>
      <c r="R19" s="57"/>
      <c r="S19" s="57"/>
      <c r="T19" s="57"/>
      <c r="U19" s="57"/>
      <c r="V19" s="57"/>
      <c r="W19" s="56"/>
      <c r="X19" s="56"/>
    </row>
    <row r="20" spans="1:24" ht="19.149999999999999" customHeight="1" x14ac:dyDescent="0.35">
      <c r="B20" s="59" t="s">
        <v>95</v>
      </c>
      <c r="C20" s="29">
        <f>SUMIFS(UA_HUB_SQL_7!J:J,UA_HUB_SQL_7!$B:$B,PAGE_1!B20)/SUMIFS(UA_HUB_SQL_7!$F:$F,UA_HUB_SQL_7!$B:$B,PAGE_1!B20)</f>
        <v>0.85567010309278346</v>
      </c>
      <c r="D20" s="29">
        <f>SUMIFS(UA_HUB_SQL_7!K:K,UA_HUB_SQL_7!B:B,PAGE_1!B20)/SUMIFS(UA_HUB_SQL_7!F:F,UA_HUB_SQL_7!B:B,PAGE_1!B20)</f>
        <v>0.90206185567010311</v>
      </c>
      <c r="E20" s="111" t="s">
        <v>38</v>
      </c>
      <c r="F20" s="111" t="s">
        <v>38</v>
      </c>
      <c r="G20" s="111" t="s">
        <v>38</v>
      </c>
      <c r="H20" s="114" t="s">
        <v>38</v>
      </c>
      <c r="I20" s="113">
        <f>SUMIFS(UA_HUB_SQL_7!G:G,UA_HUB_SQL_7!$B:$B,PAGE_1!B20)/SUMIFS(UA_HUB_SQL_7!$F:$F,UA_HUB_SQL_7!$B:$B,PAGE_1!B20)</f>
        <v>0</v>
      </c>
      <c r="J20" s="111" t="s">
        <v>38</v>
      </c>
      <c r="K20" s="111" t="s">
        <v>38</v>
      </c>
      <c r="L20" s="111" t="s">
        <v>38</v>
      </c>
      <c r="M20" s="111" t="s">
        <v>38</v>
      </c>
      <c r="N20"/>
      <c r="O20"/>
      <c r="P20"/>
      <c r="Q20" s="57"/>
      <c r="R20" s="57"/>
      <c r="S20" s="57"/>
      <c r="T20" s="57"/>
      <c r="U20" s="57"/>
      <c r="V20" s="57"/>
      <c r="W20" s="56"/>
      <c r="X20" s="56"/>
    </row>
    <row r="21" spans="1:24" ht="19.149999999999999" customHeight="1" x14ac:dyDescent="0.35">
      <c r="B21" s="59" t="s">
        <v>96</v>
      </c>
      <c r="C21" s="29">
        <f>IFERROR(SUMIFS(UA_HUB_SQL_7!J:J,UA_HUB_SQL_7!$B:$B,PAGE_1!B21)/SUMIFS(UA_HUB_SQL_7!$F:$F,UA_HUB_SQL_7!$B:$B,PAGE_1!B21),"-")</f>
        <v>0.68468468468468469</v>
      </c>
      <c r="D21" s="29">
        <f>IFERROR(SUMIFS(UA_HUB_SQL_7!K:K,UA_HUB_SQL_7!B:B,PAGE_1!B21)/SUMIFS(UA_HUB_SQL_7!F:F,UA_HUB_SQL_7!B:B,PAGE_1!B21),"-")</f>
        <v>0.70270270270270274</v>
      </c>
      <c r="E21" s="80">
        <f>IFERROR(((SUMIFS(UA_HUB_SQL_7!K:K,UA_HUB_SQL_7!B:B,PAGE_1!B21)/SUMIFS(UA_HUB_SQL_7!F:F,UA_HUB_SQL_7!B:B,PAGE_1!B21))-(SUMIFS(OA_SQL_2!K:K,OA_SQL_2!A:A,PAGE_1!B21,OA_SQL_2!B:B,"DL")/SUMIFS(OA_SQL_2!J:J,OA_SQL_2!A:A,PAGE_1!B21,OA_SQL_2!B:B,"DL")))*100,"-")</f>
        <v>-8.4698872100446909</v>
      </c>
      <c r="F21" s="80">
        <f>IFERROR(((SUMIFS(UA_HUB_SQL_7!$K:$K,UA_HUB_SQL_7!$B:$B,PAGE_1!B21)/SUMIFS(UA_HUB_SQL_7!$F:$F,UA_HUB_SQL_7!$B:$B,PAGE_1!B21))-(SUMIFS(OA_SQL_2!$K:$K,OA_SQL_2!$A:$A,PAGE_1!B21,OA_SQL_2!$B:$B,"AA")/SUMIFS(OA_SQL_2!$J:$J,OA_SQL_2!$A:$A,PAGE_1!B21,OA_SQL_2!$B:$B,"AA")))*100,"-")</f>
        <v>-13.311819281968528</v>
      </c>
      <c r="G21" s="111" t="s">
        <v>38</v>
      </c>
      <c r="H21" s="115">
        <f>IFERROR(RANK!F9,"-")</f>
        <v>3</v>
      </c>
      <c r="I21" s="113">
        <f>IFERROR(SUMIFS(UA_HUB_SQL_7!G:G,UA_HUB_SQL_7!$B:$B,PAGE_1!B21)/SUMIFS(UA_HUB_SQL_7!$F:$F,UA_HUB_SQL_7!$B:$B,PAGE_1!B21),"-")</f>
        <v>0</v>
      </c>
      <c r="J21" s="80">
        <f>IFERROR(((SUMIFS(UA_HUB_SQL_7!$G:$G,UA_HUB_SQL_7!$B:$B,PAGE_1!B21)/SUMIFS(UA_HUB_SQL_7!$F:$F,UA_HUB_SQL_7!$B:$B,PAGE_1!B21))-(SUMIFS(OA_SQL_2!$L:$L,OA_SQL_2!$A:$A,PAGE_1!B21,OA_SQL_2!$B:$B,"DL")/SUMIFS(OA_SQL_2!$J:$J,OA_SQL_2!$A:$A,PAGE_1!B21,OA_SQL_2!$B:$B,"DL")))*100,"-")</f>
        <v>-100</v>
      </c>
      <c r="K21" s="80">
        <f>IFERROR(((SUMIFS(UA_HUB_SQL_7!$G:$G,UA_HUB_SQL_7!$B:$B,PAGE_1!B21)/SUMIFS(UA_HUB_SQL_7!$F:$F,UA_HUB_SQL_7!$B:$B,PAGE_1!B21))-(SUMIFS(OA_SQL_2!$L:$L,OA_SQL_2!$A:$A,PAGE_1!B21,OA_SQL_2!$B:$B,"AA")/SUMIFS(OA_SQL_2!$J:$J,OA_SQL_2!$A:$A,PAGE_1!B21,OA_SQL_2!$B:$B,"AA")))*100,"-")</f>
        <v>-100</v>
      </c>
      <c r="L21" s="111" t="s">
        <v>38</v>
      </c>
      <c r="M21" s="51">
        <f>IFERROR(RANK!F20,"-")</f>
        <v>1</v>
      </c>
      <c r="N21"/>
      <c r="O21"/>
      <c r="P21"/>
      <c r="Q21" s="57"/>
      <c r="R21" s="57"/>
      <c r="S21" s="57"/>
      <c r="T21" s="57"/>
      <c r="U21" s="57"/>
      <c r="V21" s="57"/>
      <c r="W21" s="56"/>
      <c r="X21" s="56"/>
    </row>
    <row r="22" spans="1:24" ht="19.149999999999999" customHeight="1" x14ac:dyDescent="0.35">
      <c r="B22" s="60" t="s">
        <v>98</v>
      </c>
      <c r="C22" s="29">
        <f>SUMIFS(UA_HUB_SQL_7!J:J,UA_HUB_SQL_7!$B:$B,PAGE_1!B22)/SUMIFS(UA_HUB_SQL_7!$F:$F,UA_HUB_SQL_7!$B:$B,PAGE_1!B22)</f>
        <v>0.68421052631578949</v>
      </c>
      <c r="D22" s="29">
        <f>SUMIFS(UA_HUB_SQL_7!K:K,UA_HUB_SQL_7!B:B,PAGE_1!B22)/SUMIFS(UA_HUB_SQL_7!F:F,UA_HUB_SQL_7!B:B,PAGE_1!B22)</f>
        <v>0.74436090225563911</v>
      </c>
      <c r="E22" s="80">
        <f>IFERROR(((SUMIFS(UA_HUB_SQL_7!K:K,UA_HUB_SQL_7!B:B,PAGE_1!B22)/SUMIFS(UA_HUB_SQL_7!F:F,UA_HUB_SQL_7!B:B,PAGE_1!B22))-(SUMIFS(OA_SQL_2!K:K,OA_SQL_2!A:A,PAGE_1!B22,OA_SQL_2!B:B,"DL")/SUMIFS(OA_SQL_2!J:J,OA_SQL_2!A:A,PAGE_1!B22,OA_SQL_2!B:B,"DL")))*100,"-")</f>
        <v>5.3884711779448651</v>
      </c>
      <c r="F22" s="80">
        <f>IFERROR(((SUMIFS(UA_HUB_SQL_7!$K:$K,UA_HUB_SQL_7!$B:$B,PAGE_1!B22)/SUMIFS(UA_HUB_SQL_7!$F:$F,UA_HUB_SQL_7!$B:$B,PAGE_1!B22))-(SUMIFS(OA_SQL_2!$K:$K,OA_SQL_2!$A:$A,PAGE_1!B22,OA_SQL_2!$B:$B,"AA")/SUMIFS(OA_SQL_2!$J:$J,OA_SQL_2!$A:$A,PAGE_1!B22,OA_SQL_2!$B:$B,"AA")))*100,"-")</f>
        <v>19.281451050306174</v>
      </c>
      <c r="G22" s="111" t="s">
        <v>38</v>
      </c>
      <c r="H22" s="115">
        <f>RANK!F10</f>
        <v>1</v>
      </c>
      <c r="I22" s="113">
        <f>SUMIFS(UA_HUB_SQL_7!G:G,UA_HUB_SQL_7!$B:$B,PAGE_1!B22)/SUMIFS(UA_HUB_SQL_7!$F:$F,UA_HUB_SQL_7!$B:$B,PAGE_1!B22)</f>
        <v>0</v>
      </c>
      <c r="J22" s="80">
        <f>IFERROR(((SUMIFS(UA_HUB_SQL_7!$G:$G,UA_HUB_SQL_7!$B:$B,PAGE_1!B22)/SUMIFS(UA_HUB_SQL_7!$F:$F,UA_HUB_SQL_7!$B:$B,PAGE_1!B22))-(SUMIFS(OA_SQL_2!$L:$L,OA_SQL_2!$A:$A,PAGE_1!B22,OA_SQL_2!$B:$B,"DL")/SUMIFS(OA_SQL_2!$J:$J,OA_SQL_2!$A:$A,PAGE_1!B22,OA_SQL_2!$B:$B,"DL")))*100,"-")</f>
        <v>-100</v>
      </c>
      <c r="K22" s="80">
        <f>IFERROR(((SUMIFS(UA_HUB_SQL_7!$G:$G,UA_HUB_SQL_7!$B:$B,PAGE_1!B22)/SUMIFS(UA_HUB_SQL_7!$F:$F,UA_HUB_SQL_7!$B:$B,PAGE_1!B22))-(SUMIFS(OA_SQL_2!$L:$L,OA_SQL_2!$A:$A,PAGE_1!B22,OA_SQL_2!$B:$B,"AA")/SUMIFS(OA_SQL_2!$J:$J,OA_SQL_2!$A:$A,PAGE_1!B22,OA_SQL_2!$B:$B,"AA")))*100,"-")</f>
        <v>-98.969072164948457</v>
      </c>
      <c r="L22" s="111" t="s">
        <v>38</v>
      </c>
      <c r="M22" s="51">
        <f>RANK!F21</f>
        <v>1</v>
      </c>
      <c r="N22"/>
      <c r="O22"/>
      <c r="P22"/>
      <c r="Q22" s="57"/>
      <c r="R22" s="57"/>
      <c r="S22" s="57"/>
      <c r="T22" s="57"/>
      <c r="U22" s="57"/>
      <c r="V22" s="57"/>
      <c r="W22" s="56"/>
      <c r="X22" s="56"/>
    </row>
    <row r="23" spans="1:24" ht="19.149999999999999" customHeight="1" x14ac:dyDescent="0.35">
      <c r="B23" s="60" t="s">
        <v>99</v>
      </c>
      <c r="C23" s="29">
        <f>SUMIFS(UA_HUB_SQL_7!J:J,UA_HUB_SQL_7!$B:$B,PAGE_1!B23)/SUMIFS(UA_HUB_SQL_7!$F:$F,UA_HUB_SQL_7!$B:$B,PAGE_1!B23)</f>
        <v>0.82857142857142863</v>
      </c>
      <c r="D23" s="29">
        <f>SUMIFS(UA_HUB_SQL_7!K:K,UA_HUB_SQL_7!B:B,PAGE_1!B23)/SUMIFS(UA_HUB_SQL_7!F:F,UA_HUB_SQL_7!B:B,PAGE_1!B23)</f>
        <v>0.8571428571428571</v>
      </c>
      <c r="E23" s="111" t="s">
        <v>38</v>
      </c>
      <c r="F23" s="80">
        <f>IFERROR(((SUMIFS(UA_HUB_SQL_7!$K:$K,UA_HUB_SQL_7!$B:$B,PAGE_1!B23)/SUMIFS(UA_HUB_SQL_7!$F:$F,UA_HUB_SQL_7!$B:$B,PAGE_1!B23))-(SUMIFS(OA_SQL_2!$K:$K,OA_SQL_2!$A:$A,PAGE_1!B23,OA_SQL_2!$B:$B,"AA")/SUMIFS(OA_SQL_2!$J:$J,OA_SQL_2!$A:$A,PAGE_1!B23,OA_SQL_2!$B:$B,"AA")))*100,"-")</f>
        <v>-3.5590706870983757</v>
      </c>
      <c r="G23" s="111" t="s">
        <v>38</v>
      </c>
      <c r="H23" s="115">
        <f>RANK!F11</f>
        <v>2</v>
      </c>
      <c r="I23" s="113">
        <f>SUMIFS(UA_HUB_SQL_7!G:G,UA_HUB_SQL_7!$B:$B,PAGE_1!B23)/SUMIFS(UA_HUB_SQL_7!$F:$F,UA_HUB_SQL_7!$B:$B,PAGE_1!B23)</f>
        <v>0</v>
      </c>
      <c r="J23" s="111" t="s">
        <v>38</v>
      </c>
      <c r="K23" s="80">
        <f>IFERROR(((SUMIFS(UA_HUB_SQL_7!$G:$G,UA_HUB_SQL_7!$B:$B,PAGE_1!B23)/SUMIFS(UA_HUB_SQL_7!$F:$F,UA_HUB_SQL_7!$B:$B,PAGE_1!B23))-(SUMIFS(OA_SQL_2!$L:$L,OA_SQL_2!$A:$A,PAGE_1!B23,OA_SQL_2!$B:$B,"AA")/SUMIFS(OA_SQL_2!$J:$J,OA_SQL_2!$A:$A,PAGE_1!B23,OA_SQL_2!$B:$B,"AA")))*100,"-")</f>
        <v>-100</v>
      </c>
      <c r="L23" s="111" t="s">
        <v>38</v>
      </c>
      <c r="M23" s="51">
        <f>RANK!F22</f>
        <v>1</v>
      </c>
      <c r="N23"/>
      <c r="O23"/>
      <c r="P23"/>
      <c r="Q23" s="57"/>
      <c r="R23" s="57"/>
      <c r="S23" s="57"/>
      <c r="T23" s="57"/>
      <c r="U23" s="57"/>
      <c r="V23" s="57"/>
      <c r="W23" s="56"/>
      <c r="X23" s="56"/>
    </row>
    <row r="24" spans="1:24" ht="19.149999999999999" customHeight="1" x14ac:dyDescent="0.35">
      <c r="B24" s="59" t="s">
        <v>101</v>
      </c>
      <c r="C24" s="29">
        <f>IFERROR(SUMIFS(UA_HUB_SQL_7!J:J,UA_HUB_SQL_7!$B:$B,PAGE_1!B24)/SUMIFS(UA_HUB_SQL_7!$F:$F,UA_HUB_SQL_7!$B:$B,PAGE_1!B24),"-")</f>
        <v>0.83333333333333337</v>
      </c>
      <c r="D24" s="29">
        <f>IFERROR(SUMIFS(UA_HUB_SQL_7!K:K,UA_HUB_SQL_7!B:B,PAGE_1!B24)/SUMIFS(UA_HUB_SQL_7!F:F,UA_HUB_SQL_7!B:B,PAGE_1!B24),"-")</f>
        <v>0.8666666666666667</v>
      </c>
      <c r="E24" s="80">
        <f>IFERROR(((SUMIFS(UA_HUB_SQL_7!K:K,UA_HUB_SQL_7!B:B,PAGE_1!B24)/SUMIFS(UA_HUB_SQL_7!F:F,UA_HUB_SQL_7!B:B,PAGE_1!B24))-(SUMIFS(OA_SQL_2!K:K,OA_SQL_2!A:A,PAGE_1!B24,OA_SQL_2!B:B,"DL")/SUMIFS(OA_SQL_2!J:J,OA_SQL_2!A:A,PAGE_1!B24,OA_SQL_2!B:B,"DL")))*100,"-")</f>
        <v>0.45977011494253706</v>
      </c>
      <c r="F24" s="80">
        <f>IFERROR(((SUMIFS(UA_HUB_SQL_7!$K:$K,UA_HUB_SQL_7!$B:$B,PAGE_1!B24)/SUMIFS(UA_HUB_SQL_7!$F:$F,UA_HUB_SQL_7!$B:$B,PAGE_1!B24))-(SUMIFS(OA_SQL_2!$K:$K,OA_SQL_2!$A:$A,PAGE_1!B24,OA_SQL_2!$B:$B,"AA")/SUMIFS(OA_SQL_2!$J:$J,OA_SQL_2!$A:$A,PAGE_1!B24,OA_SQL_2!$B:$B,"AA")))*100,"-")</f>
        <v>-0.43010752688171783</v>
      </c>
      <c r="G24" s="111" t="s">
        <v>38</v>
      </c>
      <c r="H24" s="115">
        <f>IFERROR(RANK!F12,"-")</f>
        <v>2</v>
      </c>
      <c r="I24" s="113">
        <f>IFERROR(SUMIFS(UA_HUB_SQL_7!G:G,UA_HUB_SQL_7!$B:$B,PAGE_1!B24)/SUMIFS(UA_HUB_SQL_7!$F:$F,UA_HUB_SQL_7!$B:$B,PAGE_1!B24),"-")</f>
        <v>0</v>
      </c>
      <c r="J24" s="80">
        <f>IFERROR(((SUMIFS(UA_HUB_SQL_7!$G:$G,UA_HUB_SQL_7!$B:$B,PAGE_1!B24)/SUMIFS(UA_HUB_SQL_7!$F:$F,UA_HUB_SQL_7!$B:$B,PAGE_1!B24))-(SUMIFS(OA_SQL_2!$L:$L,OA_SQL_2!$A:$A,PAGE_1!B24,OA_SQL_2!$B:$B,"DL")/SUMIFS(OA_SQL_2!$J:$J,OA_SQL_2!$A:$A,PAGE_1!B24,OA_SQL_2!$B:$B,"DL")))*100,"-")</f>
        <v>-100</v>
      </c>
      <c r="K24" s="80">
        <f>IFERROR(((SUMIFS(UA_HUB_SQL_7!$G:$G,UA_HUB_SQL_7!$B:$B,PAGE_1!B24)/SUMIFS(UA_HUB_SQL_7!$F:$F,UA_HUB_SQL_7!$B:$B,PAGE_1!B24))-(SUMIFS(OA_SQL_2!$L:$L,OA_SQL_2!$A:$A,PAGE_1!B24,OA_SQL_2!$B:$B,"AA")/SUMIFS(OA_SQL_2!$J:$J,OA_SQL_2!$A:$A,PAGE_1!B24,OA_SQL_2!$B:$B,"AA")))*100,"-")</f>
        <v>-100</v>
      </c>
      <c r="L24" s="111" t="s">
        <v>38</v>
      </c>
      <c r="M24" s="51">
        <f>IFERROR(RANK!F23,"-")</f>
        <v>1</v>
      </c>
      <c r="N24"/>
      <c r="O24"/>
      <c r="P24"/>
      <c r="Q24" s="57"/>
      <c r="R24" s="57"/>
      <c r="S24" s="57"/>
      <c r="T24" s="57"/>
      <c r="U24" s="57"/>
      <c r="V24" s="57"/>
      <c r="W24" s="56"/>
      <c r="X24" s="56"/>
    </row>
    <row r="25" spans="1:24" ht="19.149999999999999" customHeight="1" x14ac:dyDescent="0.3">
      <c r="B25" s="60" t="s">
        <v>102</v>
      </c>
      <c r="C25" s="29">
        <f>SUMIFS(UA_HUB_SQL_7!J:J,UA_HUB_SQL_7!$B:$B,PAGE_1!B25)/SUMIFS(UA_HUB_SQL_7!$F:$F,UA_HUB_SQL_7!$B:$B,PAGE_1!B25)</f>
        <v>0.71851851851851856</v>
      </c>
      <c r="D25" s="29">
        <f>SUMIFS(UA_HUB_SQL_7!K:K,UA_HUB_SQL_7!B:B,PAGE_1!B25)/SUMIFS(UA_HUB_SQL_7!F:F,UA_HUB_SQL_7!B:B,PAGE_1!B25)</f>
        <v>0.79259259259259263</v>
      </c>
      <c r="E25" s="80" t="s">
        <v>38</v>
      </c>
      <c r="F25" s="80">
        <f>IFERROR(((SUMIFS(UA_HUB_SQL_7!$K:$K,UA_HUB_SQL_7!$B:$B,PAGE_1!B25)/SUMIFS(UA_HUB_SQL_7!$F:$F,UA_HUB_SQL_7!$B:$B,PAGE_1!B25))-(SUMIFS(OA_SQL_2!$K:$K,OA_SQL_2!$A:$A,PAGE_1!B25,OA_SQL_2!$B:$B,"AA")/SUMIFS(OA_SQL_2!$J:$J,OA_SQL_2!$A:$A,PAGE_1!B25,OA_SQL_2!$B:$B,"AA")))*100,"-")</f>
        <v>4.059259259259262</v>
      </c>
      <c r="G25" s="80" t="s">
        <v>38</v>
      </c>
      <c r="H25" s="115">
        <f>IFERROR(RANK!F13,"-")</f>
        <v>1</v>
      </c>
      <c r="I25" s="113">
        <f>SUMIFS(UA_HUB_SQL_7!G:G,UA_HUB_SQL_7!$B:$B,PAGE_1!B25)/SUMIFS(UA_HUB_SQL_7!$F:$F,UA_HUB_SQL_7!$B:$B,PAGE_1!B25)</f>
        <v>0</v>
      </c>
      <c r="J25" s="111" t="s">
        <v>38</v>
      </c>
      <c r="K25" s="80">
        <f>IFERROR(((SUMIFS(UA_HUB_SQL_7!$G:$G,UA_HUB_SQL_7!$B:$B,PAGE_1!B25)/SUMIFS(UA_HUB_SQL_7!$F:$F,UA_HUB_SQL_7!$B:$B,PAGE_1!B25))-(SUMIFS(OA_SQL_2!$L:$L,OA_SQL_2!$A:$A,PAGE_1!B25,OA_SQL_2!$B:$B,"AA")/SUMIFS(OA_SQL_2!$J:$J,OA_SQL_2!$A:$A,PAGE_1!B25,OA_SQL_2!$B:$B,"AA")))*100,"-")</f>
        <v>-100</v>
      </c>
      <c r="L25" s="111" t="s">
        <v>38</v>
      </c>
      <c r="M25" s="51">
        <f>RANK!F24</f>
        <v>1</v>
      </c>
      <c r="N25" s="56"/>
      <c r="O25" s="56"/>
      <c r="P25" s="57"/>
      <c r="Q25" s="57"/>
      <c r="R25" s="57"/>
      <c r="S25" s="57"/>
      <c r="T25" s="57"/>
      <c r="U25" s="57"/>
      <c r="V25" s="57"/>
      <c r="W25" s="56"/>
      <c r="X25" s="56"/>
    </row>
    <row r="26" spans="1:24" ht="19.149999999999999" customHeight="1" x14ac:dyDescent="0.3">
      <c r="B26" s="59" t="s">
        <v>103</v>
      </c>
      <c r="C26" s="29">
        <f>SUMIFS(UA_HUB_SQL_7!J:J,UA_HUB_SQL_7!$B:$B,PAGE_1!B26)/SUMIFS(UA_HUB_SQL_7!$F:$F,UA_HUB_SQL_7!$B:$B,PAGE_1!B26)</f>
        <v>0.27419354838709675</v>
      </c>
      <c r="D26" s="29">
        <f>SUMIFS(UA_HUB_SQL_7!K:K,UA_HUB_SQL_7!B:B,PAGE_1!B26)/SUMIFS(UA_HUB_SQL_7!F:F,UA_HUB_SQL_7!B:B,PAGE_1!B26)</f>
        <v>0.29032258064516131</v>
      </c>
      <c r="E26" s="111" t="s">
        <v>38</v>
      </c>
      <c r="F26" s="111" t="s">
        <v>38</v>
      </c>
      <c r="G26" s="80">
        <f>IFERROR(((SUMIFS(UA_HUB_SQL_7!K:K,UA_HUB_SQL_7!B:B,PAGE_1!B26)/SUMIFS(UA_HUB_SQL_7!F:F,UA_HUB_SQL_7!B:B,PAGE_1!B26))-(SUMIFS(OA_SQL_2!K:K,OA_SQL_2!A:A,PAGE_1!B26,OA_SQL_2!B:B,"AS")/SUMIFS(OA_SQL_2!J:J,OA_SQL_2!A:A,PAGE_1!B26,OA_SQL_2!B:B,"AS")))*100,"-")</f>
        <v>11.385199240986719</v>
      </c>
      <c r="H26" s="115">
        <f>RANK!F14</f>
        <v>1</v>
      </c>
      <c r="I26" s="113">
        <f>SUMIFS(UA_HUB_SQL_7!G:G,UA_HUB_SQL_7!$B:$B,PAGE_1!B26)/SUMIFS(UA_HUB_SQL_7!$F:$F,UA_HUB_SQL_7!$B:$B,PAGE_1!B26)</f>
        <v>3.2258064516129031E-2</v>
      </c>
      <c r="J26" s="111" t="s">
        <v>38</v>
      </c>
      <c r="K26" s="111" t="s">
        <v>38</v>
      </c>
      <c r="L26" s="80">
        <f>((SUMIFS(UA_HUB_SQL_7!G:G,UA_HUB_SQL_7!$B:$B,PAGE_1!B26)/SUMIFS(UA_HUB_SQL_7!$F:$F,UA_HUB_SQL_7!$B:$B,PAGE_1!B26))-(SUMIFS(OA_SQL_2!L:L,OA_SQL_2!A:A,PAGE_1!B26,OA_SQL_2!B:B,"AS")/SUMIFS(OA_SQL_2!J:J,OA_SQL_2!A:A,PAGE_1!B26,OA_SQL_2!B:B,"AS")))*100</f>
        <v>-70.303605313092987</v>
      </c>
      <c r="M26" s="51">
        <f>RANK!F25</f>
        <v>1</v>
      </c>
      <c r="N26" s="56">
        <f>SUMIFS(OA_SQL_2!K:K,OA_SQL_2!A:A,PAGE_1!B26,OA_SQL_2!B:B,"AS")/SUMIFS(OA_SQL_2!J:J,OA_SQL_2!A:A,PAGE_1!B26,OA_SQL_2!B:B,"AS")</f>
        <v>0.17647058823529413</v>
      </c>
      <c r="O26" s="56"/>
      <c r="P26" s="57"/>
      <c r="Q26" s="57"/>
      <c r="R26" s="57"/>
      <c r="S26" s="57"/>
      <c r="T26" s="57"/>
      <c r="U26" s="57"/>
      <c r="V26" s="57"/>
      <c r="W26" s="56"/>
      <c r="X26" s="56"/>
    </row>
    <row r="27" spans="1:24" ht="19.149999999999999" customHeight="1" x14ac:dyDescent="0.3">
      <c r="A27" s="56" t="s">
        <v>66</v>
      </c>
      <c r="B27" s="59" t="s">
        <v>110</v>
      </c>
      <c r="C27" s="29">
        <f>SUMIFS(UA_HUB_SQL_7!J:J,UA_HUB_SQL_7!$B:$B,PAGE_1!A27)/SUMIFS(UA_HUB_SQL_7!$F:$F,UA_HUB_SQL_7!$B:$B,PAGE_1!A27)</f>
        <v>0.77291242362525459</v>
      </c>
      <c r="D27" s="29">
        <f>SUMIFS(UA_HUB_SQL_7!K:K,UA_HUB_SQL_7!B:B,PAGE_1!A27)/SUMIFS(UA_HUB_SQL_7!F:F,UA_HUB_SQL_7!B:B,PAGE_1!A27)</f>
        <v>0.77291242362525459</v>
      </c>
      <c r="E27" s="80">
        <f>IFERROR(((SUMIFS(UA_HUB_SQL_7!K:K,UA_HUB_SQL_7!B:B,PAGE_1!A27)/SUMIFS(UA_HUB_SQL_7!F:F,UA_HUB_SQL_7!B:B,PAGE_1!A27))-(SUMIFS(OA_SQL_2!K:K,OA_SQL_2!A:A,PAGE_1!A27,OA_SQL_2!B:B,"DL")/SUMIFS(OA_SQL_2!J:J,OA_SQL_2!A:A,PAGE_1!A27,OA_SQL_2!B:B,"DL")))*100,"-")</f>
        <v>-4.0251058328036322</v>
      </c>
      <c r="F27" s="80">
        <f>IFERROR(((SUMIFS(UA_HUB_SQL_7!$K:$K,UA_HUB_SQL_7!$B:$B,PAGE_1!A27)/SUMIFS(UA_HUB_SQL_7!$F:$F,UA_HUB_SQL_7!$B:$B,PAGE_1!A27))-(SUMIFS(OA_SQL_2!$K:$K,OA_SQL_2!$A:$A,PAGE_1!A27,OA_SQL_2!$B:$B,"AA")/SUMIFS(OA_SQL_2!$J:$J,OA_SQL_2!$A:$A,PAGE_1!A27,OA_SQL_2!$B:$B,"AA")))*100,"-")</f>
        <v>-2.6960913930160202</v>
      </c>
      <c r="G27" s="80">
        <f>IFERROR(((SUMIFS(UA_HUB_SQL_7!K:K,UA_HUB_SQL_7!B:B,PAGE_1!A27)/SUMIFS(UA_HUB_SQL_7!F:F,UA_HUB_SQL_7!B:B,PAGE_1!A27))-(SUMIFS(OA_SQL_2!K:K,OA_SQL_2!A:A,PAGE_1!A27,OA_SQL_2!B:B,"AS")/SUMIFS(OA_SQL_2!J:J,OA_SQL_2!A:A,PAGE_1!A27,OA_SQL_2!B:B,"AS")))*100,"-")</f>
        <v>10.291242362525455</v>
      </c>
      <c r="H27" s="115">
        <f>RANK!F15</f>
        <v>3</v>
      </c>
      <c r="I27" s="113">
        <f>SUMIFS(UA_HUB_SQL_7!G:G,UA_HUB_SQL_7!$B:$B,PAGE_1!A27)/SUMIFS(UA_HUB_SQL_7!$F:$F,UA_HUB_SQL_7!$B:$B,PAGE_1!A27)</f>
        <v>1.1201629327902239E-2</v>
      </c>
      <c r="J27" s="80">
        <f>IFERROR(((SUMIFS(UA_HUB_SQL_7!$G:$G,UA_HUB_SQL_7!$B:$B,PAGE_1!A27)/SUMIFS(UA_HUB_SQL_7!$F:$F,UA_HUB_SQL_7!$B:$B,PAGE_1!A27))-(SUMIFS(OA_SQL_2!$L:$L,OA_SQL_2!$A:$A,PAGE_1!A27,OA_SQL_2!$B:$B,"DL")/SUMIFS(OA_SQL_2!$J:$J,OA_SQL_2!$A:$A,PAGE_1!A27,OA_SQL_2!$B:$B,"DL")))*100,"-")</f>
        <v>-98.773679954683232</v>
      </c>
      <c r="K27" s="80">
        <f>IFERROR(((SUMIFS(UA_HUB_SQL_7!$G:$G,UA_HUB_SQL_7!$B:$B,PAGE_1!A27)/SUMIFS(UA_HUB_SQL_7!$F:$F,UA_HUB_SQL_7!$B:$B,PAGE_1!A27))-(SUMIFS(OA_SQL_2!$L:$L,OA_SQL_2!$A:$A,PAGE_1!A27,OA_SQL_2!$B:$B,"AA")/SUMIFS(OA_SQL_2!$J:$J,OA_SQL_2!$A:$A,PAGE_1!A27,OA_SQL_2!$B:$B,"AA")))*100,"-")</f>
        <v>-97.486550176772795</v>
      </c>
      <c r="L27" s="80">
        <f>((SUMIFS(UA_HUB_SQL_7!G:G,UA_HUB_SQL_7!$B:$B,PAGE_1!A27)/SUMIFS(UA_HUB_SQL_7!$F:$F,UA_HUB_SQL_7!$B:$B,PAGE_1!A27))-(SUMIFS(OA_SQL_2!L:L,OA_SQL_2!A:A,PAGE_1!A27,OA_SQL_2!B:B,"AS")/SUMIFS(OA_SQL_2!J:J,OA_SQL_2!A:A,PAGE_1!A27,OA_SQL_2!B:B,"AS")))*100</f>
        <v>-94.546503733876435</v>
      </c>
      <c r="M27" s="51">
        <f>RANK!F26</f>
        <v>2</v>
      </c>
      <c r="N27" s="56">
        <f>(SUMIFS(UA_HUB_SQL_7!K:K,UA_HUB_SQL_7!B:B,PAGE_1!A27)/SUMIFS(UA_HUB_SQL_7!F:F,UA_HUB_SQL_7!B:B,PAGE_1!A27))</f>
        <v>0.77291242362525459</v>
      </c>
      <c r="O27" s="56">
        <f>(SUMIFS(OA_SQL_2!K:K,OA_SQL_2!A:A,PAGE_1!A27,OA_SQL_2!B:B,"DL")/SUMIFS(OA_SQL_2!J:J,OA_SQL_2!A:A,PAGE_1!A27,OA_SQL_2!B:B,"DL"))</f>
        <v>0.81316348195329091</v>
      </c>
      <c r="P27" s="57"/>
      <c r="Q27" s="57"/>
      <c r="R27" s="57"/>
      <c r="S27" s="57"/>
      <c r="T27" s="57"/>
      <c r="U27" s="57"/>
      <c r="V27" s="57"/>
      <c r="W27" s="56"/>
      <c r="X27" s="56"/>
    </row>
    <row r="28" spans="1:24" x14ac:dyDescent="0.3">
      <c r="N28" s="56"/>
      <c r="O28" s="56"/>
      <c r="P28" s="57"/>
      <c r="Q28" s="57"/>
      <c r="R28" s="57"/>
      <c r="S28" s="57"/>
      <c r="T28" s="57"/>
      <c r="U28" s="57"/>
      <c r="V28" s="57"/>
      <c r="W28" s="56"/>
      <c r="X28" s="56"/>
    </row>
    <row r="29" spans="1:24" ht="12.5" thickBot="1" x14ac:dyDescent="0.35">
      <c r="C29" s="2"/>
      <c r="Q29" s="57"/>
      <c r="R29" s="57"/>
      <c r="S29" s="57"/>
      <c r="T29" s="57"/>
      <c r="U29" s="57"/>
      <c r="V29" s="57"/>
      <c r="W29" s="56"/>
      <c r="X29" s="56"/>
    </row>
    <row r="30" spans="1:24" ht="16" thickBot="1" x14ac:dyDescent="0.35">
      <c r="B30" s="285" t="s">
        <v>14</v>
      </c>
      <c r="C30" s="286"/>
      <c r="D30" s="286"/>
      <c r="E30" s="286"/>
      <c r="F30" s="286"/>
      <c r="G30" s="286"/>
      <c r="H30" s="286"/>
      <c r="I30" s="286"/>
      <c r="J30" s="286"/>
      <c r="K30" s="286"/>
      <c r="L30" s="286"/>
      <c r="M30" s="286"/>
      <c r="N30" s="286"/>
      <c r="O30" s="286"/>
      <c r="P30" s="286"/>
      <c r="Q30" s="57"/>
      <c r="R30" s="56"/>
      <c r="S30" s="56"/>
      <c r="T30" s="56"/>
      <c r="U30" s="56"/>
      <c r="V30" s="57"/>
      <c r="W30" s="56"/>
      <c r="X30" s="56"/>
    </row>
    <row r="31" spans="1:24" ht="30.65" customHeight="1" thickBot="1" x14ac:dyDescent="0.35">
      <c r="B31" s="67" t="s">
        <v>15</v>
      </c>
      <c r="C31" s="270" t="s">
        <v>67</v>
      </c>
      <c r="D31" s="69" t="s">
        <v>68</v>
      </c>
      <c r="E31" s="69" t="s">
        <v>69</v>
      </c>
      <c r="F31" s="69" t="s">
        <v>70</v>
      </c>
      <c r="G31" s="69" t="s">
        <v>71</v>
      </c>
      <c r="H31" s="69" t="s">
        <v>72</v>
      </c>
      <c r="I31" s="69" t="s">
        <v>73</v>
      </c>
      <c r="J31" s="69" t="s">
        <v>23</v>
      </c>
      <c r="K31" s="69" t="s">
        <v>24</v>
      </c>
      <c r="L31" s="69" t="s">
        <v>74</v>
      </c>
      <c r="M31" s="70" t="s">
        <v>25</v>
      </c>
      <c r="N31" s="71" t="s">
        <v>26</v>
      </c>
      <c r="O31" s="71" t="s">
        <v>75</v>
      </c>
      <c r="P31" s="71" t="s">
        <v>28</v>
      </c>
      <c r="Q31" s="135"/>
      <c r="R31" s="133"/>
      <c r="S31" s="133"/>
      <c r="T31" s="133"/>
      <c r="U31" s="133"/>
      <c r="V31" s="56"/>
      <c r="W31" s="56"/>
      <c r="X31" s="56"/>
    </row>
    <row r="32" spans="1:24" ht="14.5" x14ac:dyDescent="0.35">
      <c r="B32" s="64" t="s">
        <v>35</v>
      </c>
      <c r="C32" s="78">
        <f>SUMIF(SCH_DEP_SQL_4!$A:$A,PAGE_1!R33,SCH_DEP_SQL_4!$E:$E)</f>
        <v>972</v>
      </c>
      <c r="D32" s="17">
        <f>IF(SUMIFS(CNXL_SQL_2!$F:$F,CNXL_SQL_2!$A:$A,PAGE_1!$R33,CNXL_SQL_2!$D:$D,PAGE_1!$S$32)=0,"",SUMIFS(CNXL_SQL_2!$F:$F,CNXL_SQL_2!$A:$A,PAGE_1!$R33,CNXL_SQL_2!$D:$D,PAGE_1!$S$32))</f>
        <v>5</v>
      </c>
      <c r="E32" s="17" t="str">
        <f>IF(SUMIFS(CNXL_SQL_2!$F:$F,CNXL_SQL_2!$A:$A,PAGE_1!$R33,CNXL_SQL_2!$D:$D,PAGE_1!$S$33)=0,"",SUMIFS(CNXL_SQL_2!$F:$F,CNXL_SQL_2!$A:$A,PAGE_1!$R33,CNXL_SQL_2!$D:$D,PAGE_1!$S$33))</f>
        <v/>
      </c>
      <c r="F32" s="17" t="str">
        <f>IF(SUMIFS(CNXL_SQL_2!$F:$F,CNXL_SQL_2!$A:$A,PAGE_1!$R33,CNXL_SQL_2!$D:$D,PAGE_1!$S$34)=0,"",SUMIFS(CNXL_SQL_2!$F:$F,CNXL_SQL_2!$A:$A,PAGE_1!$R33,CNXL_SQL_2!$D:$D,PAGE_1!$S$34))</f>
        <v/>
      </c>
      <c r="G32" s="17" t="str">
        <f>IF(SUMIFS(CNXL_SQL_2!$F:$F,CNXL_SQL_2!$A:$A,PAGE_1!$R33,CNXL_SQL_2!$D:$D,PAGE_1!$S$35)=0,"",SUMIFS(CNXL_SQL_2!$F:$F,CNXL_SQL_2!$A:$A,PAGE_1!$R33,CNXL_SQL_2!$D:$D,PAGE_1!$S$35))</f>
        <v/>
      </c>
      <c r="H32" s="17" t="str">
        <f>IF(SUMIFS(CNXL_SQL_2!$F:$F,CNXL_SQL_2!$A:$A,PAGE_1!$R33,CNXL_SQL_2!$D:$D,PAGE_1!$S$36)=0,"",SUMIFS(CNXL_SQL_2!$F:$F,CNXL_SQL_2!$A:$A,PAGE_1!$R33,CNXL_SQL_2!$D:$D,PAGE_1!$S$36))</f>
        <v/>
      </c>
      <c r="I32" s="17" t="str">
        <f>IF(SUMIFS(CNXL_SQL_2!$F:$F,CNXL_SQL_2!$A:$A,PAGE_1!$R33,CNXL_SQL_2!$D:$D,PAGE_1!$S$37)=0,"",SUMIFS(CNXL_SQL_2!$F:$F,CNXL_SQL_2!$A:$A,PAGE_1!$R33,CNXL_SQL_2!$D:$D,PAGE_1!$S$37))</f>
        <v/>
      </c>
      <c r="J32" s="17" t="str">
        <f>IF(SUMIFS(CNXL_SQL_2!$F:$F,CNXL_SQL_2!$A:$A,PAGE_1!$R33,CNXL_SQL_2!$D:$D,PAGE_1!$S$38)=0,"",SUMIFS(CNXL_SQL_2!$F:$F,CNXL_SQL_2!$A:$A,PAGE_1!$R33,CNXL_SQL_2!$D:$D,PAGE_1!$S$38))</f>
        <v/>
      </c>
      <c r="K32" s="17" t="str">
        <f>IF(SUMIFS(CNXL_SQL_2!$F:$F,CNXL_SQL_2!$A:$A,PAGE_1!$R33,CNXL_SQL_2!$D:$D,PAGE_1!$S$39)=0,"",SUMIFS(CNXL_SQL_2!$F:$F,CNXL_SQL_2!$A:$A,PAGE_1!$R33,CNXL_SQL_2!$D:$D,PAGE_1!$S$39))</f>
        <v/>
      </c>
      <c r="L32" s="17" t="str">
        <f>IF(SUMIFS(CNXL_SQL_2!$F:$F,CNXL_SQL_2!$A:$A,PAGE_1!$R33,CNXL_SQL_2!$D:$D,PAGE_1!$S$40)=0,"",SUMIFS(CNXL_SQL_2!$F:$F,CNXL_SQL_2!$A:$A,PAGE_1!$R33,CNXL_SQL_2!$D:$D,PAGE_1!$S$40))</f>
        <v/>
      </c>
      <c r="M32" s="18">
        <f t="shared" ref="M32:M37" si="0">IF(SUM(D32:L32)=0,"",SUM(D32:L32))</f>
        <v>5</v>
      </c>
      <c r="N32" s="18" t="str">
        <f>ES_MATRIX!K4</f>
        <v/>
      </c>
      <c r="O32" s="18">
        <f>IFERROR(M32-ES_MATRIX!L4,"")</f>
        <v>5</v>
      </c>
      <c r="P32" s="16" t="str">
        <f>IF(SUMIF(CNXL_SQL_2!$E:$E,PAGE_1!R33,CNXL_SQL_2!$F:$F)=0,"",SUMIF(CNXL_SQL_2!$E:$E,PAGE_1!R33,CNXL_SQL_2!$F:$F))</f>
        <v/>
      </c>
      <c r="Q32" s="135"/>
      <c r="R32" s="134"/>
      <c r="S32" s="134" t="s">
        <v>77</v>
      </c>
      <c r="T32" s="133"/>
      <c r="U32" s="133"/>
      <c r="V32" s="56"/>
      <c r="W32" s="56"/>
      <c r="X32" s="56"/>
    </row>
    <row r="33" spans="2:24" ht="14.5" x14ac:dyDescent="0.35">
      <c r="B33" s="127" t="s">
        <v>39</v>
      </c>
      <c r="C33" s="128">
        <f>SUMIF(SCH_DEP_SQL_4!$A:$A,PAGE_1!R35,SCH_DEP_SQL_4!$E:$E)</f>
        <v>316</v>
      </c>
      <c r="D33" s="129">
        <f>IF(SUMIFS(CNXL_SQL_2!$F:$F,CNXL_SQL_2!$A:$A,PAGE_1!$R35,CNXL_SQL_2!$D:$D,PAGE_1!$S$32)=0,"",SUMIFS(CNXL_SQL_2!$F:$F,CNXL_SQL_2!$A:$A,PAGE_1!$R35,CNXL_SQL_2!$D:$D,PAGE_1!$S$32))</f>
        <v>4</v>
      </c>
      <c r="E33" s="129" t="str">
        <f>IF(SUMIFS(CNXL_SQL_2!$F:$F,CNXL_SQL_2!$A:$A,PAGE_1!$R35,CNXL_SQL_2!$D:$D,PAGE_1!$S$33)=0,"",SUMIFS(CNXL_SQL_2!$F:$F,CNXL_SQL_2!$A:$A,PAGE_1!$R35,CNXL_SQL_2!$D:$D,PAGE_1!$S$33))</f>
        <v/>
      </c>
      <c r="F33" s="129" t="str">
        <f>IF(SUMIFS(CNXL_SQL_2!$F:$F,CNXL_SQL_2!$A:$A,PAGE_1!$R35,CNXL_SQL_2!$D:$D,PAGE_1!$S$34)=0,"",SUMIFS(CNXL_SQL_2!$F:$F,CNXL_SQL_2!$A:$A,PAGE_1!$R35,CNXL_SQL_2!$D:$D,PAGE_1!$S$34))</f>
        <v/>
      </c>
      <c r="G33" s="129" t="str">
        <f>IF(SUMIFS(CNXL_SQL_2!$F:$F,CNXL_SQL_2!$A:$A,PAGE_1!$R35,CNXL_SQL_2!$D:$D,PAGE_1!$S$35)=0,"",SUMIFS(CNXL_SQL_2!$F:$F,CNXL_SQL_2!$A:$A,PAGE_1!$R35,CNXL_SQL_2!$D:$D,PAGE_1!$S$35))</f>
        <v/>
      </c>
      <c r="H33" s="129" t="str">
        <f>IF(SUMIFS(CNXL_SQL_2!$F:$F,CNXL_SQL_2!$A:$A,PAGE_1!$R35,CNXL_SQL_2!$D:$D,PAGE_1!$S$36)=0,"",SUMIFS(CNXL_SQL_2!$F:$F,CNXL_SQL_2!$A:$A,PAGE_1!$R35,CNXL_SQL_2!$D:$D,PAGE_1!$S$36))</f>
        <v/>
      </c>
      <c r="I33" s="129" t="str">
        <f>IF(SUMIFS(CNXL_SQL_2!$F:$F,CNXL_SQL_2!$A:$A,PAGE_1!$R35,CNXL_SQL_2!$D:$D,PAGE_1!$S$37)=0,"",SUMIFS(CNXL_SQL_2!$F:$F,CNXL_SQL_2!$A:$A,PAGE_1!$R35,CNXL_SQL_2!$D:$D,PAGE_1!$S$37))</f>
        <v/>
      </c>
      <c r="J33" s="129" t="str">
        <f>IF(SUMIFS(CNXL_SQL_2!$F:$F,CNXL_SQL_2!$A:$A,PAGE_1!$R35,CNXL_SQL_2!$D:$D,PAGE_1!$S$38)=0,"",SUMIFS(CNXL_SQL_2!$F:$F,CNXL_SQL_2!$A:$A,PAGE_1!$R35,CNXL_SQL_2!$D:$D,PAGE_1!$S$38))</f>
        <v/>
      </c>
      <c r="K33" s="129" t="str">
        <f>IF(SUMIFS(CNXL_SQL_2!$F:$F,CNXL_SQL_2!$A:$A,PAGE_1!$R35,CNXL_SQL_2!$D:$D,PAGE_1!$S$39)=0,"",SUMIFS(CNXL_SQL_2!$F:$F,CNXL_SQL_2!$A:$A,PAGE_1!$R35,CNXL_SQL_2!$D:$D,PAGE_1!$S$39))</f>
        <v/>
      </c>
      <c r="L33" s="129" t="str">
        <f>IF(SUMIFS(CNXL_SQL_2!$F:$F,CNXL_SQL_2!$A:$A,PAGE_1!$R35,CNXL_SQL_2!$D:$D,PAGE_1!$S$40)=0,"",SUMIFS(CNXL_SQL_2!$F:$F,CNXL_SQL_2!$A:$A,PAGE_1!$R35,CNXL_SQL_2!$D:$D,PAGE_1!$S$40))</f>
        <v/>
      </c>
      <c r="M33" s="130">
        <f t="shared" si="0"/>
        <v>4</v>
      </c>
      <c r="N33" s="130" t="str">
        <f>ES_MATRIX!K6</f>
        <v/>
      </c>
      <c r="O33" s="130">
        <f>IFERROR(M33-ES_MATRIX!L6,"")</f>
        <v>4</v>
      </c>
      <c r="P33" s="131" t="str">
        <f>IF(SUMIF(CNXL_SQL_2!$E:$E,PAGE_1!R35,CNXL_SQL_2!$F:$F)=0,"",SUMIF(CNXL_SQL_2!$E:$E,PAGE_1!R35,CNXL_SQL_2!$F:$F))</f>
        <v/>
      </c>
      <c r="Q33" s="135"/>
      <c r="R33" s="133" t="s">
        <v>78</v>
      </c>
      <c r="S33" s="134" t="s">
        <v>79</v>
      </c>
      <c r="T33" s="133"/>
      <c r="U33" s="133"/>
      <c r="V33" s="56"/>
      <c r="W33" s="56"/>
      <c r="X33" s="56"/>
    </row>
    <row r="34" spans="2:24" ht="14.5" x14ac:dyDescent="0.35">
      <c r="B34" s="64" t="s">
        <v>41</v>
      </c>
      <c r="C34" s="78">
        <f>SUMIF(SCH_DEP_SQL_4!$A:$A,PAGE_1!R36,SCH_DEP_SQL_4!$E:$E)</f>
        <v>237</v>
      </c>
      <c r="D34" s="17" t="str">
        <f>IF(SUMIFS(CNXL_SQL_2!$F:$F,CNXL_SQL_2!$A:$A,PAGE_1!$R36,CNXL_SQL_2!$D:$D,PAGE_1!$S$32)=0,"",SUMIFS(CNXL_SQL_2!$F:$F,CNXL_SQL_2!$A:$A,PAGE_1!$R36,CNXL_SQL_2!$D:$D,PAGE_1!$S$32))</f>
        <v/>
      </c>
      <c r="E34" s="17" t="str">
        <f>IF(SUMIFS(CNXL_SQL_2!$F:$F,CNXL_SQL_2!$A:$A,PAGE_1!$R36,CNXL_SQL_2!$D:$D,PAGE_1!$S$33)=0,"",SUMIFS(CNXL_SQL_2!$F:$F,CNXL_SQL_2!$A:$A,PAGE_1!$R36,CNXL_SQL_2!$D:$D,PAGE_1!$S$33))</f>
        <v/>
      </c>
      <c r="F34" s="17" t="str">
        <f>IF(SUMIFS(CNXL_SQL_2!$F:$F,CNXL_SQL_2!$A:$A,PAGE_1!$R36,CNXL_SQL_2!$D:$D,PAGE_1!$S$34)=0,"",SUMIFS(CNXL_SQL_2!$F:$F,CNXL_SQL_2!$A:$A,PAGE_1!$R36,CNXL_SQL_2!$D:$D,PAGE_1!$S$34))</f>
        <v/>
      </c>
      <c r="G34" s="17" t="str">
        <f>IF(SUMIFS(CNXL_SQL_2!$F:$F,CNXL_SQL_2!$A:$A,PAGE_1!$R36,CNXL_SQL_2!$D:$D,PAGE_1!$S$35)=0,"",SUMIFS(CNXL_SQL_2!$F:$F,CNXL_SQL_2!$A:$A,PAGE_1!$R36,CNXL_SQL_2!$D:$D,PAGE_1!$S$35))</f>
        <v/>
      </c>
      <c r="H34" s="17" t="str">
        <f>IF(SUMIFS(CNXL_SQL_2!$F:$F,CNXL_SQL_2!$A:$A,PAGE_1!$R36,CNXL_SQL_2!$D:$D,PAGE_1!$S$36)=0,"",SUMIFS(CNXL_SQL_2!$F:$F,CNXL_SQL_2!$A:$A,PAGE_1!$R36,CNXL_SQL_2!$D:$D,PAGE_1!$S$36))</f>
        <v/>
      </c>
      <c r="I34" s="17" t="str">
        <f>IF(SUMIFS(CNXL_SQL_2!$F:$F,CNXL_SQL_2!$A:$A,PAGE_1!$R36,CNXL_SQL_2!$D:$D,PAGE_1!$S$37)=0,"",SUMIFS(CNXL_SQL_2!$F:$F,CNXL_SQL_2!$A:$A,PAGE_1!$R36,CNXL_SQL_2!$D:$D,PAGE_1!$S$37))</f>
        <v/>
      </c>
      <c r="J34" s="17" t="str">
        <f>IF(SUMIFS(CNXL_SQL_2!$F:$F,CNXL_SQL_2!$A:$A,PAGE_1!$R36,CNXL_SQL_2!$D:$D,PAGE_1!$S$38)=0,"",SUMIFS(CNXL_SQL_2!$F:$F,CNXL_SQL_2!$A:$A,PAGE_1!$R36,CNXL_SQL_2!$D:$D,PAGE_1!$S$38))</f>
        <v/>
      </c>
      <c r="K34" s="17" t="str">
        <f>IF(SUMIFS(CNXL_SQL_2!$F:$F,CNXL_SQL_2!$A:$A,PAGE_1!$R36,CNXL_SQL_2!$D:$D,PAGE_1!$S$39)=0,"",SUMIFS(CNXL_SQL_2!$F:$F,CNXL_SQL_2!$A:$A,PAGE_1!$R36,CNXL_SQL_2!$D:$D,PAGE_1!$S$39))</f>
        <v/>
      </c>
      <c r="L34" s="17" t="str">
        <f>IF(SUMIFS(CNXL_SQL_2!$F:$F,CNXL_SQL_2!$A:$A,PAGE_1!$R36,CNXL_SQL_2!$D:$D,PAGE_1!$S$40)=0,"",SUMIFS(CNXL_SQL_2!$F:$F,CNXL_SQL_2!$A:$A,PAGE_1!$R36,CNXL_SQL_2!$D:$D,PAGE_1!$S$40))</f>
        <v/>
      </c>
      <c r="M34" s="41" t="str">
        <f t="shared" si="0"/>
        <v/>
      </c>
      <c r="N34" s="18" t="str">
        <f>ES_MATRIX!K7</f>
        <v/>
      </c>
      <c r="O34" s="18" t="str">
        <f>IFERROR(M34-ES_MATRIX!L7,"")</f>
        <v/>
      </c>
      <c r="P34" s="16" t="str">
        <f>IF(SUMIF(CNXL_SQL_2!$E:$E,PAGE_1!R36,CNXL_SQL_2!$F:$F)=0,"",SUMIF(CNXL_SQL_2!$E:$E,PAGE_1!R36,CNXL_SQL_2!$F:$F))</f>
        <v/>
      </c>
      <c r="Q34" s="135"/>
      <c r="R34" s="133"/>
      <c r="S34" s="134" t="s">
        <v>81</v>
      </c>
      <c r="T34" s="133"/>
      <c r="U34" s="133"/>
      <c r="V34" s="56"/>
      <c r="W34" s="56"/>
      <c r="X34" s="56"/>
    </row>
    <row r="35" spans="2:24" ht="14.5" x14ac:dyDescent="0.35">
      <c r="B35" s="127" t="s">
        <v>43</v>
      </c>
      <c r="C35" s="128">
        <f>SUMIF(SCH_DEP_SQL_4!$A:$A,PAGE_1!R37,SCH_DEP_SQL_4!$E:$E)</f>
        <v>221</v>
      </c>
      <c r="D35" s="129">
        <f>IF(SUMIFS(CNXL_SQL_2!$F:$F,CNXL_SQL_2!$A:$A,PAGE_1!$R37,CNXL_SQL_2!$D:$D,PAGE_1!$S$32)=0,"",SUMIFS(CNXL_SQL_2!$F:$F,CNXL_SQL_2!$A:$A,PAGE_1!$R37,CNXL_SQL_2!$D:$D,PAGE_1!$S$32))</f>
        <v>1</v>
      </c>
      <c r="E35" s="129" t="str">
        <f>IF(SUMIFS(CNXL_SQL_2!$F:$F,CNXL_SQL_2!$A:$A,PAGE_1!$R37,CNXL_SQL_2!$D:$D,PAGE_1!$S$33)=0,"",SUMIFS(CNXL_SQL_2!$F:$F,CNXL_SQL_2!$A:$A,PAGE_1!$R37,CNXL_SQL_2!$D:$D,PAGE_1!$S$33))</f>
        <v/>
      </c>
      <c r="F35" s="129" t="str">
        <f>IF(SUMIFS(CNXL_SQL_2!$F:$F,CNXL_SQL_2!$A:$A,PAGE_1!$R37,CNXL_SQL_2!$D:$D,PAGE_1!$S$34)=0,"",SUMIFS(CNXL_SQL_2!$F:$F,CNXL_SQL_2!$A:$A,PAGE_1!$R37,CNXL_SQL_2!$D:$D,PAGE_1!$S$34))</f>
        <v/>
      </c>
      <c r="G35" s="129" t="str">
        <f>IF(SUMIFS(CNXL_SQL_2!$F:$F,CNXL_SQL_2!$A:$A,PAGE_1!$R37,CNXL_SQL_2!$D:$D,PAGE_1!$S$35)=0,"",SUMIFS(CNXL_SQL_2!$F:$F,CNXL_SQL_2!$A:$A,PAGE_1!$R37,CNXL_SQL_2!$D:$D,PAGE_1!$S$35))</f>
        <v/>
      </c>
      <c r="H35" s="129" t="str">
        <f>IF(SUMIFS(CNXL_SQL_2!$F:$F,CNXL_SQL_2!$A:$A,PAGE_1!$R37,CNXL_SQL_2!$D:$D,PAGE_1!$S$36)=0,"",SUMIFS(CNXL_SQL_2!$F:$F,CNXL_SQL_2!$A:$A,PAGE_1!$R37,CNXL_SQL_2!$D:$D,PAGE_1!$S$36))</f>
        <v/>
      </c>
      <c r="I35" s="129" t="str">
        <f>IF(SUMIFS(CNXL_SQL_2!$F:$F,CNXL_SQL_2!$A:$A,PAGE_1!$R37,CNXL_SQL_2!$D:$D,PAGE_1!$S$37)=0,"",SUMIFS(CNXL_SQL_2!$F:$F,CNXL_SQL_2!$A:$A,PAGE_1!$R37,CNXL_SQL_2!$D:$D,PAGE_1!$S$37))</f>
        <v/>
      </c>
      <c r="J35" s="129" t="str">
        <f>IF(SUMIFS(CNXL_SQL_2!$F:$F,CNXL_SQL_2!$A:$A,PAGE_1!$R37,CNXL_SQL_2!$D:$D,PAGE_1!$S$38)=0,"",SUMIFS(CNXL_SQL_2!$F:$F,CNXL_SQL_2!$A:$A,PAGE_1!$R37,CNXL_SQL_2!$D:$D,PAGE_1!$S$38))</f>
        <v/>
      </c>
      <c r="K35" s="129" t="str">
        <f>IF(SUMIFS(CNXL_SQL_2!$F:$F,CNXL_SQL_2!$A:$A,PAGE_1!$R37,CNXL_SQL_2!$D:$D,PAGE_1!$S$39)=0,"",SUMIFS(CNXL_SQL_2!$F:$F,CNXL_SQL_2!$A:$A,PAGE_1!$R37,CNXL_SQL_2!$D:$D,PAGE_1!$S$39))</f>
        <v/>
      </c>
      <c r="L35" s="129" t="str">
        <f>IF(SUMIFS(CNXL_SQL_2!$F:$F,CNXL_SQL_2!$A:$A,PAGE_1!$R37,CNXL_SQL_2!$D:$D,PAGE_1!$S$40)=0,"",SUMIFS(CNXL_SQL_2!$F:$F,CNXL_SQL_2!$A:$A,PAGE_1!$R37,CNXL_SQL_2!$D:$D,PAGE_1!$S$40))</f>
        <v/>
      </c>
      <c r="M35" s="132">
        <f t="shared" si="0"/>
        <v>1</v>
      </c>
      <c r="N35" s="130" t="str">
        <f>ES_MATRIX!K8</f>
        <v/>
      </c>
      <c r="O35" s="130">
        <f>IFERROR(M35-ES_MATRIX!L8,"")</f>
        <v>1</v>
      </c>
      <c r="P35" s="131" t="str">
        <f>IF(SUMIF(CNXL_SQL_2!$E:$E,PAGE_1!R37,CNXL_SQL_2!$F:$F)=0,"",SUMIF(CNXL_SQL_2!$E:$E,PAGE_1!R37,CNXL_SQL_2!$F:$F))</f>
        <v/>
      </c>
      <c r="Q35" s="135"/>
      <c r="R35" s="133" t="s">
        <v>82</v>
      </c>
      <c r="S35" s="134" t="s">
        <v>83</v>
      </c>
      <c r="T35" s="133"/>
      <c r="U35" s="133"/>
      <c r="V35" s="56"/>
      <c r="W35" s="56"/>
      <c r="X35" s="56"/>
    </row>
    <row r="36" spans="2:24" ht="14.5" x14ac:dyDescent="0.35">
      <c r="B36" s="64" t="s">
        <v>44</v>
      </c>
      <c r="C36" s="78">
        <f>SUMIF(SCH_DEP_SQL_4!$A:$A,PAGE_1!R38,SCH_DEP_SQL_4!$E:$E)</f>
        <v>227</v>
      </c>
      <c r="D36" s="17">
        <f>IF(SUMIFS(CNXL_SQL_2!$F:$F,CNXL_SQL_2!$A:$A,PAGE_1!$R38,CNXL_SQL_2!$D:$D,PAGE_1!$S$32)=0,"",SUMIFS(CNXL_SQL_2!$F:$F,CNXL_SQL_2!$A:$A,PAGE_1!$R38,CNXL_SQL_2!$D:$D,PAGE_1!$S$32))</f>
        <v>3</v>
      </c>
      <c r="E36" s="17" t="str">
        <f>IF(SUMIFS(CNXL_SQL_2!$F:$F,CNXL_SQL_2!$A:$A,PAGE_1!$R38,CNXL_SQL_2!$D:$D,PAGE_1!$S$33)=0,"",SUMIFS(CNXL_SQL_2!$F:$F,CNXL_SQL_2!$A:$A,PAGE_1!$R38,CNXL_SQL_2!$D:$D,PAGE_1!$S$33))</f>
        <v/>
      </c>
      <c r="F36" s="17" t="str">
        <f>IF(SUMIFS(CNXL_SQL_2!$F:$F,CNXL_SQL_2!$A:$A,PAGE_1!$R38,CNXL_SQL_2!$D:$D,PAGE_1!$S$34)=0,"",SUMIFS(CNXL_SQL_2!$F:$F,CNXL_SQL_2!$A:$A,PAGE_1!$R38,CNXL_SQL_2!$D:$D,PAGE_1!$S$34))</f>
        <v/>
      </c>
      <c r="G36" s="17" t="str">
        <f>IF(SUMIFS(CNXL_SQL_2!$F:$F,CNXL_SQL_2!$A:$A,PAGE_1!$R38,CNXL_SQL_2!$D:$D,PAGE_1!$S$35)=0,"",SUMIFS(CNXL_SQL_2!$F:$F,CNXL_SQL_2!$A:$A,PAGE_1!$R38,CNXL_SQL_2!$D:$D,PAGE_1!$S$35))</f>
        <v/>
      </c>
      <c r="H36" s="17" t="str">
        <f>IF(SUMIFS(CNXL_SQL_2!$F:$F,CNXL_SQL_2!$A:$A,PAGE_1!$R38,CNXL_SQL_2!$D:$D,PAGE_1!$S$36)=0,"",SUMIFS(CNXL_SQL_2!$F:$F,CNXL_SQL_2!$A:$A,PAGE_1!$R38,CNXL_SQL_2!$D:$D,PAGE_1!$S$36))</f>
        <v/>
      </c>
      <c r="I36" s="17" t="str">
        <f>IF(SUMIFS(CNXL_SQL_2!$F:$F,CNXL_SQL_2!$A:$A,PAGE_1!$R38,CNXL_SQL_2!$D:$D,PAGE_1!$S$37)=0,"",SUMIFS(CNXL_SQL_2!$F:$F,CNXL_SQL_2!$A:$A,PAGE_1!$R38,CNXL_SQL_2!$D:$D,PAGE_1!$S$37))</f>
        <v/>
      </c>
      <c r="J36" s="17" t="str">
        <f>IF(SUMIFS(CNXL_SQL_2!$F:$F,CNXL_SQL_2!$A:$A,PAGE_1!$R38,CNXL_SQL_2!$D:$D,PAGE_1!$S$38)=0,"",SUMIFS(CNXL_SQL_2!$F:$F,CNXL_SQL_2!$A:$A,PAGE_1!$R38,CNXL_SQL_2!$D:$D,PAGE_1!$S$38))</f>
        <v/>
      </c>
      <c r="K36" s="17" t="str">
        <f>IF(SUMIFS(CNXL_SQL_2!$F:$F,CNXL_SQL_2!$A:$A,PAGE_1!$R38,CNXL_SQL_2!$D:$D,PAGE_1!$S$39)=0,"",SUMIFS(CNXL_SQL_2!$F:$F,CNXL_SQL_2!$A:$A,PAGE_1!$R38,CNXL_SQL_2!$D:$D,PAGE_1!$S$39))</f>
        <v/>
      </c>
      <c r="L36" s="17" t="str">
        <f>IF(SUMIFS(CNXL_SQL_2!$F:$F,CNXL_SQL_2!$A:$A,PAGE_1!$R38,CNXL_SQL_2!$D:$D,PAGE_1!$S$40)=0,"",SUMIFS(CNXL_SQL_2!$F:$F,CNXL_SQL_2!$A:$A,PAGE_1!$R38,CNXL_SQL_2!$D:$D,PAGE_1!$S$40))</f>
        <v/>
      </c>
      <c r="M36" s="41">
        <f t="shared" si="0"/>
        <v>3</v>
      </c>
      <c r="N36" s="18" t="str">
        <f>ES_MATRIX!K9</f>
        <v/>
      </c>
      <c r="O36" s="18">
        <f>IFERROR(M36-ES_MATRIX!L9,"")</f>
        <v>3</v>
      </c>
      <c r="P36" s="16" t="str">
        <f>IF(SUMIF(CNXL_SQL_2!$E:$E,PAGE_1!R38,CNXL_SQL_2!$F:$F)=0,"",SUMIF(CNXL_SQL_2!$E:$E,PAGE_1!R38,CNXL_SQL_2!$F:$F))</f>
        <v/>
      </c>
      <c r="Q36" s="135"/>
      <c r="R36" s="133" t="s">
        <v>84</v>
      </c>
      <c r="S36" s="134" t="s">
        <v>85</v>
      </c>
      <c r="T36" s="133"/>
      <c r="U36" s="133"/>
      <c r="V36" s="56"/>
      <c r="W36" s="56"/>
      <c r="X36" s="56"/>
    </row>
    <row r="37" spans="2:24" ht="15" thickBot="1" x14ac:dyDescent="0.4">
      <c r="B37" s="127" t="s">
        <v>45</v>
      </c>
      <c r="C37" s="128">
        <f>SUMIF(SCH_DEP_SQL_4!$A:$A,PAGE_1!R39,SCH_DEP_SQL_4!$E:$E)</f>
        <v>0</v>
      </c>
      <c r="D37" s="129" t="str">
        <f>IF(SUMIFS(CNXL_SQL_2!$F:$F,CNXL_SQL_2!$A:$A,PAGE_1!$R39,CNXL_SQL_2!$D:$D,PAGE_1!$S$32)=0,"",SUMIFS(CNXL_SQL_2!$F:$F,CNXL_SQL_2!$A:$A,PAGE_1!$R39,CNXL_SQL_2!$D:$D,PAGE_1!$S$32))</f>
        <v/>
      </c>
      <c r="E37" s="129" t="str">
        <f>IF(SUMIFS(CNXL_SQL_2!$F:$F,CNXL_SQL_2!$A:$A,PAGE_1!$R39,CNXL_SQL_2!$D:$D,PAGE_1!$S$33)=0,"",SUMIFS(CNXL_SQL_2!$F:$F,CNXL_SQL_2!$A:$A,PAGE_1!$R39,CNXL_SQL_2!$D:$D,PAGE_1!$S$33))</f>
        <v/>
      </c>
      <c r="F37" s="129" t="str">
        <f>IF(SUMIFS(CNXL_SQL_2!$F:$F,CNXL_SQL_2!$A:$A,PAGE_1!$R39,CNXL_SQL_2!$D:$D,PAGE_1!$S$34)=0,"",SUMIFS(CNXL_SQL_2!$F:$F,CNXL_SQL_2!$A:$A,PAGE_1!$R39,CNXL_SQL_2!$D:$D,PAGE_1!$S$34))</f>
        <v/>
      </c>
      <c r="G37" s="129" t="str">
        <f>IF(SUMIFS(CNXL_SQL_2!$F:$F,CNXL_SQL_2!$A:$A,PAGE_1!$R39,CNXL_SQL_2!$D:$D,PAGE_1!$S$35)=0,"",SUMIFS(CNXL_SQL_2!$F:$F,CNXL_SQL_2!$A:$A,PAGE_1!$R39,CNXL_SQL_2!$D:$D,PAGE_1!$S$35))</f>
        <v/>
      </c>
      <c r="H37" s="129" t="str">
        <f>IF(SUMIFS(CNXL_SQL_2!$F:$F,CNXL_SQL_2!$A:$A,PAGE_1!$R39,CNXL_SQL_2!$D:$D,PAGE_1!$S$36)=0,"",SUMIFS(CNXL_SQL_2!$F:$F,CNXL_SQL_2!$A:$A,PAGE_1!$R39,CNXL_SQL_2!$D:$D,PAGE_1!$S$36))</f>
        <v/>
      </c>
      <c r="I37" s="129" t="str">
        <f>IF(SUMIFS(CNXL_SQL_2!$F:$F,CNXL_SQL_2!$A:$A,PAGE_1!$R39,CNXL_SQL_2!$D:$D,PAGE_1!$S$37)=0,"",SUMIFS(CNXL_SQL_2!$F:$F,CNXL_SQL_2!$A:$A,PAGE_1!$R39,CNXL_SQL_2!$D:$D,PAGE_1!$S$37))</f>
        <v/>
      </c>
      <c r="J37" s="129" t="str">
        <f>IF(SUMIFS(CNXL_SQL_2!$F:$F,CNXL_SQL_2!$A:$A,PAGE_1!$R39,CNXL_SQL_2!$D:$D,PAGE_1!$S$38)=0,"",SUMIFS(CNXL_SQL_2!$F:$F,CNXL_SQL_2!$A:$A,PAGE_1!$R39,CNXL_SQL_2!$D:$D,PAGE_1!$S$38))</f>
        <v/>
      </c>
      <c r="K37" s="129" t="str">
        <f>IF(SUMIFS(CNXL_SQL_2!$F:$F,CNXL_SQL_2!$A:$A,PAGE_1!$R39,CNXL_SQL_2!$D:$D,PAGE_1!$S$39)=0,"",SUMIFS(CNXL_SQL_2!$F:$F,CNXL_SQL_2!$A:$A,PAGE_1!$R39,CNXL_SQL_2!$D:$D,PAGE_1!$S$39))</f>
        <v/>
      </c>
      <c r="L37" s="129" t="str">
        <f>IF(SUMIFS(CNXL_SQL_2!$F:$F,CNXL_SQL_2!$A:$A,PAGE_1!$R39,CNXL_SQL_2!$D:$D,PAGE_1!$S$40)=0,"",SUMIFS(CNXL_SQL_2!$F:$F,CNXL_SQL_2!$A:$A,PAGE_1!$R39,CNXL_SQL_2!$D:$D,PAGE_1!$S$40))</f>
        <v/>
      </c>
      <c r="M37" s="130" t="str">
        <f t="shared" si="0"/>
        <v/>
      </c>
      <c r="N37" s="130" t="str">
        <f>ES_MATRIX!K10</f>
        <v/>
      </c>
      <c r="O37" s="130" t="str">
        <f>IFERROR(M37-ES_MATRIX!L10,"")</f>
        <v/>
      </c>
      <c r="P37" s="131" t="str">
        <f>IF(SUMIF(CNXL_SQL_2!$E:$E,PAGE_1!R39,CNXL_SQL_2!$F:$F)=0,"",SUMIF(CNXL_SQL_2!$E:$E,PAGE_1!R39,CNXL_SQL_2!$F:$F))</f>
        <v/>
      </c>
      <c r="Q37" s="135"/>
      <c r="R37" s="133" t="s">
        <v>86</v>
      </c>
      <c r="S37" s="134" t="s">
        <v>87</v>
      </c>
      <c r="T37" s="133"/>
      <c r="U37" s="133"/>
      <c r="V37" s="56"/>
      <c r="W37" s="56"/>
      <c r="X37" s="56"/>
    </row>
    <row r="38" spans="2:24" ht="15" thickBot="1" x14ac:dyDescent="0.4">
      <c r="B38" s="65" t="s">
        <v>47</v>
      </c>
      <c r="C38" s="79">
        <f>SUM(C32:C37)</f>
        <v>1973</v>
      </c>
      <c r="D38" s="22">
        <f t="shared" ref="D38:L38" si="1">IF(SUM(D32:D37)=0,"",SUM(D32:D37))</f>
        <v>13</v>
      </c>
      <c r="E38" s="22" t="str">
        <f t="shared" si="1"/>
        <v/>
      </c>
      <c r="F38" s="22" t="str">
        <f t="shared" si="1"/>
        <v/>
      </c>
      <c r="G38" s="22" t="str">
        <f t="shared" si="1"/>
        <v/>
      </c>
      <c r="H38" s="22" t="str">
        <f t="shared" si="1"/>
        <v/>
      </c>
      <c r="I38" s="22" t="str">
        <f t="shared" si="1"/>
        <v/>
      </c>
      <c r="J38" s="22" t="str">
        <f t="shared" si="1"/>
        <v/>
      </c>
      <c r="K38" s="22" t="str">
        <f t="shared" si="1"/>
        <v/>
      </c>
      <c r="L38" s="22" t="str">
        <f t="shared" si="1"/>
        <v/>
      </c>
      <c r="M38" s="23">
        <f>SUM(M32:M37)</f>
        <v>13</v>
      </c>
      <c r="N38" s="23"/>
      <c r="O38" s="23">
        <f>SUM(O32:O37)</f>
        <v>13</v>
      </c>
      <c r="P38" s="23">
        <f>SUM(P32:P37)</f>
        <v>0</v>
      </c>
      <c r="Q38" s="135"/>
      <c r="R38" s="133" t="s">
        <v>88</v>
      </c>
      <c r="S38" s="134" t="s">
        <v>89</v>
      </c>
      <c r="T38" s="133"/>
      <c r="U38" s="133"/>
      <c r="V38" s="56"/>
      <c r="W38" s="56"/>
      <c r="X38" s="56"/>
    </row>
    <row r="39" spans="2:24" ht="14.5" x14ac:dyDescent="0.35">
      <c r="B39" s="8"/>
      <c r="C39" s="9"/>
      <c r="D39"/>
      <c r="E39"/>
      <c r="F39"/>
      <c r="G39"/>
      <c r="H39" s="9"/>
      <c r="I39" s="9"/>
      <c r="J39" s="9"/>
      <c r="K39" s="9"/>
      <c r="L39" s="9"/>
      <c r="M39" s="9"/>
      <c r="N39" s="9"/>
      <c r="O39" s="9"/>
      <c r="P39" s="9"/>
      <c r="Q39" s="135"/>
      <c r="R39" s="133" t="s">
        <v>90</v>
      </c>
      <c r="S39" s="134" t="s">
        <v>91</v>
      </c>
      <c r="T39" s="133"/>
      <c r="U39" s="133"/>
      <c r="V39" s="56"/>
      <c r="W39" s="56"/>
      <c r="X39" s="56"/>
    </row>
    <row r="40" spans="2:24" ht="14.5" x14ac:dyDescent="0.35">
      <c r="B40" s="8"/>
      <c r="C40" s="9"/>
      <c r="D40"/>
      <c r="E40"/>
      <c r="F40"/>
      <c r="G40"/>
      <c r="H40" s="9"/>
      <c r="I40" s="9"/>
      <c r="J40" s="9"/>
      <c r="K40" s="9"/>
      <c r="L40" s="9"/>
      <c r="M40" s="9"/>
      <c r="N40" s="9"/>
      <c r="O40" s="9"/>
      <c r="P40" s="9"/>
      <c r="Q40" s="133"/>
      <c r="R40" s="133"/>
      <c r="S40" s="134" t="s">
        <v>92</v>
      </c>
      <c r="T40" s="133"/>
      <c r="U40" s="133"/>
      <c r="V40" s="56"/>
      <c r="W40" s="56"/>
      <c r="X40" s="56"/>
    </row>
    <row r="41" spans="2:24" ht="9.4" customHeight="1" thickBot="1" x14ac:dyDescent="0.35">
      <c r="Q41" s="133"/>
      <c r="R41" s="133"/>
      <c r="S41" s="133"/>
      <c r="T41" s="133"/>
      <c r="U41" s="133"/>
      <c r="V41" s="56"/>
      <c r="W41" s="56"/>
      <c r="X41" s="56"/>
    </row>
    <row r="42" spans="2:24" ht="9.4" customHeight="1" thickBot="1" x14ac:dyDescent="0.35">
      <c r="B42" s="287" t="s">
        <v>48</v>
      </c>
      <c r="C42" s="288"/>
      <c r="D42" s="288"/>
      <c r="E42" s="288"/>
      <c r="F42" s="288"/>
      <c r="G42" s="288"/>
      <c r="H42" s="288"/>
      <c r="I42" s="288"/>
      <c r="J42" s="288"/>
      <c r="K42" s="288"/>
      <c r="L42" s="288"/>
      <c r="M42" s="288"/>
      <c r="N42" s="288"/>
      <c r="O42" s="288"/>
      <c r="P42" s="288"/>
      <c r="Q42" s="133"/>
      <c r="R42" s="133"/>
      <c r="S42" s="133"/>
      <c r="T42" s="133"/>
      <c r="U42" s="133"/>
      <c r="V42" s="57"/>
      <c r="W42" s="56"/>
      <c r="X42" s="56"/>
    </row>
    <row r="43" spans="2:24" ht="30.65" customHeight="1" thickBot="1" x14ac:dyDescent="0.35">
      <c r="B43" s="67" t="s">
        <v>15</v>
      </c>
      <c r="C43" s="270" t="s">
        <v>67</v>
      </c>
      <c r="D43" s="69" t="s">
        <v>68</v>
      </c>
      <c r="E43" s="69" t="s">
        <v>69</v>
      </c>
      <c r="F43" s="69" t="s">
        <v>70</v>
      </c>
      <c r="G43" s="69" t="s">
        <v>71</v>
      </c>
      <c r="H43" s="69" t="s">
        <v>72</v>
      </c>
      <c r="I43" s="69" t="s">
        <v>73</v>
      </c>
      <c r="J43" s="69" t="s">
        <v>23</v>
      </c>
      <c r="K43" s="69" t="s">
        <v>24</v>
      </c>
      <c r="L43" s="69" t="s">
        <v>74</v>
      </c>
      <c r="M43" s="70" t="s">
        <v>25</v>
      </c>
      <c r="N43" s="71" t="s">
        <v>26</v>
      </c>
      <c r="O43" s="71" t="s">
        <v>75</v>
      </c>
      <c r="P43" s="71" t="s">
        <v>28</v>
      </c>
      <c r="Q43" s="133"/>
      <c r="R43" s="133"/>
      <c r="S43" s="133"/>
      <c r="T43" s="133"/>
      <c r="U43" s="133"/>
      <c r="V43" s="57"/>
      <c r="W43" s="56"/>
      <c r="X43" s="56"/>
    </row>
    <row r="44" spans="2:24" ht="13" x14ac:dyDescent="0.3">
      <c r="B44" s="64" t="s">
        <v>35</v>
      </c>
      <c r="C44" s="78">
        <f>SUMIF(SCH_DEP_SQL_4!$A:$A,PAGE_1!R33,SCH_DEP_SQL_4!$E:$E)</f>
        <v>972</v>
      </c>
      <c r="D44" s="17" t="str">
        <f>IF(SUMIFS(RES_CNXL_SQL_3!$F:$F,RES_CNXL_SQL_3!$A:$A,PAGE_1!$R33,RES_CNXL_SQL_3!$D:$D,PAGE_1!$S$32)=0,"",SUMIFS(RES_CNXL_SQL_3!$F:$F,RES_CNXL_SQL_3!$A:$A,PAGE_1!$R33,RES_CNXL_SQL_3!$D:$D,PAGE_1!$S$32))</f>
        <v/>
      </c>
      <c r="E44" s="17" t="str">
        <f>IF(SUMIFS(RES_CNXL_SQL_3!$F:$F,RES_CNXL_SQL_3!$A:$A,PAGE_1!$R33,RES_CNXL_SQL_3!$D:$D,PAGE_1!$S$33)=0,"",SUMIFS(RES_CNXL_SQL_3!$F:$F,RES_CNXL_SQL_3!$A:$A,PAGE_1!$R33,RES_CNXL_SQL_3!$D:$D,PAGE_1!$S$33))</f>
        <v/>
      </c>
      <c r="F44" s="17" t="str">
        <f>IF(SUMIFS(RES_CNXL_SQL_3!$F:$F,RES_CNXL_SQL_3!$A:$A,PAGE_1!$R33,RES_CNXL_SQL_3!$D:$D,PAGE_1!$S$34)=0,"",SUMIFS(RES_CNXL_SQL_3!$F:$F,RES_CNXL_SQL_3!$A:$A,PAGE_1!$R33,RES_CNXL_SQL_3!$D:$D,PAGE_1!$S$34))</f>
        <v/>
      </c>
      <c r="G44" s="17" t="str">
        <f>IF(SUMIFS(RES_CNXL_SQL_3!$F:$F,RES_CNXL_SQL_3!$A:$A,PAGE_1!$R33,RES_CNXL_SQL_3!$D:$D,PAGE_1!$S$35)=0,"",SUMIFS(RES_CNXL_SQL_3!$F:$F,RES_CNXL_SQL_3!$A:$A,PAGE_1!$R33,RES_CNXL_SQL_3!$D:$D,PAGE_1!$S$35))</f>
        <v/>
      </c>
      <c r="H44" s="17" t="str">
        <f>IF(SUMIFS(RES_CNXL_SQL_3!$F:$F,RES_CNXL_SQL_3!$A:$A,PAGE_1!$R33,RES_CNXL_SQL_3!$D:$D,PAGE_1!$S$36)=0,"",SUMIFS(RES_CNXL_SQL_3!$F:$F,RES_CNXL_SQL_3!$A:$A,PAGE_1!$R33,RES_CNXL_SQL_3!$D:$D,PAGE_1!$S$36))</f>
        <v/>
      </c>
      <c r="I44" s="17" t="str">
        <f>IF(SUMIFS(RES_CNXL_SQL_3!$F:$F,RES_CNXL_SQL_3!$A:$A,PAGE_1!$R33,RES_CNXL_SQL_3!$D:$D,PAGE_1!$S$37)=0,"",SUMIFS(RES_CNXL_SQL_3!$F:$F,RES_CNXL_SQL_3!$A:$A,PAGE_1!$R33,RES_CNXL_SQL_3!$D:$D,PAGE_1!$S$37))</f>
        <v/>
      </c>
      <c r="J44" s="17" t="str">
        <f>IF(SUMIFS(RES_CNXL_SQL_3!$F:$F,RES_CNXL_SQL_3!$A:$A,PAGE_1!$R33,RES_CNXL_SQL_3!$D:$D,PAGE_1!$S$38)=0,"",SUMIFS(RES_CNXL_SQL_3!$F:$F,RES_CNXL_SQL_3!$A:$A,PAGE_1!$R33,RES_CNXL_SQL_3!$D:$D,PAGE_1!$S$38))</f>
        <v/>
      </c>
      <c r="K44" s="17" t="str">
        <f>IF(SUMIFS(RES_CNXL_SQL_3!$F:$F,RES_CNXL_SQL_3!$A:$A,PAGE_1!$R33,RES_CNXL_SQL_3!$D:$D,PAGE_1!$S$39)=0,"",SUMIFS(RES_CNXL_SQL_3!$F:$F,RES_CNXL_SQL_3!$A:$A,PAGE_1!$R33,RES_CNXL_SQL_3!$D:$D,PAGE_1!$S$39))</f>
        <v/>
      </c>
      <c r="L44" s="17" t="str">
        <f>IF(SUMIFS(RES_CNXL_SQL_3!$F:$F,RES_CNXL_SQL_3!$A:$A,PAGE_1!$R33,RES_CNXL_SQL_3!$D:$D,PAGE_1!$S$40)=0,"",SUMIFS(RES_CNXL_SQL_3!$F:$F,RES_CNXL_SQL_3!$A:$A,PAGE_1!$R33,RES_CNXL_SQL_3!$D:$D,PAGE_1!$S$40))</f>
        <v/>
      </c>
      <c r="M44" s="18" t="str">
        <f t="shared" ref="M44:M49" si="2">IF(SUM(D44:L44)=0,"",SUM(D44:L44))</f>
        <v/>
      </c>
      <c r="N44" s="18" t="str">
        <f>ES_MATRIX!K15</f>
        <v/>
      </c>
      <c r="O44" s="18" t="str">
        <f>IFERROR(M44-ES_MATRIX!L15,"")</f>
        <v/>
      </c>
      <c r="P44" s="16" t="str">
        <f>IF(SUMIF(RES_CNXL_SQL_3!$E:$E,PAGE_1!R33,RES_CNXL_SQL_3!$F:$F)=0,"",SUMIF(RES_CNXL_SQL_3!$E:$E,PAGE_1!R33,RES_CNXL_SQL_3!$F:$F))</f>
        <v/>
      </c>
      <c r="Q44" s="57"/>
      <c r="R44" s="56"/>
      <c r="S44" s="56"/>
      <c r="T44" s="56"/>
      <c r="U44" s="56"/>
      <c r="V44" s="57"/>
      <c r="W44" s="56"/>
      <c r="X44" s="56"/>
    </row>
    <row r="45" spans="2:24" ht="13" x14ac:dyDescent="0.3">
      <c r="B45" s="127" t="s">
        <v>39</v>
      </c>
      <c r="C45" s="128">
        <f>SUMIF(SCH_DEP_SQL_4!$A:$A,PAGE_1!R35,SCH_DEP_SQL_4!$E:$E)</f>
        <v>316</v>
      </c>
      <c r="D45" s="129" t="str">
        <f>IF(SUMIFS(RES_CNXL_SQL_3!$F:$F,RES_CNXL_SQL_3!$A:$A,PAGE_1!$R35,RES_CNXL_SQL_3!$D:$D,PAGE_1!$S$32)=0,"",SUMIFS(RES_CNXL_SQL_3!$F:$F,RES_CNXL_SQL_3!$A:$A,PAGE_1!$R35,RES_CNXL_SQL_3!$D:$D,PAGE_1!$S$32))</f>
        <v/>
      </c>
      <c r="E45" s="129" t="str">
        <f>IF(SUMIFS(RES_CNXL_SQL_3!$F:$F,RES_CNXL_SQL_3!$A:$A,PAGE_1!$R35,RES_CNXL_SQL_3!$D:$D,PAGE_1!$S$33)=0,"",SUMIFS(RES_CNXL_SQL_3!$F:$F,RES_CNXL_SQL_3!$A:$A,PAGE_1!$R35,RES_CNXL_SQL_3!$D:$D,PAGE_1!$S$33))</f>
        <v/>
      </c>
      <c r="F45" s="129" t="str">
        <f>IF(SUMIFS(RES_CNXL_SQL_3!$F:$F,RES_CNXL_SQL_3!$A:$A,PAGE_1!$R35,RES_CNXL_SQL_3!$D:$D,PAGE_1!$S$34)=0,"",SUMIFS(RES_CNXL_SQL_3!$F:$F,RES_CNXL_SQL_3!$A:$A,PAGE_1!$R35,RES_CNXL_SQL_3!$D:$D,PAGE_1!$S$34))</f>
        <v/>
      </c>
      <c r="G45" s="129" t="str">
        <f>IF(SUMIFS(RES_CNXL_SQL_3!$F:$F,RES_CNXL_SQL_3!$A:$A,PAGE_1!$R35,RES_CNXL_SQL_3!$D:$D,PAGE_1!$S$35)=0,"",SUMIFS(RES_CNXL_SQL_3!$F:$F,RES_CNXL_SQL_3!$A:$A,PAGE_1!$R35,RES_CNXL_SQL_3!$D:$D,PAGE_1!$S$35))</f>
        <v/>
      </c>
      <c r="H45" s="129" t="str">
        <f>IF(SUMIFS(RES_CNXL_SQL_3!$F:$F,RES_CNXL_SQL_3!$A:$A,PAGE_1!$R35,RES_CNXL_SQL_3!$D:$D,PAGE_1!$S$36)=0,"",SUMIFS(RES_CNXL_SQL_3!$F:$F,RES_CNXL_SQL_3!$A:$A,PAGE_1!$R35,RES_CNXL_SQL_3!$D:$D,PAGE_1!$S$36))</f>
        <v/>
      </c>
      <c r="I45" s="129" t="str">
        <f>IF(SUMIFS(RES_CNXL_SQL_3!$F:$F,RES_CNXL_SQL_3!$A:$A,PAGE_1!$R35,RES_CNXL_SQL_3!$D:$D,PAGE_1!$S$37)=0,"",SUMIFS(RES_CNXL_SQL_3!$F:$F,RES_CNXL_SQL_3!$A:$A,PAGE_1!$R35,RES_CNXL_SQL_3!$D:$D,PAGE_1!$S$37))</f>
        <v/>
      </c>
      <c r="J45" s="129" t="str">
        <f>IF(SUMIFS(RES_CNXL_SQL_3!$F:$F,RES_CNXL_SQL_3!$A:$A,PAGE_1!$R35,RES_CNXL_SQL_3!$D:$D,PAGE_1!$S$38)=0,"",SUMIFS(RES_CNXL_SQL_3!$F:$F,RES_CNXL_SQL_3!$A:$A,PAGE_1!$R35,RES_CNXL_SQL_3!$D:$D,PAGE_1!$S$38))</f>
        <v/>
      </c>
      <c r="K45" s="129" t="str">
        <f>IF(SUMIFS(RES_CNXL_SQL_3!$F:$F,RES_CNXL_SQL_3!$A:$A,PAGE_1!$R35,RES_CNXL_SQL_3!$D:$D,PAGE_1!$S$39)=0,"",SUMIFS(RES_CNXL_SQL_3!$F:$F,RES_CNXL_SQL_3!$A:$A,PAGE_1!$R35,RES_CNXL_SQL_3!$D:$D,PAGE_1!$S$39))</f>
        <v/>
      </c>
      <c r="L45" s="129" t="str">
        <f>IF(SUMIFS(RES_CNXL_SQL_3!$F:$F,RES_CNXL_SQL_3!$A:$A,PAGE_1!$R35,RES_CNXL_SQL_3!$D:$D,PAGE_1!$S$40)=0,"",SUMIFS(RES_CNXL_SQL_3!$F:$F,RES_CNXL_SQL_3!$A:$A,PAGE_1!$R35,RES_CNXL_SQL_3!$D:$D,PAGE_1!$S$40))</f>
        <v/>
      </c>
      <c r="M45" s="130" t="str">
        <f t="shared" si="2"/>
        <v/>
      </c>
      <c r="N45" s="130" t="str">
        <f>ES_MATRIX!K17</f>
        <v/>
      </c>
      <c r="O45" s="130" t="str">
        <f>IFERROR(M45-ES_MATRIX!L17,"")</f>
        <v/>
      </c>
      <c r="P45" s="131" t="str">
        <f>IF(SUMIF(RES_CNXL_SQL_3!$E:$E,PAGE_1!R35,RES_CNXL_SQL_3!$F:$F)=0,"",SUMIF(RES_CNXL_SQL_3!$E:$E,PAGE_1!R35,RES_CNXL_SQL_3!$F:$F))</f>
        <v/>
      </c>
      <c r="Q45" s="57"/>
      <c r="R45" s="57"/>
      <c r="S45" s="57"/>
      <c r="T45" s="57"/>
      <c r="U45" s="57"/>
      <c r="V45" s="57"/>
      <c r="W45" s="56"/>
      <c r="X45" s="56"/>
    </row>
    <row r="46" spans="2:24" ht="13" x14ac:dyDescent="0.3">
      <c r="B46" s="64" t="s">
        <v>41</v>
      </c>
      <c r="C46" s="78">
        <f>SUMIF(SCH_DEP_SQL_4!$A:$A,PAGE_1!R36,SCH_DEP_SQL_4!$E:$E)</f>
        <v>237</v>
      </c>
      <c r="D46" s="17" t="str">
        <f>IF(SUMIFS(RES_CNXL_SQL_3!$F:$F,RES_CNXL_SQL_3!$A:$A,PAGE_1!$R36,RES_CNXL_SQL_3!$D:$D,PAGE_1!$S$32)=0,"",SUMIFS(RES_CNXL_SQL_3!$F:$F,RES_CNXL_SQL_3!$A:$A,PAGE_1!$R36,RES_CNXL_SQL_3!$D:$D,PAGE_1!$S$32))</f>
        <v/>
      </c>
      <c r="E46" s="17" t="str">
        <f>IF(SUMIFS(RES_CNXL_SQL_3!$F:$F,RES_CNXL_SQL_3!$A:$A,PAGE_1!$R36,RES_CNXL_SQL_3!$D:$D,PAGE_1!$S$33)=0,"",SUMIFS(RES_CNXL_SQL_3!$F:$F,RES_CNXL_SQL_3!$A:$A,PAGE_1!$R36,RES_CNXL_SQL_3!$D:$D,PAGE_1!$S$33))</f>
        <v/>
      </c>
      <c r="F46" s="17" t="str">
        <f>IF(SUMIFS(RES_CNXL_SQL_3!$F:$F,RES_CNXL_SQL_3!$A:$A,PAGE_1!$R36,RES_CNXL_SQL_3!$D:$D,PAGE_1!$S$34)=0,"",SUMIFS(RES_CNXL_SQL_3!$F:$F,RES_CNXL_SQL_3!$A:$A,PAGE_1!$R36,RES_CNXL_SQL_3!$D:$D,PAGE_1!$S$34))</f>
        <v/>
      </c>
      <c r="G46" s="17" t="str">
        <f>IF(SUMIFS(RES_CNXL_SQL_3!$F:$F,RES_CNXL_SQL_3!$A:$A,PAGE_1!$R36,RES_CNXL_SQL_3!$D:$D,PAGE_1!$S$35)=0,"",SUMIFS(RES_CNXL_SQL_3!$F:$F,RES_CNXL_SQL_3!$A:$A,PAGE_1!$R36,RES_CNXL_SQL_3!$D:$D,PAGE_1!$S$35))</f>
        <v/>
      </c>
      <c r="H46" s="17" t="str">
        <f>IF(SUMIFS(RES_CNXL_SQL_3!$F:$F,RES_CNXL_SQL_3!$A:$A,PAGE_1!$R36,RES_CNXL_SQL_3!$D:$D,PAGE_1!$S$36)=0,"",SUMIFS(RES_CNXL_SQL_3!$F:$F,RES_CNXL_SQL_3!$A:$A,PAGE_1!$R36,RES_CNXL_SQL_3!$D:$D,PAGE_1!$S$36))</f>
        <v/>
      </c>
      <c r="I46" s="17" t="str">
        <f>IF(SUMIFS(RES_CNXL_SQL_3!$F:$F,RES_CNXL_SQL_3!$A:$A,PAGE_1!$R36,RES_CNXL_SQL_3!$D:$D,PAGE_1!$S$37)=0,"",SUMIFS(RES_CNXL_SQL_3!$F:$F,RES_CNXL_SQL_3!$A:$A,PAGE_1!$R36,RES_CNXL_SQL_3!$D:$D,PAGE_1!$S$37))</f>
        <v/>
      </c>
      <c r="J46" s="17" t="str">
        <f>IF(SUMIFS(RES_CNXL_SQL_3!$F:$F,RES_CNXL_SQL_3!$A:$A,PAGE_1!$R36,RES_CNXL_SQL_3!$D:$D,PAGE_1!$S$38)=0,"",SUMIFS(RES_CNXL_SQL_3!$F:$F,RES_CNXL_SQL_3!$A:$A,PAGE_1!$R36,RES_CNXL_SQL_3!$D:$D,PAGE_1!$S$38))</f>
        <v/>
      </c>
      <c r="K46" s="17" t="str">
        <f>IF(SUMIFS(RES_CNXL_SQL_3!$F:$F,RES_CNXL_SQL_3!$A:$A,PAGE_1!$R36,RES_CNXL_SQL_3!$D:$D,PAGE_1!$S$39)=0,"",SUMIFS(RES_CNXL_SQL_3!$F:$F,RES_CNXL_SQL_3!$A:$A,PAGE_1!$R36,RES_CNXL_SQL_3!$D:$D,PAGE_1!$S$39))</f>
        <v/>
      </c>
      <c r="L46" s="17" t="str">
        <f>IF(SUMIFS(RES_CNXL_SQL_3!$F:$F,RES_CNXL_SQL_3!$A:$A,PAGE_1!$R36,RES_CNXL_SQL_3!$D:$D,PAGE_1!$S$40)=0,"",SUMIFS(RES_CNXL_SQL_3!$F:$F,RES_CNXL_SQL_3!$A:$A,PAGE_1!$R36,RES_CNXL_SQL_3!$D:$D,PAGE_1!$S$40))</f>
        <v/>
      </c>
      <c r="M46" s="41" t="str">
        <f t="shared" si="2"/>
        <v/>
      </c>
      <c r="N46" s="18" t="str">
        <f>ES_MATRIX!K18</f>
        <v/>
      </c>
      <c r="O46" s="18" t="str">
        <f>IFERROR(M46-ES_MATRIX!L18,"")</f>
        <v/>
      </c>
      <c r="P46" s="16" t="str">
        <f>IF(SUMIF(RES_CNXL_SQL_3!$E:$E,PAGE_1!R36,RES_CNXL_SQL_3!$F:$F)=0,"",SUMIF(RES_CNXL_SQL_3!$E:$E,PAGE_1!R36,RES_CNXL_SQL_3!$F:$F))</f>
        <v/>
      </c>
      <c r="Q46" s="56"/>
      <c r="R46" s="56"/>
      <c r="S46" s="56"/>
      <c r="T46" s="56"/>
      <c r="U46" s="56"/>
      <c r="V46" s="56"/>
      <c r="W46" s="56"/>
      <c r="X46" s="56"/>
    </row>
    <row r="47" spans="2:24" ht="13" x14ac:dyDescent="0.3">
      <c r="B47" s="127" t="s">
        <v>43</v>
      </c>
      <c r="C47" s="128">
        <f>SUMIF(SCH_DEP_SQL_4!$A:$A,PAGE_1!R37,SCH_DEP_SQL_4!$E:$E)</f>
        <v>221</v>
      </c>
      <c r="D47" s="129" t="str">
        <f>IF(SUMIFS(RES_CNXL_SQL_3!$F:$F,RES_CNXL_SQL_3!$A:$A,PAGE_1!$R37,RES_CNXL_SQL_3!$D:$D,PAGE_1!$S$32)=0,"",SUMIFS(RES_CNXL_SQL_3!$F:$F,RES_CNXL_SQL_3!$A:$A,PAGE_1!$R37,RES_CNXL_SQL_3!$D:$D,PAGE_1!$S$32))</f>
        <v/>
      </c>
      <c r="E47" s="129" t="str">
        <f>IF(SUMIFS(RES_CNXL_SQL_3!$F:$F,RES_CNXL_SQL_3!$A:$A,PAGE_1!$R37,RES_CNXL_SQL_3!$D:$D,PAGE_1!$S$33)=0,"",SUMIFS(RES_CNXL_SQL_3!$F:$F,RES_CNXL_SQL_3!$A:$A,PAGE_1!$R37,RES_CNXL_SQL_3!$D:$D,PAGE_1!$S$33))</f>
        <v/>
      </c>
      <c r="F47" s="129" t="str">
        <f>IF(SUMIFS(RES_CNXL_SQL_3!$F:$F,RES_CNXL_SQL_3!$A:$A,PAGE_1!$R37,RES_CNXL_SQL_3!$D:$D,PAGE_1!$S$34)=0,"",SUMIFS(RES_CNXL_SQL_3!$F:$F,RES_CNXL_SQL_3!$A:$A,PAGE_1!$R37,RES_CNXL_SQL_3!$D:$D,PAGE_1!$S$34))</f>
        <v/>
      </c>
      <c r="G47" s="129" t="str">
        <f>IF(SUMIFS(RES_CNXL_SQL_3!$F:$F,RES_CNXL_SQL_3!$A:$A,PAGE_1!$R37,RES_CNXL_SQL_3!$D:$D,PAGE_1!$S$35)=0,"",SUMIFS(RES_CNXL_SQL_3!$F:$F,RES_CNXL_SQL_3!$A:$A,PAGE_1!$R37,RES_CNXL_SQL_3!$D:$D,PAGE_1!$S$35))</f>
        <v/>
      </c>
      <c r="H47" s="129" t="str">
        <f>IF(SUMIFS(RES_CNXL_SQL_3!$F:$F,RES_CNXL_SQL_3!$A:$A,PAGE_1!$R37,RES_CNXL_SQL_3!$D:$D,PAGE_1!$S$36)=0,"",SUMIFS(RES_CNXL_SQL_3!$F:$F,RES_CNXL_SQL_3!$A:$A,PAGE_1!$R37,RES_CNXL_SQL_3!$D:$D,PAGE_1!$S$36))</f>
        <v/>
      </c>
      <c r="I47" s="129" t="str">
        <f>IF(SUMIFS(RES_CNXL_SQL_3!$F:$F,RES_CNXL_SQL_3!$A:$A,PAGE_1!$R37,RES_CNXL_SQL_3!$D:$D,PAGE_1!$S$37)=0,"",SUMIFS(RES_CNXL_SQL_3!$F:$F,RES_CNXL_SQL_3!$A:$A,PAGE_1!$R37,RES_CNXL_SQL_3!$D:$D,PAGE_1!$S$37))</f>
        <v/>
      </c>
      <c r="J47" s="129" t="str">
        <f>IF(SUMIFS(RES_CNXL_SQL_3!$F:$F,RES_CNXL_SQL_3!$A:$A,PAGE_1!$R37,RES_CNXL_SQL_3!$D:$D,PAGE_1!$S$38)=0,"",SUMIFS(RES_CNXL_SQL_3!$F:$F,RES_CNXL_SQL_3!$A:$A,PAGE_1!$R37,RES_CNXL_SQL_3!$D:$D,PAGE_1!$S$38))</f>
        <v/>
      </c>
      <c r="K47" s="129" t="str">
        <f>IF(SUMIFS(RES_CNXL_SQL_3!$F:$F,RES_CNXL_SQL_3!$A:$A,PAGE_1!$R37,RES_CNXL_SQL_3!$D:$D,PAGE_1!$S$39)=0,"",SUMIFS(RES_CNXL_SQL_3!$F:$F,RES_CNXL_SQL_3!$A:$A,PAGE_1!$R37,RES_CNXL_SQL_3!$D:$D,PAGE_1!$S$39))</f>
        <v/>
      </c>
      <c r="L47" s="129" t="str">
        <f>IF(SUMIFS(RES_CNXL_SQL_3!$F:$F,RES_CNXL_SQL_3!$A:$A,PAGE_1!$R37,RES_CNXL_SQL_3!$D:$D,PAGE_1!$S$40)=0,"",SUMIFS(RES_CNXL_SQL_3!$F:$F,RES_CNXL_SQL_3!$A:$A,PAGE_1!$R37,RES_CNXL_SQL_3!$D:$D,PAGE_1!$S$40))</f>
        <v/>
      </c>
      <c r="M47" s="132" t="str">
        <f t="shared" si="2"/>
        <v/>
      </c>
      <c r="N47" s="130" t="str">
        <f>ES_MATRIX!K19</f>
        <v/>
      </c>
      <c r="O47" s="130" t="str">
        <f>IFERROR(M47-ES_MATRIX!L19,"")</f>
        <v/>
      </c>
      <c r="P47" s="131" t="str">
        <f>IF(SUMIF(RES_CNXL_SQL_3!$E:$E,PAGE_1!R37,RES_CNXL_SQL_3!$F:$F)=0,"",SUMIF(RES_CNXL_SQL_3!$E:$E,PAGE_1!R37,RES_CNXL_SQL_3!$F:$F))</f>
        <v/>
      </c>
    </row>
    <row r="48" spans="2:24" ht="13" x14ac:dyDescent="0.3">
      <c r="B48" s="64" t="s">
        <v>44</v>
      </c>
      <c r="C48" s="78">
        <f>SUMIF(SCH_DEP_SQL_4!$A:$A,PAGE_1!R38,SCH_DEP_SQL_4!$E:$E)</f>
        <v>227</v>
      </c>
      <c r="D48" s="17" t="str">
        <f>IF(SUMIFS(RES_CNXL_SQL_3!$F:$F,RES_CNXL_SQL_3!$A:$A,PAGE_1!$R38,RES_CNXL_SQL_3!$D:$D,PAGE_1!$S$32)=0,"",SUMIFS(RES_CNXL_SQL_3!$F:$F,RES_CNXL_SQL_3!$A:$A,PAGE_1!$R38,RES_CNXL_SQL_3!$D:$D,PAGE_1!$S$32))</f>
        <v/>
      </c>
      <c r="E48" s="17" t="str">
        <f>IF(SUMIFS(RES_CNXL_SQL_3!$F:$F,RES_CNXL_SQL_3!$A:$A,PAGE_1!$R38,RES_CNXL_SQL_3!$D:$D,PAGE_1!$S$33)=0,"",SUMIFS(RES_CNXL_SQL_3!$F:$F,RES_CNXL_SQL_3!$A:$A,PAGE_1!$R38,RES_CNXL_SQL_3!$D:$D,PAGE_1!$S$33))</f>
        <v/>
      </c>
      <c r="F48" s="17" t="str">
        <f>IF(SUMIFS(RES_CNXL_SQL_3!$F:$F,RES_CNXL_SQL_3!$A:$A,PAGE_1!$R38,RES_CNXL_SQL_3!$D:$D,PAGE_1!$S$34)=0,"",SUMIFS(RES_CNXL_SQL_3!$F:$F,RES_CNXL_SQL_3!$A:$A,PAGE_1!$R38,RES_CNXL_SQL_3!$D:$D,PAGE_1!$S$34))</f>
        <v/>
      </c>
      <c r="G48" s="17" t="str">
        <f>IF(SUMIFS(RES_CNXL_SQL_3!$F:$F,RES_CNXL_SQL_3!$A:$A,PAGE_1!$R38,RES_CNXL_SQL_3!$D:$D,PAGE_1!$S$35)=0,"",SUMIFS(RES_CNXL_SQL_3!$F:$F,RES_CNXL_SQL_3!$A:$A,PAGE_1!$R38,RES_CNXL_SQL_3!$D:$D,PAGE_1!$S$35))</f>
        <v/>
      </c>
      <c r="H48" s="17" t="str">
        <f>IF(SUMIFS(RES_CNXL_SQL_3!$F:$F,RES_CNXL_SQL_3!$A:$A,PAGE_1!$R38,RES_CNXL_SQL_3!$D:$D,PAGE_1!$S$36)=0,"",SUMIFS(RES_CNXL_SQL_3!$F:$F,RES_CNXL_SQL_3!$A:$A,PAGE_1!$R38,RES_CNXL_SQL_3!$D:$D,PAGE_1!$S$36))</f>
        <v/>
      </c>
      <c r="I48" s="17" t="str">
        <f>IF(SUMIFS(RES_CNXL_SQL_3!$F:$F,RES_CNXL_SQL_3!$A:$A,PAGE_1!$R38,RES_CNXL_SQL_3!$D:$D,PAGE_1!$S$37)=0,"",SUMIFS(RES_CNXL_SQL_3!$F:$F,RES_CNXL_SQL_3!$A:$A,PAGE_1!$R38,RES_CNXL_SQL_3!$D:$D,PAGE_1!$S$37))</f>
        <v/>
      </c>
      <c r="J48" s="17" t="str">
        <f>IF(SUMIFS(RES_CNXL_SQL_3!$F:$F,RES_CNXL_SQL_3!$A:$A,PAGE_1!$R38,RES_CNXL_SQL_3!$D:$D,PAGE_1!$S$38)=0,"",SUMIFS(RES_CNXL_SQL_3!$F:$F,RES_CNXL_SQL_3!$A:$A,PAGE_1!$R38,RES_CNXL_SQL_3!$D:$D,PAGE_1!$S$38))</f>
        <v/>
      </c>
      <c r="K48" s="17" t="str">
        <f>IF(SUMIFS(RES_CNXL_SQL_3!$F:$F,RES_CNXL_SQL_3!$A:$A,PAGE_1!$R38,RES_CNXL_SQL_3!$D:$D,PAGE_1!$S$39)=0,"",SUMIFS(RES_CNXL_SQL_3!$F:$F,RES_CNXL_SQL_3!$A:$A,PAGE_1!$R38,RES_CNXL_SQL_3!$D:$D,PAGE_1!$S$39))</f>
        <v/>
      </c>
      <c r="L48" s="17" t="str">
        <f>IF(SUMIFS(RES_CNXL_SQL_3!$F:$F,RES_CNXL_SQL_3!$A:$A,PAGE_1!$R38,RES_CNXL_SQL_3!$D:$D,PAGE_1!$S$40)=0,"",SUMIFS(RES_CNXL_SQL_3!$F:$F,RES_CNXL_SQL_3!$A:$A,PAGE_1!$R38,RES_CNXL_SQL_3!$D:$D,PAGE_1!$S$40))</f>
        <v/>
      </c>
      <c r="M48" s="41" t="str">
        <f t="shared" si="2"/>
        <v/>
      </c>
      <c r="N48" s="18" t="str">
        <f>ES_MATRIX!K20</f>
        <v/>
      </c>
      <c r="O48" s="18" t="str">
        <f>IFERROR(M48-ES_MATRIX!L20,"")</f>
        <v/>
      </c>
      <c r="P48" s="16" t="str">
        <f>IF(SUMIF(RES_CNXL_SQL_3!$E:$E,PAGE_1!R38,RES_CNXL_SQL_3!$F:$F)=0,"",SUMIF(RES_CNXL_SQL_3!$E:$E,PAGE_1!R38,RES_CNXL_SQL_3!$F:$F))</f>
        <v/>
      </c>
    </row>
    <row r="49" spans="2:16" ht="13.5" thickBot="1" x14ac:dyDescent="0.35">
      <c r="B49" s="127" t="s">
        <v>45</v>
      </c>
      <c r="C49" s="128">
        <f>SUMIF(SCH_DEP_SQL_4!$A:$A,PAGE_1!R39,SCH_DEP_SQL_4!$E:$E)</f>
        <v>0</v>
      </c>
      <c r="D49" s="129" t="str">
        <f>IF(SUMIFS(RES_CNXL_SQL_3!$F:$F,RES_CNXL_SQL_3!$A:$A,PAGE_1!$R39,RES_CNXL_SQL_3!$D:$D,PAGE_1!$S$32)=0,"",SUMIFS(RES_CNXL_SQL_3!$F:$F,RES_CNXL_SQL_3!$A:$A,PAGE_1!$R39,RES_CNXL_SQL_3!$D:$D,PAGE_1!$S$32))</f>
        <v/>
      </c>
      <c r="E49" s="129" t="str">
        <f>IF(SUMIFS(RES_CNXL_SQL_3!$F:$F,RES_CNXL_SQL_3!$A:$A,PAGE_1!$R39,RES_CNXL_SQL_3!$D:$D,PAGE_1!$S$33)=0,"",SUMIFS(RES_CNXL_SQL_3!$F:$F,RES_CNXL_SQL_3!$A:$A,PAGE_1!$R39,RES_CNXL_SQL_3!$D:$D,PAGE_1!$S$33))</f>
        <v/>
      </c>
      <c r="F49" s="129" t="str">
        <f>IF(SUMIFS(RES_CNXL_SQL_3!$F:$F,RES_CNXL_SQL_3!$A:$A,PAGE_1!$R39,RES_CNXL_SQL_3!$D:$D,PAGE_1!$S$34)=0,"",SUMIFS(RES_CNXL_SQL_3!$F:$F,RES_CNXL_SQL_3!$A:$A,PAGE_1!$R39,RES_CNXL_SQL_3!$D:$D,PAGE_1!$S$34))</f>
        <v/>
      </c>
      <c r="G49" s="129" t="str">
        <f>IF(SUMIFS(RES_CNXL_SQL_3!$F:$F,RES_CNXL_SQL_3!$A:$A,PAGE_1!$R39,RES_CNXL_SQL_3!$D:$D,PAGE_1!$S$35)=0,"",SUMIFS(RES_CNXL_SQL_3!$F:$F,RES_CNXL_SQL_3!$A:$A,PAGE_1!$R39,RES_CNXL_SQL_3!$D:$D,PAGE_1!$S$35))</f>
        <v/>
      </c>
      <c r="H49" s="129" t="str">
        <f>IF(SUMIFS(RES_CNXL_SQL_3!$F:$F,RES_CNXL_SQL_3!$A:$A,PAGE_1!$R39,RES_CNXL_SQL_3!$D:$D,PAGE_1!$S$36)=0,"",SUMIFS(RES_CNXL_SQL_3!$F:$F,RES_CNXL_SQL_3!$A:$A,PAGE_1!$R39,RES_CNXL_SQL_3!$D:$D,PAGE_1!$S$36))</f>
        <v/>
      </c>
      <c r="I49" s="129" t="str">
        <f>IF(SUMIFS(RES_CNXL_SQL_3!$F:$F,RES_CNXL_SQL_3!$A:$A,PAGE_1!$R39,RES_CNXL_SQL_3!$D:$D,PAGE_1!$S$37)=0,"",SUMIFS(RES_CNXL_SQL_3!$F:$F,RES_CNXL_SQL_3!$A:$A,PAGE_1!$R39,RES_CNXL_SQL_3!$D:$D,PAGE_1!$S$37))</f>
        <v/>
      </c>
      <c r="J49" s="129" t="str">
        <f>IF(SUMIFS(RES_CNXL_SQL_3!$F:$F,RES_CNXL_SQL_3!$A:$A,PAGE_1!$R39,RES_CNXL_SQL_3!$D:$D,PAGE_1!$S$38)=0,"",SUMIFS(RES_CNXL_SQL_3!$F:$F,RES_CNXL_SQL_3!$A:$A,PAGE_1!$R39,RES_CNXL_SQL_3!$D:$D,PAGE_1!$S$38))</f>
        <v/>
      </c>
      <c r="K49" s="129" t="str">
        <f>IF(SUMIFS(RES_CNXL_SQL_3!$F:$F,RES_CNXL_SQL_3!$A:$A,PAGE_1!$R39,RES_CNXL_SQL_3!$D:$D,PAGE_1!$S$39)=0,"",SUMIFS(RES_CNXL_SQL_3!$F:$F,RES_CNXL_SQL_3!$A:$A,PAGE_1!$R39,RES_CNXL_SQL_3!$D:$D,PAGE_1!$S$39))</f>
        <v/>
      </c>
      <c r="L49" s="129" t="str">
        <f>IF(SUMIFS(RES_CNXL_SQL_3!$F:$F,RES_CNXL_SQL_3!$A:$A,PAGE_1!$R39,RES_CNXL_SQL_3!$D:$D,PAGE_1!$S$40)=0,"",SUMIFS(RES_CNXL_SQL_3!$F:$F,RES_CNXL_SQL_3!$A:$A,PAGE_1!$R39,RES_CNXL_SQL_3!$D:$D,PAGE_1!$S$40))</f>
        <v/>
      </c>
      <c r="M49" s="130" t="str">
        <f t="shared" si="2"/>
        <v/>
      </c>
      <c r="N49" s="130" t="str">
        <f>ES_MATRIX!K21</f>
        <v/>
      </c>
      <c r="O49" s="130" t="str">
        <f>IFERROR(M49-ES_MATRIX!L21,"")</f>
        <v/>
      </c>
      <c r="P49" s="131" t="str">
        <f>IF(SUMIF(RES_CNXL_SQL_3!$E:$E,PAGE_1!R39,RES_CNXL_SQL_3!$F:$F)=0,"",SUMIF(RES_CNXL_SQL_3!$E:$E,PAGE_1!R39,RES_CNXL_SQL_3!$F:$F))</f>
        <v/>
      </c>
    </row>
    <row r="50" spans="2:16" ht="13.5" thickBot="1" x14ac:dyDescent="0.35">
      <c r="B50" s="65" t="s">
        <v>47</v>
      </c>
      <c r="C50" s="79">
        <f>SUM(C44:C49)</f>
        <v>1973</v>
      </c>
      <c r="D50" s="22" t="str">
        <f t="shared" ref="D50:L50" si="3">IF(SUM(D44:D49)=0,"",SUM(D44:D49))</f>
        <v/>
      </c>
      <c r="E50" s="22" t="str">
        <f t="shared" si="3"/>
        <v/>
      </c>
      <c r="F50" s="22" t="str">
        <f t="shared" si="3"/>
        <v/>
      </c>
      <c r="G50" s="22" t="str">
        <f t="shared" si="3"/>
        <v/>
      </c>
      <c r="H50" s="22" t="str">
        <f t="shared" si="3"/>
        <v/>
      </c>
      <c r="I50" s="22" t="str">
        <f t="shared" si="3"/>
        <v/>
      </c>
      <c r="J50" s="22" t="str">
        <f t="shared" si="3"/>
        <v/>
      </c>
      <c r="K50" s="22" t="str">
        <f t="shared" si="3"/>
        <v/>
      </c>
      <c r="L50" s="22" t="str">
        <f t="shared" si="3"/>
        <v/>
      </c>
      <c r="M50" s="23">
        <f>SUM(M44:M49)</f>
        <v>0</v>
      </c>
      <c r="N50" s="23"/>
      <c r="O50" s="23">
        <f>SUM(O44:O49)</f>
        <v>0</v>
      </c>
      <c r="P50" s="23">
        <f>SUM(P44:P49)</f>
        <v>0</v>
      </c>
    </row>
    <row r="51" spans="2:16" x14ac:dyDescent="0.3">
      <c r="C51" s="66"/>
    </row>
    <row r="55" spans="2:16" ht="21" customHeight="1" x14ac:dyDescent="0.3"/>
  </sheetData>
  <mergeCells count="6">
    <mergeCell ref="B42:P42"/>
    <mergeCell ref="B2:C2"/>
    <mergeCell ref="D2:E2"/>
    <mergeCell ref="B4:H4"/>
    <mergeCell ref="B30:P30"/>
    <mergeCell ref="B18:M18"/>
  </mergeCells>
  <conditionalFormatting sqref="F6">
    <cfRule type="cellIs" dxfId="173" priority="230" operator="greaterThanOrEqual">
      <formula>0</formula>
    </cfRule>
    <cfRule type="cellIs" dxfId="172" priority="232" operator="lessThan">
      <formula>0</formula>
    </cfRule>
  </conditionalFormatting>
  <conditionalFormatting sqref="G6">
    <cfRule type="cellIs" dxfId="171" priority="227" operator="greaterThanOrEqual">
      <formula>0</formula>
    </cfRule>
    <cfRule type="cellIs" dxfId="170" priority="229" operator="lessThan">
      <formula>0</formula>
    </cfRule>
  </conditionalFormatting>
  <conditionalFormatting sqref="G7">
    <cfRule type="cellIs" dxfId="169" priority="224" operator="greaterThan">
      <formula>0</formula>
    </cfRule>
    <cfRule type="cellIs" dxfId="168" priority="226" operator="lessThan">
      <formula>0</formula>
    </cfRule>
  </conditionalFormatting>
  <conditionalFormatting sqref="G8">
    <cfRule type="cellIs" dxfId="167" priority="221" operator="greaterThan">
      <formula>0</formula>
    </cfRule>
    <cfRule type="cellIs" dxfId="166" priority="223" operator="lessThan">
      <formula>0</formula>
    </cfRule>
  </conditionalFormatting>
  <conditionalFormatting sqref="F8">
    <cfRule type="cellIs" dxfId="165" priority="218" operator="greaterThan">
      <formula>0</formula>
    </cfRule>
    <cfRule type="cellIs" dxfId="164" priority="220" operator="lessThan">
      <formula>0</formula>
    </cfRule>
  </conditionalFormatting>
  <conditionalFormatting sqref="J24">
    <cfRule type="cellIs" dxfId="163" priority="127" operator="greaterThanOrEqual">
      <formula>0</formula>
    </cfRule>
    <cfRule type="cellIs" dxfId="162" priority="128" operator="lessThan">
      <formula>0</formula>
    </cfRule>
  </conditionalFormatting>
  <conditionalFormatting sqref="K24">
    <cfRule type="cellIs" dxfId="161" priority="125" operator="greaterThanOrEqual">
      <formula>0</formula>
    </cfRule>
    <cfRule type="cellIs" dxfId="160" priority="126" operator="lessThan">
      <formula>0</formula>
    </cfRule>
  </conditionalFormatting>
  <conditionalFormatting sqref="F7">
    <cfRule type="cellIs" dxfId="159" priority="108" operator="greaterThan">
      <formula>0</formula>
    </cfRule>
    <cfRule type="cellIs" dxfId="158" priority="109" operator="lessThan">
      <formula>0</formula>
    </cfRule>
  </conditionalFormatting>
  <conditionalFormatting sqref="K25">
    <cfRule type="cellIs" dxfId="157" priority="106" operator="greaterThanOrEqual">
      <formula>0</formula>
    </cfRule>
    <cfRule type="cellIs" dxfId="156" priority="107" operator="lessThan">
      <formula>0</formula>
    </cfRule>
  </conditionalFormatting>
  <conditionalFormatting sqref="L26">
    <cfRule type="cellIs" dxfId="155" priority="104" operator="greaterThanOrEqual">
      <formula>0</formula>
    </cfRule>
    <cfRule type="cellIs" dxfId="154" priority="105" operator="lessThan">
      <formula>0</formula>
    </cfRule>
  </conditionalFormatting>
  <conditionalFormatting sqref="K23">
    <cfRule type="cellIs" dxfId="153" priority="102" operator="greaterThanOrEqual">
      <formula>0</formula>
    </cfRule>
    <cfRule type="cellIs" dxfId="152" priority="103" operator="lessThan">
      <formula>0</formula>
    </cfRule>
  </conditionalFormatting>
  <conditionalFormatting sqref="J22">
    <cfRule type="cellIs" dxfId="151" priority="100" operator="greaterThanOrEqual">
      <formula>0</formula>
    </cfRule>
    <cfRule type="cellIs" dxfId="150" priority="101" operator="lessThan">
      <formula>0</formula>
    </cfRule>
  </conditionalFormatting>
  <conditionalFormatting sqref="J21">
    <cfRule type="cellIs" dxfId="149" priority="98" operator="greaterThanOrEqual">
      <formula>0</formula>
    </cfRule>
    <cfRule type="cellIs" dxfId="148" priority="99" operator="lessThan">
      <formula>0</formula>
    </cfRule>
  </conditionalFormatting>
  <conditionalFormatting sqref="K21">
    <cfRule type="cellIs" dxfId="147" priority="96" operator="greaterThanOrEqual">
      <formula>0</formula>
    </cfRule>
    <cfRule type="cellIs" dxfId="146" priority="97" operator="lessThan">
      <formula>0</formula>
    </cfRule>
  </conditionalFormatting>
  <conditionalFormatting sqref="F21:F25">
    <cfRule type="cellIs" dxfId="145" priority="92" operator="greaterThanOrEqual">
      <formula>0</formula>
    </cfRule>
    <cfRule type="cellIs" dxfId="144" priority="93" operator="lessThan">
      <formula>0</formula>
    </cfRule>
  </conditionalFormatting>
  <conditionalFormatting sqref="E21:E22">
    <cfRule type="cellIs" dxfId="143" priority="90" operator="greaterThanOrEqual">
      <formula>0</formula>
    </cfRule>
    <cfRule type="cellIs" dxfId="142" priority="91" operator="lessThan">
      <formula>0</formula>
    </cfRule>
  </conditionalFormatting>
  <conditionalFormatting sqref="E25">
    <cfRule type="cellIs" dxfId="141" priority="88" operator="greaterThanOrEqual">
      <formula>0</formula>
    </cfRule>
    <cfRule type="cellIs" dxfId="140" priority="89" operator="lessThan">
      <formula>0</formula>
    </cfRule>
  </conditionalFormatting>
  <conditionalFormatting sqref="G26">
    <cfRule type="cellIs" dxfId="139" priority="86" operator="greaterThanOrEqual">
      <formula>0</formula>
    </cfRule>
    <cfRule type="cellIs" dxfId="138" priority="87" operator="lessThan">
      <formula>0</formula>
    </cfRule>
  </conditionalFormatting>
  <conditionalFormatting sqref="L27">
    <cfRule type="cellIs" dxfId="137" priority="82" operator="greaterThanOrEqual">
      <formula>0</formula>
    </cfRule>
    <cfRule type="cellIs" dxfId="136" priority="83" operator="lessThan">
      <formula>0</formula>
    </cfRule>
  </conditionalFormatting>
  <conditionalFormatting sqref="E24">
    <cfRule type="cellIs" dxfId="135" priority="78" operator="greaterThanOrEqual">
      <formula>0</formula>
    </cfRule>
    <cfRule type="cellIs" dxfId="134" priority="79" operator="lessThan">
      <formula>0</formula>
    </cfRule>
  </conditionalFormatting>
  <conditionalFormatting sqref="E27">
    <cfRule type="cellIs" dxfId="133" priority="76" operator="greaterThanOrEqual">
      <formula>0</formula>
    </cfRule>
    <cfRule type="cellIs" dxfId="132" priority="77" operator="lessThan">
      <formula>0</formula>
    </cfRule>
  </conditionalFormatting>
  <conditionalFormatting sqref="F27">
    <cfRule type="cellIs" dxfId="131" priority="74" operator="greaterThanOrEqual">
      <formula>0</formula>
    </cfRule>
    <cfRule type="cellIs" dxfId="130" priority="75" operator="lessThan">
      <formula>0</formula>
    </cfRule>
  </conditionalFormatting>
  <conditionalFormatting sqref="G25">
    <cfRule type="cellIs" dxfId="129" priority="72" operator="greaterThanOrEqual">
      <formula>0</formula>
    </cfRule>
    <cfRule type="cellIs" dxfId="128" priority="73" operator="lessThan">
      <formula>0</formula>
    </cfRule>
  </conditionalFormatting>
  <conditionalFormatting sqref="G27">
    <cfRule type="cellIs" dxfId="127" priority="70" operator="greaterThanOrEqual">
      <formula>0</formula>
    </cfRule>
    <cfRule type="cellIs" dxfId="126" priority="71" operator="lessThan">
      <formula>0</formula>
    </cfRule>
  </conditionalFormatting>
  <conditionalFormatting sqref="J27">
    <cfRule type="cellIs" dxfId="125" priority="68" operator="greaterThanOrEqual">
      <formula>0</formula>
    </cfRule>
    <cfRule type="cellIs" dxfId="124" priority="69" operator="lessThan">
      <formula>0</formula>
    </cfRule>
  </conditionalFormatting>
  <conditionalFormatting sqref="K22">
    <cfRule type="cellIs" dxfId="123" priority="66" operator="greaterThanOrEqual">
      <formula>0</formula>
    </cfRule>
    <cfRule type="cellIs" dxfId="122" priority="67" operator="lessThan">
      <formula>0</formula>
    </cfRule>
  </conditionalFormatting>
  <conditionalFormatting sqref="K27">
    <cfRule type="cellIs" dxfId="121" priority="64" operator="greaterThanOrEqual">
      <formula>0</formula>
    </cfRule>
    <cfRule type="cellIs" dxfId="120" priority="65" operator="lessThan">
      <formula>0</formula>
    </cfRule>
  </conditionalFormatting>
  <conditionalFormatting sqref="D32:D37">
    <cfRule type="top10" dxfId="119" priority="18" rank="1"/>
  </conditionalFormatting>
  <conditionalFormatting sqref="E32:E37">
    <cfRule type="top10" dxfId="118" priority="17" rank="1"/>
  </conditionalFormatting>
  <conditionalFormatting sqref="F32:F37">
    <cfRule type="top10" dxfId="117" priority="16" rank="1"/>
  </conditionalFormatting>
  <conditionalFormatting sqref="G32:G37">
    <cfRule type="top10" dxfId="116" priority="15" rank="1"/>
  </conditionalFormatting>
  <conditionalFormatting sqref="H32:H37">
    <cfRule type="top10" dxfId="115" priority="14" rank="1"/>
  </conditionalFormatting>
  <conditionalFormatting sqref="I32:I37">
    <cfRule type="top10" dxfId="114" priority="13" rank="1"/>
  </conditionalFormatting>
  <conditionalFormatting sqref="J32:J37">
    <cfRule type="top10" dxfId="113" priority="12" rank="1"/>
  </conditionalFormatting>
  <conditionalFormatting sqref="K32:K37">
    <cfRule type="top10" dxfId="112" priority="11" rank="1"/>
  </conditionalFormatting>
  <conditionalFormatting sqref="L32:L37">
    <cfRule type="top10" dxfId="111" priority="10" rank="1"/>
  </conditionalFormatting>
  <conditionalFormatting sqref="D44:D49">
    <cfRule type="top10" dxfId="110" priority="9" rank="1"/>
  </conditionalFormatting>
  <conditionalFormatting sqref="E44:E49">
    <cfRule type="top10" dxfId="109" priority="8" rank="1"/>
  </conditionalFormatting>
  <conditionalFormatting sqref="F44:F49">
    <cfRule type="top10" dxfId="108" priority="7" rank="1"/>
  </conditionalFormatting>
  <conditionalFormatting sqref="G44:G49">
    <cfRule type="top10" dxfId="107" priority="6" rank="1"/>
  </conditionalFormatting>
  <conditionalFormatting sqref="H44:H49">
    <cfRule type="top10" dxfId="106" priority="5" rank="1"/>
  </conditionalFormatting>
  <conditionalFormatting sqref="I44:I49">
    <cfRule type="top10" dxfId="105" priority="4" rank="1"/>
  </conditionalFormatting>
  <conditionalFormatting sqref="J44:J49">
    <cfRule type="top10" dxfId="104" priority="3" rank="1"/>
  </conditionalFormatting>
  <conditionalFormatting sqref="K44:K49">
    <cfRule type="top10" dxfId="103" priority="2" rank="1"/>
  </conditionalFormatting>
  <conditionalFormatting sqref="L44:L49">
    <cfRule type="top10" dxfId="102" priority="1" rank="1"/>
  </conditionalFormatting>
  <pageMargins left="1" right="1" top="1" bottom="1" header="0.5" footer="0.5"/>
  <pageSetup scale="51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63" id="{23CCF695-EC0B-49CC-8B97-C3E751533A9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H6</xm:sqref>
        </x14:conditionalFormatting>
        <x14:conditionalFormatting xmlns:xm="http://schemas.microsoft.com/office/excel/2006/main">
          <x14:cfRule type="iconSet" priority="261" id="{7AC2049A-C1CA-4D97-8C84-8429594000EC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H7</xm:sqref>
        </x14:conditionalFormatting>
        <x14:conditionalFormatting xmlns:xm="http://schemas.microsoft.com/office/excel/2006/main">
          <x14:cfRule type="iconSet" priority="260" id="{3393F970-9303-4515-B5CD-DAB9FED26761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H8</xm:sqref>
        </x14:conditionalFormatting>
        <x14:conditionalFormatting xmlns:xm="http://schemas.microsoft.com/office/excel/2006/main">
          <x14:cfRule type="iconSet" priority="213" id="{825D4750-E9D1-46C9-83C3-03990DF11FB3}">
            <x14:iconSet iconSet="3Triangles" custom="1">
              <x14:cfvo type="percent">
                <xm:f>0</xm:f>
              </x14:cfvo>
              <x14:cfvo type="num">
                <xm:f>RANK!$M$20</xm:f>
              </x14:cfvo>
              <x14:cfvo type="num" gte="0">
                <xm:f>RANK!$M$20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M21</xm:sqref>
        </x14:conditionalFormatting>
        <x14:conditionalFormatting xmlns:xm="http://schemas.microsoft.com/office/excel/2006/main">
          <x14:cfRule type="iconSet" priority="207" id="{44BF0DFF-1D57-4419-9DBB-0146DAD74BE9}">
            <x14:iconSet iconSet="3Triangles" custom="1">
              <x14:cfvo type="percent">
                <xm:f>0</xm:f>
              </x14:cfvo>
              <x14:cfvo type="num">
                <xm:f>RANK!$M$9</xm:f>
              </x14:cfvo>
              <x14:cfvo type="num" gte="0">
                <xm:f>RANK!$M$9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H21</xm:sqref>
        </x14:conditionalFormatting>
        <x14:conditionalFormatting xmlns:xm="http://schemas.microsoft.com/office/excel/2006/main">
          <x14:cfRule type="iconSet" priority="206" id="{E872FF9C-C2FC-45AD-B078-724A4DDE5DFD}">
            <x14:iconSet iconSet="3Triangles" custom="1">
              <x14:cfvo type="percent">
                <xm:f>0</xm:f>
              </x14:cfvo>
              <x14:cfvo type="num">
                <xm:f>RANK!$M$10</xm:f>
              </x14:cfvo>
              <x14:cfvo type="num" gte="0">
                <xm:f>RANK!$M$10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H22</xm:sqref>
        </x14:conditionalFormatting>
        <x14:conditionalFormatting xmlns:xm="http://schemas.microsoft.com/office/excel/2006/main">
          <x14:cfRule type="iconSet" priority="205" id="{F0CB1915-DBB8-45E7-B25B-2E37CAB48B3C}">
            <x14:iconSet iconSet="3Triangles" custom="1">
              <x14:cfvo type="percent">
                <xm:f>0</xm:f>
              </x14:cfvo>
              <x14:cfvo type="num">
                <xm:f>RANK!$M$11</xm:f>
              </x14:cfvo>
              <x14:cfvo type="num" gte="0">
                <xm:f>RANK!$M$11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H23</xm:sqref>
        </x14:conditionalFormatting>
        <x14:conditionalFormatting xmlns:xm="http://schemas.microsoft.com/office/excel/2006/main">
          <x14:cfRule type="iconSet" priority="204" id="{3002CD30-5C7B-4BB8-A1E8-84F97E88DCDE}">
            <x14:iconSet iconSet="3Triangles" custom="1">
              <x14:cfvo type="percent">
                <xm:f>0</xm:f>
              </x14:cfvo>
              <x14:cfvo type="num">
                <xm:f>RANK!$M$12</xm:f>
              </x14:cfvo>
              <x14:cfvo type="num" gte="0">
                <xm:f>RANK!$M$12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H24</xm:sqref>
        </x14:conditionalFormatting>
        <x14:conditionalFormatting xmlns:xm="http://schemas.microsoft.com/office/excel/2006/main">
          <x14:cfRule type="iconSet" priority="203" id="{488EDF07-5647-49BB-BCE2-93753CC5378E}">
            <x14:iconSet iconSet="3Triangles" custom="1">
              <x14:cfvo type="percent">
                <xm:f>0</xm:f>
              </x14:cfvo>
              <x14:cfvo type="num">
                <xm:f>RANK!$M$13</xm:f>
              </x14:cfvo>
              <x14:cfvo type="num" gte="0">
                <xm:f>RANK!$M$13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H25</xm:sqref>
        </x14:conditionalFormatting>
        <x14:conditionalFormatting xmlns:xm="http://schemas.microsoft.com/office/excel/2006/main">
          <x14:cfRule type="iconSet" priority="116" id="{BE23B7F6-BE01-4E71-9A55-CB248AAB8181}">
            <x14:iconSet iconSet="3Triangles" custom="1">
              <x14:cfvo type="percent">
                <xm:f>0</xm:f>
              </x14:cfvo>
              <x14:cfvo type="num">
                <xm:f>RANK!$M$25</xm:f>
              </x14:cfvo>
              <x14:cfvo type="num" gte="0">
                <xm:f>RANK!$M$25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M26</xm:sqref>
        </x14:conditionalFormatting>
        <x14:conditionalFormatting xmlns:xm="http://schemas.microsoft.com/office/excel/2006/main">
          <x14:cfRule type="iconSet" priority="114" id="{089F3D19-F363-4866-B361-B6CE9385E38E}">
            <x14:iconSet iconSet="3Triangles" custom="1">
              <x14:cfvo type="percent">
                <xm:f>0</xm:f>
              </x14:cfvo>
              <x14:cfvo type="num">
                <xm:f>RANK!$M$21</xm:f>
              </x14:cfvo>
              <x14:cfvo type="num" gte="0">
                <xm:f>RANK!$M$21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M22</xm:sqref>
        </x14:conditionalFormatting>
        <x14:conditionalFormatting xmlns:xm="http://schemas.microsoft.com/office/excel/2006/main">
          <x14:cfRule type="iconSet" priority="113" id="{20DA9FDD-E92B-44FA-998A-8A6B3CA92F9B}">
            <x14:iconSet iconSet="3Triangles" custom="1">
              <x14:cfvo type="percent">
                <xm:f>0</xm:f>
              </x14:cfvo>
              <x14:cfvo type="num">
                <xm:f>RANK!$M$22</xm:f>
              </x14:cfvo>
              <x14:cfvo type="num" gte="0">
                <xm:f>RANK!$M$22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M23</xm:sqref>
        </x14:conditionalFormatting>
        <x14:conditionalFormatting xmlns:xm="http://schemas.microsoft.com/office/excel/2006/main">
          <x14:cfRule type="iconSet" priority="112" id="{71BCF39F-98A1-4DCE-A9A8-1A292F89D1B8}">
            <x14:iconSet iconSet="3Triangles" custom="1">
              <x14:cfvo type="percent">
                <xm:f>0</xm:f>
              </x14:cfvo>
              <x14:cfvo type="num">
                <xm:f>RANK!$M$23</xm:f>
              </x14:cfvo>
              <x14:cfvo type="num" gte="0">
                <xm:f>RANK!$M$23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M24</xm:sqref>
        </x14:conditionalFormatting>
        <x14:conditionalFormatting xmlns:xm="http://schemas.microsoft.com/office/excel/2006/main">
          <x14:cfRule type="iconSet" priority="111" id="{31D4F422-5469-49C9-9D2B-3F399C1ADB60}">
            <x14:iconSet iconSet="3Triangles" custom="1">
              <x14:cfvo type="percent">
                <xm:f>0</xm:f>
              </x14:cfvo>
              <x14:cfvo type="num">
                <xm:f>RANK!$M$24</xm:f>
              </x14:cfvo>
              <x14:cfvo type="num" gte="0">
                <xm:f>RANK!$M$24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M25</xm:sqref>
        </x14:conditionalFormatting>
        <x14:conditionalFormatting xmlns:xm="http://schemas.microsoft.com/office/excel/2006/main">
          <x14:cfRule type="iconSet" priority="110" id="{78B59EE2-6725-47BA-81C1-A43287A9E324}">
            <x14:iconSet iconSet="3Triangles" custom="1">
              <x14:cfvo type="percent">
                <xm:f>0</xm:f>
              </x14:cfvo>
              <x14:cfvo type="num">
                <xm:f>RANK!$M$13</xm:f>
              </x14:cfvo>
              <x14:cfvo type="num" gte="0">
                <xm:f>RANK!$M$13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H26</xm:sqref>
        </x14:conditionalFormatting>
        <x14:conditionalFormatting xmlns:xm="http://schemas.microsoft.com/office/excel/2006/main">
          <x14:cfRule type="iconSet" priority="85" id="{37948000-F39D-4FA4-B38F-347A6D308ACC}">
            <x14:iconSet iconSet="3Triangles" custom="1">
              <x14:cfvo type="percent">
                <xm:f>0</xm:f>
              </x14:cfvo>
              <x14:cfvo type="num">
                <xm:f>RANK!$M$25</xm:f>
              </x14:cfvo>
              <x14:cfvo type="num" gte="0">
                <xm:f>RANK!$M$25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M27</xm:sqref>
        </x14:conditionalFormatting>
        <x14:conditionalFormatting xmlns:xm="http://schemas.microsoft.com/office/excel/2006/main">
          <x14:cfRule type="iconSet" priority="84" id="{02C9DF7B-13E7-46A2-A4FA-490F143132CE}">
            <x14:iconSet iconSet="3Triangles" custom="1">
              <x14:cfvo type="percent">
                <xm:f>0</xm:f>
              </x14:cfvo>
              <x14:cfvo type="num">
                <xm:f>RANK!$M$13</xm:f>
              </x14:cfvo>
              <x14:cfvo type="num" gte="0">
                <xm:f>RANK!$M$13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theme="9" tint="-0.249977111117893"/>
    <pageSetUpPr fitToPage="1"/>
  </sheetPr>
  <dimension ref="B1:X52"/>
  <sheetViews>
    <sheetView showGridLines="0" topLeftCell="A2" zoomScale="85" zoomScaleNormal="85" workbookViewId="0">
      <selection activeCell="B22" sqref="B22"/>
    </sheetView>
  </sheetViews>
  <sheetFormatPr defaultColWidth="8.7265625" defaultRowHeight="12" x14ac:dyDescent="0.3"/>
  <cols>
    <col min="1" max="1" width="6" style="1" customWidth="1"/>
    <col min="2" max="2" width="21.26953125" style="1" customWidth="1"/>
    <col min="3" max="3" width="10.81640625" style="1" bestFit="1" customWidth="1"/>
    <col min="4" max="4" width="11" style="1" customWidth="1"/>
    <col min="5" max="5" width="9.7265625" style="1" bestFit="1" customWidth="1"/>
    <col min="6" max="6" width="11.7265625" style="1" bestFit="1" customWidth="1"/>
    <col min="7" max="7" width="11.81640625" style="1" bestFit="1" customWidth="1"/>
    <col min="8" max="8" width="10.54296875" style="1" customWidth="1"/>
    <col min="9" max="9" width="9.7265625" style="1" customWidth="1"/>
    <col min="10" max="10" width="8.54296875" style="1" customWidth="1"/>
    <col min="11" max="11" width="11.54296875" style="1" customWidth="1"/>
    <col min="12" max="12" width="9" style="1" customWidth="1"/>
    <col min="13" max="13" width="10.81640625" style="1" customWidth="1"/>
    <col min="14" max="14" width="16.1796875" style="1" customWidth="1"/>
    <col min="15" max="15" width="7.54296875" style="1" customWidth="1"/>
    <col min="16" max="16" width="11.7265625" style="1" customWidth="1"/>
    <col min="17" max="17" width="6.7265625" style="1" customWidth="1"/>
    <col min="18" max="16384" width="8.7265625" style="1"/>
  </cols>
  <sheetData>
    <row r="1" spans="2:24" ht="21" customHeight="1" thickBot="1" x14ac:dyDescent="0.35"/>
    <row r="2" spans="2:24" ht="28.9" customHeight="1" x14ac:dyDescent="0.3">
      <c r="B2" s="271" t="s">
        <v>0</v>
      </c>
      <c r="C2" s="272"/>
      <c r="D2" s="273">
        <f ca="1">TODAY()-1</f>
        <v>45971</v>
      </c>
      <c r="E2" s="274"/>
    </row>
    <row r="3" spans="2:24" customFormat="1" ht="15" thickBot="1" x14ac:dyDescent="0.4">
      <c r="F3" s="1"/>
      <c r="J3" s="58"/>
      <c r="K3" s="58"/>
      <c r="L3" s="58"/>
      <c r="M3" s="81"/>
    </row>
    <row r="4" spans="2:24" ht="18" customHeight="1" thickBot="1" x14ac:dyDescent="0.4">
      <c r="B4" s="285" t="s">
        <v>93</v>
      </c>
      <c r="C4" s="286"/>
      <c r="D4" s="286"/>
      <c r="E4" s="286"/>
      <c r="F4" s="286"/>
      <c r="G4" s="286"/>
      <c r="H4" s="286"/>
      <c r="I4"/>
    </row>
    <row r="5" spans="2:24" ht="19.899999999999999" customHeight="1" thickBot="1" x14ac:dyDescent="0.4">
      <c r="B5" s="61" t="s">
        <v>2</v>
      </c>
      <c r="C5" s="48">
        <f ca="1">TODAY()-1</f>
        <v>45971</v>
      </c>
      <c r="D5" s="45" t="s">
        <v>3</v>
      </c>
      <c r="E5" s="45" t="s">
        <v>4</v>
      </c>
      <c r="F5" s="45" t="s">
        <v>52</v>
      </c>
      <c r="G5" s="45" t="s">
        <v>53</v>
      </c>
      <c r="H5" s="46" t="s">
        <v>7</v>
      </c>
      <c r="I5"/>
    </row>
    <row r="6" spans="2:24" ht="19.149999999999999" customHeight="1" x14ac:dyDescent="0.35">
      <c r="B6" s="59" t="s">
        <v>8</v>
      </c>
      <c r="C6" s="74">
        <f>UA_SQL_1!N2/UA_SQL_1!M2</f>
        <v>1973</v>
      </c>
      <c r="D6" s="74">
        <f>UA_SQL_1!F2/UA_SQL_1!E2</f>
        <v>9.4560244026436202E-3</v>
      </c>
      <c r="E6" s="29">
        <f>SUMIF(EX_Goals!$B:$B,PAGE_1_old!#REF!,EX_Goals!$E:$E)</f>
        <v>0</v>
      </c>
      <c r="F6" s="80">
        <f>((UA_SQL_1!$N$2/UA_SQL_1!$M$2)-(SUMIF(OA_SQL_1!$A$1:$A$3,"DL",OA_SQL_1!$K$1:$K$3)/SUMIF(OA_SQL_1!$A$1:$A$3,"DL",OA_SQL_1!$I$1:$I$3)))*100</f>
        <v>197280.03782918668</v>
      </c>
      <c r="G6" s="80">
        <f>((UA_SQL_1!$N$2/UA_SQL_1!$M$2)-(SUMIF(OA_SQL_1!$A$1:$A$3,"AA",OA_SQL_1!$K$1:$K$3)/SUMIF(OA_SQL_1!$A$1:$A$3,"AA",OA_SQL_1!$I$1:$I$3)))*100</f>
        <v>197281.15868592178</v>
      </c>
      <c r="H6" s="51">
        <f>RANK!F2</f>
        <v>3</v>
      </c>
      <c r="I6"/>
    </row>
    <row r="7" spans="2:24" ht="19.899999999999999" customHeight="1" x14ac:dyDescent="0.35">
      <c r="B7" s="59" t="s">
        <v>9</v>
      </c>
      <c r="C7" s="74">
        <f>UA_SQL_1!Q2/UA_SQL_1!M2</f>
        <v>1539</v>
      </c>
      <c r="D7" s="74">
        <f>UA_SQL_1!I2/UA_SQL_1!E2</f>
        <v>0.66446365022877474</v>
      </c>
      <c r="E7" s="29">
        <f>SUMIF(EX_Goals!$B:$B,PAGE_1_old!#REF!,EX_Goals!$D:$D)</f>
        <v>0</v>
      </c>
      <c r="F7" s="80">
        <f>((UA_SQL_1!$Q$2/UA_SQL_1!$M$2)-(SUMIF(OA_SQL_1!$A$1:$A$3,"DL",OA_SQL_1!$L$1:$L$3)/SUMIF(OA_SQL_1!$A$1:$A$3,"DL",OA_SQL_1!$I$1:$I$3)))*100</f>
        <v>153875.29463116542</v>
      </c>
      <c r="G7" s="80">
        <f>((UA_SQL_1!$Q$2/UA_SQL_1!$M$2)-(SUMIF(OA_SQL_1!$A$1:$A$3,"AA",OA_SQL_1!$L$1:$L$3)/SUMIF(OA_SQL_1!$A$1:$A$3,"AA",OA_SQL_1!$I$1:$I$3)))*100</f>
        <v>153876.4378008614</v>
      </c>
      <c r="H7" s="51">
        <f>RANK!F3</f>
        <v>3</v>
      </c>
      <c r="I7"/>
    </row>
    <row r="8" spans="2:24" ht="19.149999999999999" customHeight="1" x14ac:dyDescent="0.35">
      <c r="B8" s="60" t="s">
        <v>11</v>
      </c>
      <c r="C8" s="74">
        <f>UA_SQL_1!P2/UA_SQL_1!M2</f>
        <v>1492</v>
      </c>
      <c r="D8" s="75">
        <f>UA_SQL_1!H2/UA_SQL_1!E2</f>
        <v>0.76817488561260805</v>
      </c>
      <c r="E8" s="29">
        <f>SUMIF(EX_Goals!$B:$B,PAGE_1_old!#REF!,EX_Goals!$C:$C)</f>
        <v>0</v>
      </c>
      <c r="F8" s="80">
        <f>((UA_SQL_1!$P$2/UA_SQL_1!$M$2)-(SUMIF(OA_SQL_1!$A$1:$A$3,"DL",OA_SQL_1!$J$1:$J$3)/SUMIF(OA_SQL_1!$A$1:$A$3,"DL",OA_SQL_1!$I$1:$I$3)))*100</f>
        <v>149175.28008147824</v>
      </c>
      <c r="G8" s="80">
        <f>((UA_SQL_1!$P$2/UA_SQL_1!$M$2)-(SUMIF(OA_SQL_1!$A$1:$A$3,"AA",OA_SQL_1!$J$1:$J$3)/SUMIF(OA_SQL_1!$A$1:$A$3,"AA",OA_SQL_1!$I$1:$I$3)))*100</f>
        <v>149176.12532725278</v>
      </c>
      <c r="H8" s="51">
        <f>RANK!F4</f>
        <v>3</v>
      </c>
      <c r="I8"/>
    </row>
    <row r="9" spans="2:24" ht="19.899999999999999" customHeight="1" x14ac:dyDescent="0.3">
      <c r="B9" s="60" t="s">
        <v>10</v>
      </c>
      <c r="C9" s="74">
        <f>UA_SQL_1!O2/UA_SQL_1!M2</f>
        <v>13</v>
      </c>
      <c r="D9" s="75">
        <f>UA_SQL_1!G2/UA_SQL_1!E2</f>
        <v>0.74082358922216573</v>
      </c>
      <c r="E9" s="29">
        <f>SUMIF(EX_Goals!$B:$B,PAGE_1_old!#REF!,EX_Goals!$C:$C)</f>
        <v>0</v>
      </c>
      <c r="F9" s="72"/>
      <c r="G9" s="72"/>
      <c r="H9" s="72"/>
    </row>
    <row r="10" spans="2:24" ht="20.5" customHeight="1" x14ac:dyDescent="0.35">
      <c r="B10" s="59" t="s">
        <v>12</v>
      </c>
      <c r="C10" s="74">
        <f>UA_SQL_1!S2/UA_SQL_1!R2</f>
        <v>1.205904617713853</v>
      </c>
      <c r="D10" s="74">
        <f>UA_SQL_1!K2/UA_SQL_1!J2</f>
        <v>0.20030063885757235</v>
      </c>
      <c r="E10" s="29">
        <f>SUMIF(EX_Goals!$B:$B,PAGE_1_old!#REF!,EX_Goals!$F:$F)</f>
        <v>0</v>
      </c>
      <c r="F10" s="73"/>
      <c r="G10" s="73"/>
      <c r="H10" s="73"/>
    </row>
    <row r="11" spans="2:24" ht="19.899999999999999" customHeight="1" x14ac:dyDescent="0.3">
      <c r="B11" s="59" t="s">
        <v>13</v>
      </c>
      <c r="C11" s="76">
        <f>(UA_SQL_1!M2-UA_SQL_1!T2)/UA_SQL_1!M2</f>
        <v>-311</v>
      </c>
      <c r="D11" s="76">
        <f>(UA_SQL_1!E2-UA_SQL_1!L2)/UA_SQL_1!E2</f>
        <v>0.85653279105236402</v>
      </c>
      <c r="E11" s="62">
        <f>SUMIF(EX_Goals!$B:$B,PAGE_1_old!#REF!,EX_Goals!$G:$G)</f>
        <v>0</v>
      </c>
      <c r="F11" s="72"/>
      <c r="G11" s="72"/>
      <c r="H11" s="72"/>
    </row>
    <row r="12" spans="2:24" ht="19.899999999999999" customHeight="1" x14ac:dyDescent="0.3">
      <c r="B12" s="59" t="s">
        <v>63</v>
      </c>
      <c r="C12" s="83">
        <f>SUMIFS(TOTAL_DIVERTS_SQL_5!$B:$B,TOTAL_DIVERTS_SQL_5!A:A,"YEST")</f>
        <v>3</v>
      </c>
      <c r="D12" s="83">
        <f>SUMIFS(TOTAL_DIVERTS_SQL_5!$B:$B,TOTAL_DIVERTS_SQL_5!A:A,"MTD")</f>
        <v>9</v>
      </c>
      <c r="E12" s="82"/>
      <c r="F12" s="72"/>
      <c r="G12" s="72"/>
      <c r="H12" s="72"/>
    </row>
    <row r="13" spans="2:24" ht="19.899999999999999" customHeight="1" x14ac:dyDescent="0.3">
      <c r="B13" s="59" t="s">
        <v>65</v>
      </c>
      <c r="C13" s="83">
        <f>SUMIF(DIVERTS_RECOVERED_SQL_6!$A:$A,"YEST",DIVERTS_RECOVERED_SQL_6!$C:$C)</f>
        <v>1</v>
      </c>
      <c r="D13" s="83">
        <f>SUMIF(DIVERTS_RECOVERED_SQL_6!$A:$A,"MTD",DIVERTS_RECOVERED_SQL_6!$C:$C)</f>
        <v>6</v>
      </c>
      <c r="E13" s="82"/>
      <c r="F13" s="72"/>
      <c r="G13" s="72"/>
      <c r="H13" s="72"/>
      <c r="J13" s="57"/>
      <c r="K13" s="57"/>
      <c r="L13" s="57"/>
      <c r="M13" s="57"/>
      <c r="N13" s="57"/>
      <c r="O13" s="56"/>
      <c r="P13" s="56"/>
    </row>
    <row r="14" spans="2:24" ht="14.5" x14ac:dyDescent="0.35">
      <c r="L14"/>
      <c r="M14"/>
      <c r="N14"/>
      <c r="O14" s="57"/>
      <c r="P14" s="57"/>
      <c r="Q14" s="57"/>
      <c r="R14" s="57"/>
      <c r="S14" s="57"/>
      <c r="T14" s="57"/>
      <c r="U14" s="57"/>
      <c r="V14" s="57"/>
      <c r="W14" s="56"/>
      <c r="X14" s="56"/>
    </row>
    <row r="15" spans="2:24" ht="15" thickBot="1" x14ac:dyDescent="0.4">
      <c r="L15"/>
      <c r="M15"/>
      <c r="N15"/>
      <c r="O15" s="57"/>
      <c r="P15" s="57"/>
      <c r="Q15" s="57"/>
      <c r="R15" s="57"/>
      <c r="S15" s="57"/>
      <c r="T15" s="57"/>
      <c r="U15" s="57"/>
      <c r="V15" s="57"/>
      <c r="W15" s="56"/>
      <c r="X15" s="56"/>
    </row>
    <row r="16" spans="2:24" ht="19.149999999999999" customHeight="1" thickBot="1" x14ac:dyDescent="0.4">
      <c r="B16" s="287" t="s">
        <v>51</v>
      </c>
      <c r="C16" s="288"/>
      <c r="D16" s="288"/>
      <c r="E16" s="288"/>
      <c r="F16" s="288"/>
      <c r="G16" s="288"/>
      <c r="H16" s="288"/>
      <c r="I16" s="288"/>
      <c r="J16" s="288"/>
      <c r="K16" s="288"/>
      <c r="L16"/>
      <c r="M16"/>
      <c r="N16"/>
      <c r="O16" s="57"/>
      <c r="P16" s="57"/>
      <c r="Q16" s="57"/>
      <c r="R16" s="57"/>
      <c r="S16" s="57"/>
      <c r="T16" s="57"/>
      <c r="U16" s="57"/>
      <c r="V16" s="57"/>
      <c r="W16" s="56"/>
      <c r="X16" s="56"/>
    </row>
    <row r="17" spans="2:24" ht="19.149999999999999" customHeight="1" thickBot="1" x14ac:dyDescent="0.4">
      <c r="B17" s="61" t="s">
        <v>94</v>
      </c>
      <c r="C17" s="48" t="s">
        <v>55</v>
      </c>
      <c r="D17" s="45" t="s">
        <v>56</v>
      </c>
      <c r="E17" s="45" t="s">
        <v>52</v>
      </c>
      <c r="F17" s="45" t="s">
        <v>53</v>
      </c>
      <c r="G17" s="46" t="s">
        <v>7</v>
      </c>
      <c r="H17" s="102" t="s">
        <v>8</v>
      </c>
      <c r="I17" s="45" t="s">
        <v>52</v>
      </c>
      <c r="J17" s="45" t="s">
        <v>53</v>
      </c>
      <c r="K17" s="46" t="s">
        <v>7</v>
      </c>
      <c r="L17"/>
      <c r="M17"/>
      <c r="N17"/>
      <c r="O17" s="57"/>
      <c r="P17" s="57"/>
      <c r="Q17" s="57"/>
      <c r="R17" s="57"/>
      <c r="S17" s="57"/>
      <c r="T17" s="57"/>
      <c r="U17" s="56"/>
      <c r="V17" s="56"/>
    </row>
    <row r="18" spans="2:24" ht="19.149999999999999" customHeight="1" x14ac:dyDescent="0.35">
      <c r="B18" s="59" t="s">
        <v>95</v>
      </c>
      <c r="C18" s="74">
        <f>SUMIFS(UA_HUB_SQL_7!J:J,UA_HUB_SQL_7!$B:$B,PAGE_1_old!B18)/SUMIFS(UA_HUB_SQL_7!$F:$F,UA_HUB_SQL_7!$B:$B,PAGE_1_old!B18)</f>
        <v>0.85567010309278346</v>
      </c>
      <c r="D18" s="74">
        <f>SUMIFS(UA_HUB_SQL_7!K:K,UA_HUB_SQL_7!B:B,PAGE_1_old!B18)/SUMIFS(UA_HUB_SQL_7!F:F,UA_HUB_SQL_7!B:B,PAGE_1_old!B18)</f>
        <v>0.90206185567010311</v>
      </c>
      <c r="E18" s="104" t="str">
        <f>IFERROR(((SUMIFS(UA_HUB_SQL_7!$K:$K,UA_HUB_SQL_7!$B:$B,PAGE_1_old!$B$18)/SUMIFS(UA_HUB_SQL_7!$F:$F,UA_HUB_SQL_7!$B:$B,PAGE_1_old!$B$18))-(SUMIFS(OA_SQL_2!$K:$K,OA_SQL_2!$A:$A,PAGE_1_old!$B$18,OA_SQL_2!$B:$B,"DL")/SUMIFS(OA_SQL_2!$J:$J,OA_SQL_2!$A:$A,PAGE_1_old!$B$18,OA_SQL_2!$B:$B,"DL")))*100,"-")</f>
        <v>-</v>
      </c>
      <c r="F18" s="104">
        <f>IFERROR(((SUMIFS(UA_HUB_SQL_7!$K:$K,UA_HUB_SQL_7!$B:$B,PAGE_1_old!B18)/SUMIFS(UA_HUB_SQL_7!$F:$F,UA_HUB_SQL_7!$B:$B,PAGE_1_old!B18))-(SUMIFS(OA_SQL_2!$K:$K,OA_SQL_2!$A:$A,PAGE_1_old!B18,OA_SQL_2!$B:$B,"AA")/SUMIFS(OA_SQL_2!$J:$J,OA_SQL_2!$A:$A,PAGE_1_old!B18,OA_SQL_2!$B:$B,"AA")))*100,"-")</f>
        <v>40.206185567010309</v>
      </c>
      <c r="G18" s="51">
        <f>RANK!F8</f>
        <v>0</v>
      </c>
      <c r="H18" s="74">
        <f>SUMIFS(UA_HUB_SQL_7!G:G,UA_HUB_SQL_7!$B:$B,PAGE_1_old!B18)/SUMIFS(UA_HUB_SQL_7!$F:$F,UA_HUB_SQL_7!$B:$B,PAGE_1_old!B18)</f>
        <v>0</v>
      </c>
      <c r="I18" s="104" t="str">
        <f>IFERROR(((SUMIFS(UA_HUB_SQL_7!$G:$G,UA_HUB_SQL_7!$B:$B,PAGE_1_old!B18)/SUMIFS(UA_HUB_SQL_7!$F:$F,UA_HUB_SQL_7!$B:$B,PAGE_1_old!B18))-(SUMIFS(OA_SQL_2!$L:$L,OA_SQL_2!$A:$A,PAGE_1_old!B18,OA_SQL_2!$B:$B,"DL")/SUMIFS(OA_SQL_2!$J:$J,OA_SQL_2!$A:$A,PAGE_1_old!B18,OA_SQL_2!$B:$B,"DL")))*100,"-")</f>
        <v>-</v>
      </c>
      <c r="J18" s="104">
        <f>IFERROR(((SUMIFS(UA_HUB_SQL_7!$G:$G,UA_HUB_SQL_7!$B:$B,PAGE_1_old!B18)/SUMIFS(UA_HUB_SQL_7!$F:$F,UA_HUB_SQL_7!$B:$B,PAGE_1_old!B18))-(SUMIFS(OA_SQL_2!$L:$L,OA_SQL_2!$A:$A,PAGE_1_old!B18,OA_SQL_2!$B:$B,"AA")/SUMIFS(OA_SQL_2!$J:$J,OA_SQL_2!$A:$A,PAGE_1_old!B18,OA_SQL_2!$B:$B,"AA")))*100,"-")</f>
        <v>-100</v>
      </c>
      <c r="K18" s="51">
        <f>RANK!M19</f>
        <v>1</v>
      </c>
      <c r="L18"/>
      <c r="M18"/>
      <c r="N18"/>
      <c r="O18" s="57"/>
      <c r="P18" s="57"/>
      <c r="Q18" s="57"/>
      <c r="R18" s="57"/>
      <c r="S18" s="57"/>
      <c r="T18" s="57"/>
      <c r="U18" s="56"/>
      <c r="V18" s="56"/>
    </row>
    <row r="19" spans="2:24" ht="19.149999999999999" customHeight="1" x14ac:dyDescent="0.35">
      <c r="B19" s="59" t="s">
        <v>96</v>
      </c>
      <c r="C19" s="74">
        <f>SUMIFS(UA_HUB_SQL_7!J:J,UA_HUB_SQL_7!$B:$B,PAGE_1_old!B19)/SUMIFS(UA_HUB_SQL_7!$F:$F,UA_HUB_SQL_7!$B:$B,PAGE_1_old!B19)</f>
        <v>0.68468468468468469</v>
      </c>
      <c r="D19" s="74">
        <f>SUMIFS(UA_HUB_SQL_7!K:K,UA_HUB_SQL_7!B:B,PAGE_1_old!B19)/SUMIFS(UA_HUB_SQL_7!F:F,UA_HUB_SQL_7!B:B,PAGE_1_old!B19)</f>
        <v>0.70270270270270274</v>
      </c>
      <c r="E19" s="104">
        <f>IFERROR(((SUMIFS(UA_HUB_SQL_7!K:K,UA_HUB_SQL_7!B:B,PAGE_1_old!B19)/SUMIFS(UA_HUB_SQL_7!F:F,UA_HUB_SQL_7!B:B,PAGE_1_old!B19))-(SUMIFS(OA_SQL_2!K:K,OA_SQL_2!A:A,PAGE_1_old!B19,OA_SQL_2!B:B,"DL")/SUMIFS(OA_SQL_2!J:J,OA_SQL_2!A:A,PAGE_1_old!B19,OA_SQL_2!B:B,"DL")))*100,"-")</f>
        <v>-8.4698872100446909</v>
      </c>
      <c r="F19" s="104">
        <f>IFERROR(((SUMIFS(UA_HUB_SQL_7!$K:$K,UA_HUB_SQL_7!$B:$B,PAGE_1_old!B19)/SUMIFS(UA_HUB_SQL_7!$F:$F,UA_HUB_SQL_7!$B:$B,PAGE_1_old!B19))-(SUMIFS(OA_SQL_2!$K:$K,OA_SQL_2!$A:$A,PAGE_1_old!B19,OA_SQL_2!$B:$B,"AA")/SUMIFS(OA_SQL_2!$J:$J,OA_SQL_2!$A:$A,PAGE_1_old!B19,OA_SQL_2!$B:$B,"AA")))*100,"-")</f>
        <v>-13.311819281968528</v>
      </c>
      <c r="G19" s="51">
        <f>RANK!F9</f>
        <v>3</v>
      </c>
      <c r="H19" s="74">
        <f>SUMIFS(UA_HUB_SQL_7!G:G,UA_HUB_SQL_7!$B:$B,PAGE_1_old!B19)/SUMIFS(UA_HUB_SQL_7!$F:$F,UA_HUB_SQL_7!$B:$B,PAGE_1_old!B19)</f>
        <v>0</v>
      </c>
      <c r="I19" s="104">
        <f>IFERROR(((SUMIFS(UA_HUB_SQL_7!$G:$G,UA_HUB_SQL_7!$B:$B,PAGE_1_old!B19)/SUMIFS(UA_HUB_SQL_7!$F:$F,UA_HUB_SQL_7!$B:$B,PAGE_1_old!B19))-(SUMIFS(OA_SQL_2!$L:$L,OA_SQL_2!$A:$A,PAGE_1_old!B19,OA_SQL_2!$B:$B,"DL")/SUMIFS(OA_SQL_2!$J:$J,OA_SQL_2!$A:$A,PAGE_1_old!B19,OA_SQL_2!$B:$B,"DL")))*100,"-")</f>
        <v>-100</v>
      </c>
      <c r="J19" s="104">
        <f>IFERROR(((SUMIFS(UA_HUB_SQL_7!$G:$G,UA_HUB_SQL_7!$B:$B,PAGE_1_old!B19)/SUMIFS(UA_HUB_SQL_7!$F:$F,UA_HUB_SQL_7!$B:$B,PAGE_1_old!B19))-(SUMIFS(OA_SQL_2!$L:$L,OA_SQL_2!$A:$A,PAGE_1_old!B19,OA_SQL_2!$B:$B,"AA")/SUMIFS(OA_SQL_2!$J:$J,OA_SQL_2!$A:$A,PAGE_1_old!B19,OA_SQL_2!$B:$B,"AA")))*100,"-")</f>
        <v>-100</v>
      </c>
      <c r="K19" s="51">
        <f>RANK!M20</f>
        <v>3</v>
      </c>
      <c r="L19"/>
      <c r="M19"/>
      <c r="N19"/>
      <c r="O19" s="57"/>
      <c r="P19" s="57"/>
      <c r="Q19" s="57"/>
      <c r="R19" s="57"/>
      <c r="S19" s="57"/>
      <c r="T19" s="57"/>
      <c r="U19" s="56"/>
      <c r="V19" s="56"/>
    </row>
    <row r="20" spans="2:24" ht="19.149999999999999" customHeight="1" x14ac:dyDescent="0.35">
      <c r="B20" s="60" t="s">
        <v>98</v>
      </c>
      <c r="C20" s="74">
        <f>SUMIFS(UA_HUB_SQL_7!J:J,UA_HUB_SQL_7!$B:$B,PAGE_1_old!B20)/SUMIFS(UA_HUB_SQL_7!$F:$F,UA_HUB_SQL_7!$B:$B,PAGE_1_old!B20)</f>
        <v>0.68421052631578949</v>
      </c>
      <c r="D20" s="74">
        <f>SUMIFS(UA_HUB_SQL_7!K:K,UA_HUB_SQL_7!B:B,PAGE_1_old!B20)/SUMIFS(UA_HUB_SQL_7!F:F,UA_HUB_SQL_7!B:B,PAGE_1_old!B20)</f>
        <v>0.74436090225563911</v>
      </c>
      <c r="E20" s="104">
        <f>IFERROR(((SUMIFS(UA_HUB_SQL_7!K:K,UA_HUB_SQL_7!B:B,PAGE_1_old!B20)/SUMIFS(UA_HUB_SQL_7!F:F,UA_HUB_SQL_7!B:B,PAGE_1_old!B20))-(SUMIFS(OA_SQL_2!K:K,OA_SQL_2!A:A,PAGE_1_old!B20,OA_SQL_2!B:B,"DL")/SUMIFS(OA_SQL_2!J:J,OA_SQL_2!A:A,PAGE_1_old!B20,OA_SQL_2!B:B,"DL")))*100,"-")</f>
        <v>5.3884711779448651</v>
      </c>
      <c r="F20" s="104">
        <f>IFERROR(((SUMIFS(UA_HUB_SQL_7!$K:$K,UA_HUB_SQL_7!$B:$B,PAGE_1_old!B20)/SUMIFS(UA_HUB_SQL_7!$F:$F,UA_HUB_SQL_7!$B:$B,PAGE_1_old!B20))-(SUMIFS(OA_SQL_2!$K:$K,OA_SQL_2!$A:$A,PAGE_1_old!B20,OA_SQL_2!$B:$B,"AA")/SUMIFS(OA_SQL_2!$J:$J,OA_SQL_2!$A:$A,PAGE_1_old!B20,OA_SQL_2!$B:$B,"AA")))*100,"-")</f>
        <v>19.281451050306174</v>
      </c>
      <c r="G20" s="51">
        <f>RANK!F10</f>
        <v>1</v>
      </c>
      <c r="H20" s="74">
        <f>SUMIFS(UA_HUB_SQL_7!G:G,UA_HUB_SQL_7!$B:$B,PAGE_1_old!B20)/SUMIFS(UA_HUB_SQL_7!$F:$F,UA_HUB_SQL_7!$B:$B,PAGE_1_old!B20)</f>
        <v>0</v>
      </c>
      <c r="I20" s="104">
        <f>IFERROR(((SUMIFS(UA_HUB_SQL_7!$G:$G,UA_HUB_SQL_7!$B:$B,PAGE_1_old!B20)/SUMIFS(UA_HUB_SQL_7!$F:$F,UA_HUB_SQL_7!$B:$B,PAGE_1_old!B20))-(SUMIFS(OA_SQL_2!$L:$L,OA_SQL_2!$A:$A,PAGE_1_old!B20,OA_SQL_2!$B:$B,"DL")/SUMIFS(OA_SQL_2!$J:$J,OA_SQL_2!$A:$A,PAGE_1_old!B20,OA_SQL_2!$B:$B,"DL")))*100,"-")</f>
        <v>-100</v>
      </c>
      <c r="J20" s="104">
        <f>IFERROR(((SUMIFS(UA_HUB_SQL_7!$G:$G,UA_HUB_SQL_7!$B:$B,PAGE_1_old!B20)/SUMIFS(UA_HUB_SQL_7!$F:$F,UA_HUB_SQL_7!$B:$B,PAGE_1_old!B20))-(SUMIFS(OA_SQL_2!$L:$L,OA_SQL_2!$A:$A,PAGE_1_old!B20,OA_SQL_2!$B:$B,"AA")/SUMIFS(OA_SQL_2!$J:$J,OA_SQL_2!$A:$A,PAGE_1_old!B20,OA_SQL_2!$B:$B,"AA")))*100,"-")</f>
        <v>-98.969072164948457</v>
      </c>
      <c r="K20" s="51">
        <f>RANK!M21</f>
        <v>3</v>
      </c>
      <c r="L20"/>
      <c r="M20"/>
      <c r="N20"/>
      <c r="O20" s="57"/>
      <c r="P20" s="57"/>
      <c r="Q20" s="57"/>
      <c r="R20" s="57"/>
      <c r="S20" s="57"/>
      <c r="T20" s="57"/>
      <c r="U20" s="56"/>
      <c r="V20" s="56"/>
    </row>
    <row r="21" spans="2:24" ht="19.149999999999999" customHeight="1" x14ac:dyDescent="0.35">
      <c r="B21" s="60" t="s">
        <v>99</v>
      </c>
      <c r="C21" s="74">
        <f>SUMIFS(UA_HUB_SQL_7!J:J,UA_HUB_SQL_7!$B:$B,PAGE_1_old!B21)/SUMIFS(UA_HUB_SQL_7!$F:$F,UA_HUB_SQL_7!$B:$B,PAGE_1_old!B21)</f>
        <v>0.82857142857142863</v>
      </c>
      <c r="D21" s="74">
        <f>SUMIFS(UA_HUB_SQL_7!K:K,UA_HUB_SQL_7!B:B,PAGE_1_old!B21)/SUMIFS(UA_HUB_SQL_7!F:F,UA_HUB_SQL_7!B:B,PAGE_1_old!B21)</f>
        <v>0.8571428571428571</v>
      </c>
      <c r="E21" s="104" t="str">
        <f>IFERROR(((SUMIFS(UA_HUB_SQL_7!K:K,UA_HUB_SQL_7!B:B,PAGE_1_old!B21)/SUMIFS(UA_HUB_SQL_7!F:F,UA_HUB_SQL_7!B:B,PAGE_1_old!B21))-(SUMIFS(OA_SQL_2!K:K,OA_SQL_2!A:A,PAGE_1_old!B21,OA_SQL_2!B:B,"DL")/SUMIFS(OA_SQL_2!J:J,OA_SQL_2!A:A,PAGE_1_old!B21,OA_SQL_2!B:B,"DL")))*100,"-")</f>
        <v>-</v>
      </c>
      <c r="F21" s="104">
        <f>IFERROR(((SUMIFS(UA_HUB_SQL_7!$K:$K,UA_HUB_SQL_7!$B:$B,PAGE_1_old!B21)/SUMIFS(UA_HUB_SQL_7!$F:$F,UA_HUB_SQL_7!$B:$B,PAGE_1_old!B21))-(SUMIFS(OA_SQL_2!$K:$K,OA_SQL_2!$A:$A,PAGE_1_old!B21,OA_SQL_2!$B:$B,"AA")/SUMIFS(OA_SQL_2!$J:$J,OA_SQL_2!$A:$A,PAGE_1_old!B21,OA_SQL_2!$B:$B,"AA")))*100,"-")</f>
        <v>-3.5590706870983757</v>
      </c>
      <c r="G21" s="51">
        <f>RANK!F11</f>
        <v>2</v>
      </c>
      <c r="H21" s="74">
        <f>SUMIFS(UA_HUB_SQL_7!G:G,UA_HUB_SQL_7!$B:$B,PAGE_1_old!B21)/SUMIFS(UA_HUB_SQL_7!$F:$F,UA_HUB_SQL_7!$B:$B,PAGE_1_old!B21)</f>
        <v>0</v>
      </c>
      <c r="I21" s="104" t="str">
        <f>IFERROR(((SUMIFS(UA_HUB_SQL_7!$G:$G,UA_HUB_SQL_7!$B:$B,PAGE_1_old!B21)/SUMIFS(UA_HUB_SQL_7!$F:$F,UA_HUB_SQL_7!$B:$B,PAGE_1_old!B21))-(SUMIFS(OA_SQL_2!$L:$L,OA_SQL_2!$A:$A,PAGE_1_old!B21,OA_SQL_2!$B:$B,"DL")/SUMIFS(OA_SQL_2!$J:$J,OA_SQL_2!$A:$A,PAGE_1_old!B21,OA_SQL_2!$B:$B,"DL")))*100,"-")</f>
        <v>-</v>
      </c>
      <c r="J21" s="104">
        <f>IFERROR(((SUMIFS(UA_HUB_SQL_7!$G:$G,UA_HUB_SQL_7!$B:$B,PAGE_1_old!B21)/SUMIFS(UA_HUB_SQL_7!$F:$F,UA_HUB_SQL_7!$B:$B,PAGE_1_old!B21))-(SUMIFS(OA_SQL_2!$L:$L,OA_SQL_2!$A:$A,PAGE_1_old!B21,OA_SQL_2!$B:$B,"AA")/SUMIFS(OA_SQL_2!$J:$J,OA_SQL_2!$A:$A,PAGE_1_old!B21,OA_SQL_2!$B:$B,"AA")))*100,"-")</f>
        <v>-100</v>
      </c>
      <c r="K21" s="51">
        <f>RANK!M22</f>
        <v>2</v>
      </c>
      <c r="L21"/>
      <c r="M21"/>
      <c r="N21"/>
      <c r="O21" s="57"/>
      <c r="P21" s="57"/>
      <c r="Q21" s="57"/>
      <c r="R21" s="57"/>
      <c r="S21" s="57"/>
      <c r="T21" s="57"/>
      <c r="U21" s="56"/>
      <c r="V21" s="56"/>
    </row>
    <row r="22" spans="2:24" ht="19.149999999999999" customHeight="1" x14ac:dyDescent="0.35">
      <c r="B22" s="59" t="s">
        <v>101</v>
      </c>
      <c r="C22" s="74">
        <f>SUMIFS(UA_HUB_SQL_7!J:J,UA_HUB_SQL_7!$B:$B,PAGE_1_old!B22)/SUMIFS(UA_HUB_SQL_7!$F:$F,UA_HUB_SQL_7!$B:$B,PAGE_1_old!B22)</f>
        <v>0.83333333333333337</v>
      </c>
      <c r="D22" s="74">
        <f>SUMIFS(UA_HUB_SQL_7!K:K,UA_HUB_SQL_7!B:B,PAGE_1_old!B22)/SUMIFS(UA_HUB_SQL_7!F:F,UA_HUB_SQL_7!B:B,PAGE_1_old!B22)</f>
        <v>0.8666666666666667</v>
      </c>
      <c r="E22" s="104">
        <f>IFERROR(((SUMIFS(UA_HUB_SQL_7!K:K,UA_HUB_SQL_7!B:B,PAGE_1_old!B22)/SUMIFS(UA_HUB_SQL_7!F:F,UA_HUB_SQL_7!B:B,PAGE_1_old!B22))-(SUMIFS(OA_SQL_2!K:K,OA_SQL_2!A:A,PAGE_1_old!B22,OA_SQL_2!B:B,"DL")/SUMIFS(OA_SQL_2!J:J,OA_SQL_2!A:A,PAGE_1_old!B22,OA_SQL_2!B:B,"DL")))*100,"-")</f>
        <v>0.45977011494253706</v>
      </c>
      <c r="F22" s="104">
        <f>IFERROR(((SUMIFS(UA_HUB_SQL_7!$K:$K,UA_HUB_SQL_7!$B:$B,PAGE_1_old!B22)/SUMIFS(UA_HUB_SQL_7!$F:$F,UA_HUB_SQL_7!$B:$B,PAGE_1_old!B22))-(SUMIFS(OA_SQL_2!$K:$K,OA_SQL_2!$A:$A,PAGE_1_old!B22,OA_SQL_2!$B:$B,"AA")/SUMIFS(OA_SQL_2!$J:$J,OA_SQL_2!$A:$A,PAGE_1_old!B22,OA_SQL_2!$B:$B,"AA")))*100,"-")</f>
        <v>-0.43010752688171783</v>
      </c>
      <c r="G22" s="51">
        <f>RANK!F12</f>
        <v>2</v>
      </c>
      <c r="H22" s="74">
        <f>SUMIFS(UA_HUB_SQL_7!G:G,UA_HUB_SQL_7!$B:$B,PAGE_1_old!B22)/SUMIFS(UA_HUB_SQL_7!$F:$F,UA_HUB_SQL_7!$B:$B,PAGE_1_old!B22)</f>
        <v>0</v>
      </c>
      <c r="I22" s="104">
        <f>IFERROR(((SUMIFS(UA_HUB_SQL_7!$G:$G,UA_HUB_SQL_7!$B:$B,PAGE_1_old!B22)/SUMIFS(UA_HUB_SQL_7!$F:$F,UA_HUB_SQL_7!$B:$B,PAGE_1_old!B22))-(SUMIFS(OA_SQL_2!$L:$L,OA_SQL_2!$A:$A,PAGE_1_old!B22,OA_SQL_2!$B:$B,"DL")/SUMIFS(OA_SQL_2!$J:$J,OA_SQL_2!$A:$A,PAGE_1_old!B22,OA_SQL_2!$B:$B,"DL")))*100,"-")</f>
        <v>-100</v>
      </c>
      <c r="J22" s="104">
        <f>IFERROR(((SUMIFS(UA_HUB_SQL_7!$G:$G,UA_HUB_SQL_7!$B:$B,PAGE_1_old!B22)/SUMIFS(UA_HUB_SQL_7!$F:$F,UA_HUB_SQL_7!$B:$B,PAGE_1_old!B22))-(SUMIFS(OA_SQL_2!$L:$L,OA_SQL_2!$A:$A,PAGE_1_old!B22,OA_SQL_2!$B:$B,"AA")/SUMIFS(OA_SQL_2!$J:$J,OA_SQL_2!$A:$A,PAGE_1_old!B22,OA_SQL_2!$B:$B,"AA")))*100,"-")</f>
        <v>-100</v>
      </c>
      <c r="K22" s="51">
        <f>RANK!M23</f>
        <v>3</v>
      </c>
      <c r="L22"/>
      <c r="M22"/>
      <c r="N22"/>
      <c r="O22" s="57"/>
      <c r="P22" s="57"/>
      <c r="Q22" s="57"/>
      <c r="R22" s="57"/>
      <c r="S22" s="57"/>
      <c r="T22" s="57"/>
      <c r="U22" s="56"/>
      <c r="V22" s="56"/>
    </row>
    <row r="23" spans="2:24" ht="19.149999999999999" customHeight="1" x14ac:dyDescent="0.3">
      <c r="B23" s="60" t="s">
        <v>102</v>
      </c>
      <c r="C23" s="74">
        <f>SUMIFS(UA_HUB_SQL_7!J:J,UA_HUB_SQL_7!$B:$B,PAGE_1_old!B23)/SUMIFS(UA_HUB_SQL_7!$F:$F,UA_HUB_SQL_7!$B:$B,PAGE_1_old!B23)</f>
        <v>0.71851851851851856</v>
      </c>
      <c r="D23" s="74">
        <f>SUMIFS(UA_HUB_SQL_7!K:K,UA_HUB_SQL_7!B:B,PAGE_1_old!B23)/SUMIFS(UA_HUB_SQL_7!F:F,UA_HUB_SQL_7!B:B,PAGE_1_old!B23)</f>
        <v>0.79259259259259263</v>
      </c>
      <c r="E23" s="104">
        <f>IFERROR(((SUMIFS(UA_HUB_SQL_7!K:K,UA_HUB_SQL_7!B:B,PAGE_1_old!B23)/SUMIFS(UA_HUB_SQL_7!F:F,UA_HUB_SQL_7!B:B,PAGE_1_old!B23))-(SUMIFS(OA_SQL_2!K:K,OA_SQL_2!A:A,PAGE_1_old!B23,OA_SQL_2!B:B,"DL")/SUMIFS(OA_SQL_2!J:J,OA_SQL_2!A:A,PAGE_1_old!B23,OA_SQL_2!B:B,"DL")))*100,"-")</f>
        <v>4.2592592592592631</v>
      </c>
      <c r="F23" s="104">
        <f>IFERROR(((SUMIFS(UA_HUB_SQL_7!$K:$K,UA_HUB_SQL_7!$B:$B,PAGE_1_old!B23)/SUMIFS(UA_HUB_SQL_7!$F:$F,UA_HUB_SQL_7!$B:$B,PAGE_1_old!B23))-(SUMIFS(OA_SQL_2!$K:$K,OA_SQL_2!$A:$A,PAGE_1_old!B23,OA_SQL_2!$B:$B,"AA")/SUMIFS(OA_SQL_2!$J:$J,OA_SQL_2!$A:$A,PAGE_1_old!B23,OA_SQL_2!$B:$B,"AA")))*100,"-")</f>
        <v>4.059259259259262</v>
      </c>
      <c r="G23" s="51">
        <f>RANK!F13</f>
        <v>1</v>
      </c>
      <c r="H23" s="74">
        <f>SUMIFS(UA_HUB_SQL_7!G:G,UA_HUB_SQL_7!$B:$B,PAGE_1_old!B23)/SUMIFS(UA_HUB_SQL_7!$F:$F,UA_HUB_SQL_7!$B:$B,PAGE_1_old!B23)</f>
        <v>0</v>
      </c>
      <c r="I23" s="104">
        <f>IFERROR(((SUMIFS(UA_HUB_SQL_7!$G:$G,UA_HUB_SQL_7!$B:$B,PAGE_1_old!B23)/SUMIFS(UA_HUB_SQL_7!$F:$F,UA_HUB_SQL_7!$B:$B,PAGE_1_old!B23))-(SUMIFS(OA_SQL_2!$L:$L,OA_SQL_2!$A:$A,PAGE_1_old!B23,OA_SQL_2!$B:$B,"DL")/SUMIFS(OA_SQL_2!$J:$J,OA_SQL_2!$A:$A,PAGE_1_old!B23,OA_SQL_2!$B:$B,"DL")))*100,"-")</f>
        <v>-100</v>
      </c>
      <c r="J23" s="104">
        <f>IFERROR(((SUMIFS(UA_HUB_SQL_7!$G:$G,UA_HUB_SQL_7!$B:$B,PAGE_1_old!B23)/SUMIFS(UA_HUB_SQL_7!$F:$F,UA_HUB_SQL_7!$B:$B,PAGE_1_old!B23))-(SUMIFS(OA_SQL_2!$L:$L,OA_SQL_2!$A:$A,PAGE_1_old!B23,OA_SQL_2!$B:$B,"AA")/SUMIFS(OA_SQL_2!$J:$J,OA_SQL_2!$A:$A,PAGE_1_old!B23,OA_SQL_2!$B:$B,"AA")))*100,"-")</f>
        <v>-100</v>
      </c>
      <c r="K23" s="51">
        <f>RANK!M24</f>
        <v>2</v>
      </c>
      <c r="L23" s="57"/>
      <c r="M23" s="57"/>
      <c r="N23" s="57"/>
      <c r="O23" s="57"/>
      <c r="P23" s="57"/>
      <c r="Q23" s="57"/>
      <c r="R23" s="57"/>
      <c r="S23" s="57"/>
      <c r="T23" s="57"/>
      <c r="U23" s="56"/>
      <c r="V23" s="56"/>
    </row>
    <row r="24" spans="2:24" ht="19.149999999999999" customHeight="1" x14ac:dyDescent="0.3">
      <c r="B24" s="59" t="s">
        <v>103</v>
      </c>
      <c r="C24" s="74">
        <f>SUMIFS(UA_HUB_SQL_7!J:J,UA_HUB_SQL_7!$B:$B,PAGE_1_old!B24)/SUMIFS(UA_HUB_SQL_7!$F:$F,UA_HUB_SQL_7!$B:$B,PAGE_1_old!B24)</f>
        <v>0.27419354838709675</v>
      </c>
      <c r="D24" s="74">
        <f>SUMIFS(UA_HUB_SQL_7!K:K,UA_HUB_SQL_7!B:B,PAGE_1_old!B24)/SUMIFS(UA_HUB_SQL_7!F:F,UA_HUB_SQL_7!B:B,PAGE_1_old!B24)</f>
        <v>0.29032258064516131</v>
      </c>
      <c r="E24" s="104">
        <f>IFERROR(((SUMIFS(UA_HUB_SQL_7!K:K,UA_HUB_SQL_7!B:B,PAGE_1_old!B24)/SUMIFS(UA_HUB_SQL_7!F:F,UA_HUB_SQL_7!B:B,PAGE_1_old!B24))-(SUMIFS(OA_SQL_2!K:K,OA_SQL_2!A:A,PAGE_1_old!B24,OA_SQL_2!B:B,"DL")/SUMIFS(OA_SQL_2!J:J,OA_SQL_2!A:A,PAGE_1_old!B24,OA_SQL_2!B:B,"DL")))*100,"-")</f>
        <v>29.032258064516132</v>
      </c>
      <c r="F24" s="104">
        <f>IFERROR(((SUMIFS(UA_HUB_SQL_7!$K:$K,UA_HUB_SQL_7!$B:$B,PAGE_1_old!B24)/SUMIFS(UA_HUB_SQL_7!$F:$F,UA_HUB_SQL_7!$B:$B,PAGE_1_old!B24))-(SUMIFS(OA_SQL_2!$K:$K,OA_SQL_2!$A:$A,PAGE_1_old!B24,OA_SQL_2!$B:$B,"AA")/SUMIFS(OA_SQL_2!$J:$J,OA_SQL_2!$A:$A,PAGE_1_old!B24,OA_SQL_2!$B:$B,"AA")))*100,"-")</f>
        <v>-70.967741935483872</v>
      </c>
      <c r="G24" s="51">
        <f>RANK!F14</f>
        <v>1</v>
      </c>
      <c r="H24" s="74">
        <f>SUMIFS(UA_HUB_SQL_7!G:G,UA_HUB_SQL_7!$B:$B,PAGE_1_old!B24)/SUMIFS(UA_HUB_SQL_7!$F:$F,UA_HUB_SQL_7!$B:$B,PAGE_1_old!B24)</f>
        <v>3.2258064516129031E-2</v>
      </c>
      <c r="I24" s="104">
        <f>IFERROR(((SUMIFS(UA_HUB_SQL_7!$G:$G,UA_HUB_SQL_7!$B:$B,PAGE_1_old!B24)/SUMIFS(UA_HUB_SQL_7!$F:$F,UA_HUB_SQL_7!$B:$B,PAGE_1_old!B24))-(SUMIFS(OA_SQL_2!$L:$L,OA_SQL_2!$A:$A,PAGE_1_old!B24,OA_SQL_2!$B:$B,"DL")/SUMIFS(OA_SQL_2!$J:$J,OA_SQL_2!$A:$A,PAGE_1_old!B24,OA_SQL_2!$B:$B,"DL")))*100,"-")</f>
        <v>-96.774193548387103</v>
      </c>
      <c r="J24" s="104">
        <f>IFERROR(((SUMIFS(UA_HUB_SQL_7!$G:$G,UA_HUB_SQL_7!$B:$B,PAGE_1_old!B24)/SUMIFS(UA_HUB_SQL_7!$F:$F,UA_HUB_SQL_7!$B:$B,PAGE_1_old!B24))-(SUMIFS(OA_SQL_2!$L:$L,OA_SQL_2!$A:$A,PAGE_1_old!B24,OA_SQL_2!$B:$B,"AA")/SUMIFS(OA_SQL_2!$J:$J,OA_SQL_2!$A:$A,PAGE_1_old!B24,OA_SQL_2!$B:$B,"AA")))*100,"-")</f>
        <v>-96.774193548387103</v>
      </c>
      <c r="K24" s="51">
        <f>RANK!M25</f>
        <v>2</v>
      </c>
      <c r="L24" s="57"/>
      <c r="M24" s="57"/>
      <c r="N24" s="57"/>
      <c r="O24" s="57"/>
      <c r="P24" s="57"/>
      <c r="Q24" s="57"/>
      <c r="R24" s="57"/>
      <c r="S24" s="57"/>
      <c r="T24" s="57"/>
      <c r="U24" s="56"/>
      <c r="V24" s="56"/>
    </row>
    <row r="25" spans="2:24" x14ac:dyDescent="0.3">
      <c r="N25" s="57"/>
      <c r="O25" s="57"/>
      <c r="P25" s="57"/>
      <c r="Q25" s="57"/>
      <c r="R25" s="57"/>
      <c r="S25" s="57"/>
      <c r="T25" s="57"/>
      <c r="U25" s="57"/>
      <c r="V25" s="57"/>
      <c r="W25" s="56"/>
      <c r="X25" s="56"/>
    </row>
    <row r="26" spans="2:24" ht="12.5" thickBot="1" x14ac:dyDescent="0.35">
      <c r="C26" s="2"/>
      <c r="Q26" s="57"/>
      <c r="R26" s="57"/>
      <c r="S26" s="57"/>
      <c r="T26" s="57"/>
      <c r="U26" s="57"/>
      <c r="V26" s="57"/>
      <c r="W26" s="56"/>
      <c r="X26" s="56"/>
    </row>
    <row r="27" spans="2:24" ht="16" thickBot="1" x14ac:dyDescent="0.35">
      <c r="B27" s="285" t="s">
        <v>14</v>
      </c>
      <c r="C27" s="286"/>
      <c r="D27" s="286"/>
      <c r="E27" s="286"/>
      <c r="F27" s="286"/>
      <c r="G27" s="286"/>
      <c r="H27" s="286"/>
      <c r="I27" s="286"/>
      <c r="J27" s="286"/>
      <c r="K27" s="286"/>
      <c r="L27" s="286"/>
      <c r="M27" s="286"/>
      <c r="N27" s="286"/>
      <c r="O27" s="286"/>
      <c r="P27" s="286"/>
      <c r="Q27" s="57"/>
      <c r="R27" s="56"/>
      <c r="S27" s="56"/>
      <c r="T27" s="56"/>
      <c r="U27" s="56"/>
      <c r="V27" s="57"/>
      <c r="W27" s="56"/>
      <c r="X27" s="56"/>
    </row>
    <row r="28" spans="2:24" ht="30.65" customHeight="1" thickBot="1" x14ac:dyDescent="0.35">
      <c r="B28" s="67" t="s">
        <v>15</v>
      </c>
      <c r="C28" s="68" t="s">
        <v>67</v>
      </c>
      <c r="D28" s="69" t="s">
        <v>68</v>
      </c>
      <c r="E28" s="69" t="s">
        <v>69</v>
      </c>
      <c r="F28" s="69" t="s">
        <v>70</v>
      </c>
      <c r="G28" s="69" t="s">
        <v>71</v>
      </c>
      <c r="H28" s="69" t="s">
        <v>72</v>
      </c>
      <c r="I28" s="69" t="s">
        <v>73</v>
      </c>
      <c r="J28" s="69" t="s">
        <v>23</v>
      </c>
      <c r="K28" s="69" t="s">
        <v>24</v>
      </c>
      <c r="L28" s="69" t="s">
        <v>74</v>
      </c>
      <c r="M28" s="70" t="s">
        <v>25</v>
      </c>
      <c r="N28" s="71" t="s">
        <v>26</v>
      </c>
      <c r="O28" s="71" t="s">
        <v>75</v>
      </c>
      <c r="P28" s="71" t="s">
        <v>28</v>
      </c>
      <c r="Q28" s="57"/>
      <c r="R28" s="56"/>
      <c r="S28" s="56"/>
      <c r="T28" s="56"/>
      <c r="U28" s="56"/>
      <c r="V28" s="57"/>
      <c r="W28" s="56"/>
      <c r="X28" s="56"/>
    </row>
    <row r="29" spans="2:24" ht="14.5" x14ac:dyDescent="0.35">
      <c r="B29" s="63" t="s">
        <v>33</v>
      </c>
      <c r="C29" s="77">
        <f>SUMIF(SCH_DEP_SQL_4!$A:$A,PAGE_1_old!R29,SCH_DEP_SQL_4!$E:$E)</f>
        <v>0</v>
      </c>
      <c r="D29" s="12" t="str">
        <f>IF(SUMIFS(CNXL_SQL_2!$F:$F,CNXL_SQL_2!$A:$A,PAGE_1_old!$R29,CNXL_SQL_2!$D:$D,PAGE_1_old!$S$29)=0,"",SUMIFS(CNXL_SQL_2!$F:$F,CNXL_SQL_2!$A:$A,PAGE_1_old!$R29,CNXL_SQL_2!$D:$D,PAGE_1_old!$S$29))</f>
        <v/>
      </c>
      <c r="E29" s="12" t="str">
        <f>IF(SUMIFS(CNXL_SQL_2!$F:$F,CNXL_SQL_2!$A:$A,PAGE_1_old!$R29,CNXL_SQL_2!$D:$D,PAGE_1_old!$S$30)=0,"",SUMIFS(CNXL_SQL_2!$F:$F,CNXL_SQL_2!$A:$A,PAGE_1_old!$R29,CNXL_SQL_2!$D:$D,PAGE_1_old!$S$30))</f>
        <v/>
      </c>
      <c r="F29" s="12" t="str">
        <f>IF(SUMIFS(CNXL_SQL_2!$F:$F,CNXL_SQL_2!$A:$A,PAGE_1_old!$R29,CNXL_SQL_2!$D:$D,PAGE_1_old!$S$31)=0,"",SUMIFS(CNXL_SQL_2!$F:$F,CNXL_SQL_2!$A:$A,PAGE_1_old!$R29,CNXL_SQL_2!$D:$D,PAGE_1_old!$S$31))</f>
        <v/>
      </c>
      <c r="G29" s="12" t="str">
        <f>IF(SUMIFS(CNXL_SQL_2!$F:$F,CNXL_SQL_2!$A:$A,PAGE_1_old!$R29,CNXL_SQL_2!$D:$D,PAGE_1_old!$S$32)=0,"",SUMIFS(CNXL_SQL_2!$F:$F,CNXL_SQL_2!$A:$A,PAGE_1_old!$R29,CNXL_SQL_2!$D:$D,PAGE_1_old!$S$32))</f>
        <v/>
      </c>
      <c r="H29" s="12" t="str">
        <f>IF(SUMIFS(CNXL_SQL_2!$F:$F,CNXL_SQL_2!$A:$A,PAGE_1_old!$R29,CNXL_SQL_2!$D:$D,PAGE_1_old!$S$33)=0,"",SUMIFS(CNXL_SQL_2!$F:$F,CNXL_SQL_2!$A:$A,PAGE_1_old!$R29,CNXL_SQL_2!$D:$D,PAGE_1_old!$S$33))</f>
        <v/>
      </c>
      <c r="I29" s="12" t="str">
        <f>IF(SUMIFS(CNXL_SQL_2!$F:$F,CNXL_SQL_2!$A:$A,PAGE_1_old!$R29,CNXL_SQL_2!$D:$D,PAGE_1_old!$S$34)=0,"",SUMIFS(CNXL_SQL_2!$F:$F,CNXL_SQL_2!$A:$A,PAGE_1_old!$R29,CNXL_SQL_2!$D:$D,PAGE_1_old!$S$34))</f>
        <v/>
      </c>
      <c r="J29" s="12" t="str">
        <f>IF(SUMIFS(CNXL_SQL_2!$F:$F,CNXL_SQL_2!$A:$A,PAGE_1_old!$R29,CNXL_SQL_2!$D:$D,PAGE_1_old!$S$35)=0,"",SUMIFS(CNXL_SQL_2!$F:$F,CNXL_SQL_2!$A:$A,PAGE_1_old!$R29,CNXL_SQL_2!$D:$D,PAGE_1_old!$S$35))</f>
        <v/>
      </c>
      <c r="K29" s="12" t="str">
        <f>IF(SUMIFS(CNXL_SQL_2!$F:$F,CNXL_SQL_2!$A:$A,PAGE_1_old!$R29,CNXL_SQL_2!$D:$D,PAGE_1_old!$S$36)=0,"",SUMIFS(CNXL_SQL_2!$F:$F,CNXL_SQL_2!$A:$A,PAGE_1_old!$R29,CNXL_SQL_2!$D:$D,PAGE_1_old!$S$36))</f>
        <v/>
      </c>
      <c r="L29" s="12" t="str">
        <f>IF(SUMIFS(CNXL_SQL_2!$F:$F,CNXL_SQL_2!$A:$A,PAGE_1_old!$R29,CNXL_SQL_2!$D:$D,PAGE_1_old!$S$37)=0,"",SUMIFS(CNXL_SQL_2!$F:$F,CNXL_SQL_2!$A:$A,PAGE_1_old!$R29,CNXL_SQL_2!$D:$D,PAGE_1_old!$S$37))</f>
        <v/>
      </c>
      <c r="M29" s="37" t="str">
        <f>IF(SUM(D29:L29)=0,"",SUM(D29:L29))</f>
        <v/>
      </c>
      <c r="N29" s="37" t="str">
        <f>ES_MATRIX!K3</f>
        <v/>
      </c>
      <c r="O29" s="14" t="str">
        <f>IFERROR(M29-ES_MATRIX!L3,"")</f>
        <v/>
      </c>
      <c r="P29" s="40" t="str">
        <f>IF(SUMIF(CNXL_SQL_2!$E:$E,PAGE_1_old!R29,CNXL_SQL_2!$F:$F)=0,"",SUMIF(CNXL_SQL_2!$E:$E,PAGE_1_old!R29,CNXL_SQL_2!$F:$F))</f>
        <v/>
      </c>
      <c r="Q29" s="57"/>
      <c r="R29" s="58" t="s">
        <v>76</v>
      </c>
      <c r="S29" s="58" t="s">
        <v>77</v>
      </c>
      <c r="T29" s="56"/>
      <c r="U29" s="56"/>
      <c r="V29" s="57"/>
      <c r="W29" s="56"/>
      <c r="X29" s="56"/>
    </row>
    <row r="30" spans="2:24" ht="14.5" x14ac:dyDescent="0.35">
      <c r="B30" s="64" t="s">
        <v>35</v>
      </c>
      <c r="C30" s="78">
        <f>SUMIF(SCH_DEP_SQL_4!$A:$A,PAGE_1_old!R30,SCH_DEP_SQL_4!$E:$E)</f>
        <v>972</v>
      </c>
      <c r="D30" s="17">
        <f>IF(SUMIFS(CNXL_SQL_2!$F:$F,CNXL_SQL_2!$A:$A,PAGE_1_old!$R30,CNXL_SQL_2!$D:$D,PAGE_1_old!$S$29)=0,"",SUMIFS(CNXL_SQL_2!$F:$F,CNXL_SQL_2!$A:$A,PAGE_1_old!$R30,CNXL_SQL_2!$D:$D,PAGE_1_old!$S$29))</f>
        <v>5</v>
      </c>
      <c r="E30" s="17" t="str">
        <f>IF(SUMIFS(CNXL_SQL_2!$F:$F,CNXL_SQL_2!$A:$A,PAGE_1_old!$R30,CNXL_SQL_2!$D:$D,PAGE_1_old!$S$30)=0,"",SUMIFS(CNXL_SQL_2!$F:$F,CNXL_SQL_2!$A:$A,PAGE_1_old!$R30,CNXL_SQL_2!$D:$D,PAGE_1_old!$S$30))</f>
        <v/>
      </c>
      <c r="F30" s="17" t="str">
        <f>IF(SUMIFS(CNXL_SQL_2!$F:$F,CNXL_SQL_2!$A:$A,PAGE_1_old!$R30,CNXL_SQL_2!$D:$D,PAGE_1_old!$S$31)=0,"",SUMIFS(CNXL_SQL_2!$F:$F,CNXL_SQL_2!$A:$A,PAGE_1_old!$R30,CNXL_SQL_2!$D:$D,PAGE_1_old!$S$31))</f>
        <v/>
      </c>
      <c r="G30" s="17" t="str">
        <f>IF(SUMIFS(CNXL_SQL_2!$F:$F,CNXL_SQL_2!$A:$A,PAGE_1_old!$R30,CNXL_SQL_2!$D:$D,PAGE_1_old!$S$32)=0,"",SUMIFS(CNXL_SQL_2!$F:$F,CNXL_SQL_2!$A:$A,PAGE_1_old!$R30,CNXL_SQL_2!$D:$D,PAGE_1_old!$S$32))</f>
        <v/>
      </c>
      <c r="H30" s="17" t="str">
        <f>IF(SUMIFS(CNXL_SQL_2!$F:$F,CNXL_SQL_2!$A:$A,PAGE_1_old!$R30,CNXL_SQL_2!$D:$D,PAGE_1_old!$S$33)=0,"",SUMIFS(CNXL_SQL_2!$F:$F,CNXL_SQL_2!$A:$A,PAGE_1_old!$R30,CNXL_SQL_2!$D:$D,PAGE_1_old!$S$33))</f>
        <v/>
      </c>
      <c r="I30" s="17" t="str">
        <f>IF(SUMIFS(CNXL_SQL_2!$F:$F,CNXL_SQL_2!$A:$A,PAGE_1_old!$R30,CNXL_SQL_2!$D:$D,PAGE_1_old!$S$34)=0,"",SUMIFS(CNXL_SQL_2!$F:$F,CNXL_SQL_2!$A:$A,PAGE_1_old!$R30,CNXL_SQL_2!$D:$D,PAGE_1_old!$S$34))</f>
        <v/>
      </c>
      <c r="J30" s="17" t="str">
        <f>IF(SUMIFS(CNXL_SQL_2!$F:$F,CNXL_SQL_2!$A:$A,PAGE_1_old!$R30,CNXL_SQL_2!$D:$D,PAGE_1_old!$S$35)=0,"",SUMIFS(CNXL_SQL_2!$F:$F,CNXL_SQL_2!$A:$A,PAGE_1_old!$R30,CNXL_SQL_2!$D:$D,PAGE_1_old!$S$35))</f>
        <v/>
      </c>
      <c r="K30" s="17" t="str">
        <f>IF(SUMIFS(CNXL_SQL_2!$F:$F,CNXL_SQL_2!$A:$A,PAGE_1_old!$R30,CNXL_SQL_2!$D:$D,PAGE_1_old!$S$36)=0,"",SUMIFS(CNXL_SQL_2!$F:$F,CNXL_SQL_2!$A:$A,PAGE_1_old!$R30,CNXL_SQL_2!$D:$D,PAGE_1_old!$S$36))</f>
        <v/>
      </c>
      <c r="L30" s="17" t="str">
        <f>IF(SUMIFS(CNXL_SQL_2!$F:$F,CNXL_SQL_2!$A:$A,PAGE_1_old!$R30,CNXL_SQL_2!$D:$D,PAGE_1_old!$S$37)=0,"",SUMIFS(CNXL_SQL_2!$F:$F,CNXL_SQL_2!$A:$A,PAGE_1_old!$R30,CNXL_SQL_2!$D:$D,PAGE_1_old!$S$37))</f>
        <v/>
      </c>
      <c r="M30" s="18">
        <f t="shared" ref="M30:M36" si="0">IF(SUM(D30:L30)=0,"",SUM(D30:L30))</f>
        <v>5</v>
      </c>
      <c r="N30" s="18" t="str">
        <f>ES_MATRIX!K4</f>
        <v/>
      </c>
      <c r="O30" s="18">
        <f>IFERROR(M30-ES_MATRIX!L4,"")</f>
        <v>5</v>
      </c>
      <c r="P30" s="16" t="str">
        <f>IF(SUMIF(CNXL_SQL_2!$E:$E,PAGE_1_old!R30,CNXL_SQL_2!$F:$F)=0,"",SUMIF(CNXL_SQL_2!$E:$E,PAGE_1_old!R30,CNXL_SQL_2!$F:$F))</f>
        <v/>
      </c>
      <c r="Q30" s="57"/>
      <c r="R30" s="56" t="s">
        <v>78</v>
      </c>
      <c r="S30" s="58" t="s">
        <v>79</v>
      </c>
      <c r="T30" s="56"/>
      <c r="U30" s="56"/>
      <c r="V30" s="57"/>
      <c r="W30" s="56"/>
      <c r="X30" s="56"/>
    </row>
    <row r="31" spans="2:24" ht="14.5" x14ac:dyDescent="0.35">
      <c r="B31" s="63" t="s">
        <v>37</v>
      </c>
      <c r="C31" s="77">
        <f>SUMIF(SCH_DEP_SQL_4!$A:$A,PAGE_1_old!R31,SCH_DEP_SQL_4!$E:$E)</f>
        <v>0</v>
      </c>
      <c r="D31" s="12" t="str">
        <f>IF(SUMIFS(CNXL_SQL_2!$F:$F,CNXL_SQL_2!$A:$A,PAGE_1_old!$R31,CNXL_SQL_2!$D:$D,PAGE_1_old!$S$29)=0,"",SUMIFS(CNXL_SQL_2!$F:$F,CNXL_SQL_2!$A:$A,PAGE_1_old!$R31,CNXL_SQL_2!$D:$D,PAGE_1_old!$S$29))</f>
        <v/>
      </c>
      <c r="E31" s="12" t="str">
        <f>IF(SUMIFS(CNXL_SQL_2!$F:$F,CNXL_SQL_2!$A:$A,PAGE_1_old!$R31,CNXL_SQL_2!$D:$D,PAGE_1_old!$S$30)=0,"",SUMIFS(CNXL_SQL_2!$F:$F,CNXL_SQL_2!$A:$A,PAGE_1_old!$R31,CNXL_SQL_2!$D:$D,PAGE_1_old!$S$30))</f>
        <v/>
      </c>
      <c r="F31" s="12" t="str">
        <f>IF(SUMIFS(CNXL_SQL_2!$F:$F,CNXL_SQL_2!$A:$A,PAGE_1_old!$R31,CNXL_SQL_2!$D:$D,PAGE_1_old!$S$31)=0,"",SUMIFS(CNXL_SQL_2!$F:$F,CNXL_SQL_2!$A:$A,PAGE_1_old!$R31,CNXL_SQL_2!$D:$D,PAGE_1_old!$S$31))</f>
        <v/>
      </c>
      <c r="G31" s="12" t="str">
        <f>IF(SUMIFS(CNXL_SQL_2!$F:$F,CNXL_SQL_2!$A:$A,PAGE_1_old!$R31,CNXL_SQL_2!$D:$D,PAGE_1_old!$S$32)=0,"",SUMIFS(CNXL_SQL_2!$F:$F,CNXL_SQL_2!$A:$A,PAGE_1_old!$R31,CNXL_SQL_2!$D:$D,PAGE_1_old!$S$32))</f>
        <v/>
      </c>
      <c r="H31" s="12" t="str">
        <f>IF(SUMIFS(CNXL_SQL_2!$F:$F,CNXL_SQL_2!$A:$A,PAGE_1_old!$R31,CNXL_SQL_2!$D:$D,PAGE_1_old!$S$33)=0,"",SUMIFS(CNXL_SQL_2!$F:$F,CNXL_SQL_2!$A:$A,PAGE_1_old!$R31,CNXL_SQL_2!$D:$D,PAGE_1_old!$S$33))</f>
        <v/>
      </c>
      <c r="I31" s="12" t="str">
        <f>IF(SUMIFS(CNXL_SQL_2!$F:$F,CNXL_SQL_2!$A:$A,PAGE_1_old!$R31,CNXL_SQL_2!$D:$D,PAGE_1_old!$S$34)=0,"",SUMIFS(CNXL_SQL_2!$F:$F,CNXL_SQL_2!$A:$A,PAGE_1_old!$R31,CNXL_SQL_2!$D:$D,PAGE_1_old!$S$34))</f>
        <v/>
      </c>
      <c r="J31" s="12" t="str">
        <f>IF(SUMIFS(CNXL_SQL_2!$F:$F,CNXL_SQL_2!$A:$A,PAGE_1_old!$R31,CNXL_SQL_2!$D:$D,PAGE_1_old!$S$35)=0,"",SUMIFS(CNXL_SQL_2!$F:$F,CNXL_SQL_2!$A:$A,PAGE_1_old!$R31,CNXL_SQL_2!$D:$D,PAGE_1_old!$S$35))</f>
        <v/>
      </c>
      <c r="K31" s="12" t="str">
        <f>IF(SUMIFS(CNXL_SQL_2!$F:$F,CNXL_SQL_2!$A:$A,PAGE_1_old!$R31,CNXL_SQL_2!$D:$D,PAGE_1_old!$S$36)=0,"",SUMIFS(CNXL_SQL_2!$F:$F,CNXL_SQL_2!$A:$A,PAGE_1_old!$R31,CNXL_SQL_2!$D:$D,PAGE_1_old!$S$36))</f>
        <v/>
      </c>
      <c r="L31" s="12" t="str">
        <f>IF(SUMIFS(CNXL_SQL_2!$F:$F,CNXL_SQL_2!$A:$A,PAGE_1_old!$R31,CNXL_SQL_2!$D:$D,PAGE_1_old!$S$37)=0,"",SUMIFS(CNXL_SQL_2!$F:$F,CNXL_SQL_2!$A:$A,PAGE_1_old!$R31,CNXL_SQL_2!$D:$D,PAGE_1_old!$S$37))</f>
        <v/>
      </c>
      <c r="M31" s="42" t="str">
        <f t="shared" si="0"/>
        <v/>
      </c>
      <c r="N31" s="38" t="str">
        <f>ES_MATRIX!K5</f>
        <v/>
      </c>
      <c r="O31" s="14" t="str">
        <f>IFERROR(M31-ES_MATRIX!L5,"")</f>
        <v/>
      </c>
      <c r="P31" s="40" t="str">
        <f>IF(SUMIF(CNXL_SQL_2!$E:$E,PAGE_1_old!R31,CNXL_SQL_2!$F:$F)=0,"",SUMIF(CNXL_SQL_2!$E:$E,PAGE_1_old!R31,CNXL_SQL_2!$F:$F))</f>
        <v/>
      </c>
      <c r="Q31" s="57"/>
      <c r="R31" s="56" t="s">
        <v>80</v>
      </c>
      <c r="S31" s="58" t="s">
        <v>81</v>
      </c>
      <c r="T31" s="56"/>
      <c r="U31" s="56"/>
      <c r="V31" s="57"/>
      <c r="W31" s="56"/>
      <c r="X31" s="56"/>
    </row>
    <row r="32" spans="2:24" ht="14.5" x14ac:dyDescent="0.35">
      <c r="B32" s="64" t="s">
        <v>39</v>
      </c>
      <c r="C32" s="78">
        <f>SUMIF(SCH_DEP_SQL_4!$A:$A,PAGE_1_old!R32,SCH_DEP_SQL_4!$E:$E)</f>
        <v>316</v>
      </c>
      <c r="D32" s="17">
        <f>IF(SUMIFS(CNXL_SQL_2!$F:$F,CNXL_SQL_2!$A:$A,PAGE_1_old!$R32,CNXL_SQL_2!$D:$D,PAGE_1_old!$S$29)=0,"",SUMIFS(CNXL_SQL_2!$F:$F,CNXL_SQL_2!$A:$A,PAGE_1_old!$R32,CNXL_SQL_2!$D:$D,PAGE_1_old!$S$29))</f>
        <v>4</v>
      </c>
      <c r="E32" s="17" t="str">
        <f>IF(SUMIFS(CNXL_SQL_2!$F:$F,CNXL_SQL_2!$A:$A,PAGE_1_old!$R32,CNXL_SQL_2!$D:$D,PAGE_1_old!$S$30)=0,"",SUMIFS(CNXL_SQL_2!$F:$F,CNXL_SQL_2!$A:$A,PAGE_1_old!$R32,CNXL_SQL_2!$D:$D,PAGE_1_old!$S$30))</f>
        <v/>
      </c>
      <c r="F32" s="17" t="str">
        <f>IF(SUMIFS(CNXL_SQL_2!$F:$F,CNXL_SQL_2!$A:$A,PAGE_1_old!$R32,CNXL_SQL_2!$D:$D,PAGE_1_old!$S$31)=0,"",SUMIFS(CNXL_SQL_2!$F:$F,CNXL_SQL_2!$A:$A,PAGE_1_old!$R32,CNXL_SQL_2!$D:$D,PAGE_1_old!$S$31))</f>
        <v/>
      </c>
      <c r="G32" s="17" t="str">
        <f>IF(SUMIFS(CNXL_SQL_2!$F:$F,CNXL_SQL_2!$A:$A,PAGE_1_old!$R32,CNXL_SQL_2!$D:$D,PAGE_1_old!$S$32)=0,"",SUMIFS(CNXL_SQL_2!$F:$F,CNXL_SQL_2!$A:$A,PAGE_1_old!$R32,CNXL_SQL_2!$D:$D,PAGE_1_old!$S$32))</f>
        <v/>
      </c>
      <c r="H32" s="17" t="str">
        <f>IF(SUMIFS(CNXL_SQL_2!$F:$F,CNXL_SQL_2!$A:$A,PAGE_1_old!$R32,CNXL_SQL_2!$D:$D,PAGE_1_old!$S$33)=0,"",SUMIFS(CNXL_SQL_2!$F:$F,CNXL_SQL_2!$A:$A,PAGE_1_old!$R32,CNXL_SQL_2!$D:$D,PAGE_1_old!$S$33))</f>
        <v/>
      </c>
      <c r="I32" s="17" t="str">
        <f>IF(SUMIFS(CNXL_SQL_2!$F:$F,CNXL_SQL_2!$A:$A,PAGE_1_old!$R32,CNXL_SQL_2!$D:$D,PAGE_1_old!$S$34)=0,"",SUMIFS(CNXL_SQL_2!$F:$F,CNXL_SQL_2!$A:$A,PAGE_1_old!$R32,CNXL_SQL_2!$D:$D,PAGE_1_old!$S$34))</f>
        <v/>
      </c>
      <c r="J32" s="17" t="str">
        <f>IF(SUMIFS(CNXL_SQL_2!$F:$F,CNXL_SQL_2!$A:$A,PAGE_1_old!$R32,CNXL_SQL_2!$D:$D,PAGE_1_old!$S$35)=0,"",SUMIFS(CNXL_SQL_2!$F:$F,CNXL_SQL_2!$A:$A,PAGE_1_old!$R32,CNXL_SQL_2!$D:$D,PAGE_1_old!$S$35))</f>
        <v/>
      </c>
      <c r="K32" s="17" t="str">
        <f>IF(SUMIFS(CNXL_SQL_2!$F:$F,CNXL_SQL_2!$A:$A,PAGE_1_old!$R32,CNXL_SQL_2!$D:$D,PAGE_1_old!$S$36)=0,"",SUMIFS(CNXL_SQL_2!$F:$F,CNXL_SQL_2!$A:$A,PAGE_1_old!$R32,CNXL_SQL_2!$D:$D,PAGE_1_old!$S$36))</f>
        <v/>
      </c>
      <c r="L32" s="17" t="str">
        <f>IF(SUMIFS(CNXL_SQL_2!$F:$F,CNXL_SQL_2!$A:$A,PAGE_1_old!$R32,CNXL_SQL_2!$D:$D,PAGE_1_old!$S$37)=0,"",SUMIFS(CNXL_SQL_2!$F:$F,CNXL_SQL_2!$A:$A,PAGE_1_old!$R32,CNXL_SQL_2!$D:$D,PAGE_1_old!$S$37))</f>
        <v/>
      </c>
      <c r="M32" s="18">
        <f t="shared" si="0"/>
        <v>4</v>
      </c>
      <c r="N32" s="18" t="str">
        <f>ES_MATRIX!K6</f>
        <v/>
      </c>
      <c r="O32" s="18">
        <f>IFERROR(M32-ES_MATRIX!L6,"")</f>
        <v>4</v>
      </c>
      <c r="P32" s="16" t="str">
        <f>IF(SUMIF(CNXL_SQL_2!$E:$E,PAGE_1_old!R32,CNXL_SQL_2!$F:$F)=0,"",SUMIF(CNXL_SQL_2!$E:$E,PAGE_1_old!R32,CNXL_SQL_2!$F:$F))</f>
        <v/>
      </c>
      <c r="Q32" s="57"/>
      <c r="R32" s="56" t="s">
        <v>82</v>
      </c>
      <c r="S32" s="58" t="s">
        <v>83</v>
      </c>
      <c r="T32" s="56"/>
      <c r="U32" s="56"/>
      <c r="V32" s="57"/>
      <c r="W32" s="56"/>
      <c r="X32" s="56"/>
    </row>
    <row r="33" spans="2:24" ht="14.5" x14ac:dyDescent="0.35">
      <c r="B33" s="63" t="s">
        <v>41</v>
      </c>
      <c r="C33" s="77">
        <f>SUMIF(SCH_DEP_SQL_4!$A:$A,PAGE_1_old!R33,SCH_DEP_SQL_4!$E:$E)</f>
        <v>237</v>
      </c>
      <c r="D33" s="12" t="str">
        <f>IF(SUMIFS(CNXL_SQL_2!$F:$F,CNXL_SQL_2!$A:$A,PAGE_1_old!$R33,CNXL_SQL_2!$D:$D,PAGE_1_old!$S$29)=0,"",SUMIFS(CNXL_SQL_2!$F:$F,CNXL_SQL_2!$A:$A,PAGE_1_old!$R33,CNXL_SQL_2!$D:$D,PAGE_1_old!$S$29))</f>
        <v/>
      </c>
      <c r="E33" s="12" t="str">
        <f>IF(SUMIFS(CNXL_SQL_2!$F:$F,CNXL_SQL_2!$A:$A,PAGE_1_old!$R33,CNXL_SQL_2!$D:$D,PAGE_1_old!$S$30)=0,"",SUMIFS(CNXL_SQL_2!$F:$F,CNXL_SQL_2!$A:$A,PAGE_1_old!$R33,CNXL_SQL_2!$D:$D,PAGE_1_old!$S$30))</f>
        <v/>
      </c>
      <c r="F33" s="12" t="str">
        <f>IF(SUMIFS(CNXL_SQL_2!$F:$F,CNXL_SQL_2!$A:$A,PAGE_1_old!$R33,CNXL_SQL_2!$D:$D,PAGE_1_old!$S$31)=0,"",SUMIFS(CNXL_SQL_2!$F:$F,CNXL_SQL_2!$A:$A,PAGE_1_old!$R33,CNXL_SQL_2!$D:$D,PAGE_1_old!$S$31))</f>
        <v/>
      </c>
      <c r="G33" s="12" t="str">
        <f>IF(SUMIFS(CNXL_SQL_2!$F:$F,CNXL_SQL_2!$A:$A,PAGE_1_old!$R33,CNXL_SQL_2!$D:$D,PAGE_1_old!$S$32)=0,"",SUMIFS(CNXL_SQL_2!$F:$F,CNXL_SQL_2!$A:$A,PAGE_1_old!$R33,CNXL_SQL_2!$D:$D,PAGE_1_old!$S$32))</f>
        <v/>
      </c>
      <c r="H33" s="12" t="str">
        <f>IF(SUMIFS(CNXL_SQL_2!$F:$F,CNXL_SQL_2!$A:$A,PAGE_1_old!$R33,CNXL_SQL_2!$D:$D,PAGE_1_old!$S$33)=0,"",SUMIFS(CNXL_SQL_2!$F:$F,CNXL_SQL_2!$A:$A,PAGE_1_old!$R33,CNXL_SQL_2!$D:$D,PAGE_1_old!$S$33))</f>
        <v/>
      </c>
      <c r="I33" s="12" t="str">
        <f>IF(SUMIFS(CNXL_SQL_2!$F:$F,CNXL_SQL_2!$A:$A,PAGE_1_old!$R33,CNXL_SQL_2!$D:$D,PAGE_1_old!$S$34)=0,"",SUMIFS(CNXL_SQL_2!$F:$F,CNXL_SQL_2!$A:$A,PAGE_1_old!$R33,CNXL_SQL_2!$D:$D,PAGE_1_old!$S$34))</f>
        <v/>
      </c>
      <c r="J33" s="12" t="str">
        <f>IF(SUMIFS(CNXL_SQL_2!$F:$F,CNXL_SQL_2!$A:$A,PAGE_1_old!$R33,CNXL_SQL_2!$D:$D,PAGE_1_old!$S$35)=0,"",SUMIFS(CNXL_SQL_2!$F:$F,CNXL_SQL_2!$A:$A,PAGE_1_old!$R33,CNXL_SQL_2!$D:$D,PAGE_1_old!$S$35))</f>
        <v/>
      </c>
      <c r="K33" s="12" t="str">
        <f>IF(SUMIFS(CNXL_SQL_2!$F:$F,CNXL_SQL_2!$A:$A,PAGE_1_old!$R33,CNXL_SQL_2!$D:$D,PAGE_1_old!$S$36)=0,"",SUMIFS(CNXL_SQL_2!$F:$F,CNXL_SQL_2!$A:$A,PAGE_1_old!$R33,CNXL_SQL_2!$D:$D,PAGE_1_old!$S$36))</f>
        <v/>
      </c>
      <c r="L33" s="12" t="str">
        <f>IF(SUMIFS(CNXL_SQL_2!$F:$F,CNXL_SQL_2!$A:$A,PAGE_1_old!$R33,CNXL_SQL_2!$D:$D,PAGE_1_old!$S$37)=0,"",SUMIFS(CNXL_SQL_2!$F:$F,CNXL_SQL_2!$A:$A,PAGE_1_old!$R33,CNXL_SQL_2!$D:$D,PAGE_1_old!$S$37))</f>
        <v/>
      </c>
      <c r="M33" s="42" t="str">
        <f t="shared" si="0"/>
        <v/>
      </c>
      <c r="N33" s="38" t="str">
        <f>ES_MATRIX!K7</f>
        <v/>
      </c>
      <c r="O33" s="14" t="str">
        <f>IFERROR(M33-ES_MATRIX!L7,"")</f>
        <v/>
      </c>
      <c r="P33" s="40" t="str">
        <f>IF(SUMIF(CNXL_SQL_2!$E:$E,PAGE_1_old!R33,CNXL_SQL_2!$F:$F)=0,"",SUMIF(CNXL_SQL_2!$E:$E,PAGE_1_old!R33,CNXL_SQL_2!$F:$F))</f>
        <v/>
      </c>
      <c r="Q33" s="57"/>
      <c r="R33" s="56" t="s">
        <v>84</v>
      </c>
      <c r="S33" s="58" t="s">
        <v>85</v>
      </c>
      <c r="T33" s="56"/>
      <c r="U33" s="56"/>
      <c r="V33" s="57"/>
      <c r="W33" s="56"/>
      <c r="X33" s="56"/>
    </row>
    <row r="34" spans="2:24" ht="14.5" x14ac:dyDescent="0.35">
      <c r="B34" s="64" t="s">
        <v>43</v>
      </c>
      <c r="C34" s="78">
        <f>SUMIF(SCH_DEP_SQL_4!$A:$A,PAGE_1_old!R34,SCH_DEP_SQL_4!$E:$E)</f>
        <v>221</v>
      </c>
      <c r="D34" s="17">
        <f>IF(SUMIFS(CNXL_SQL_2!$F:$F,CNXL_SQL_2!$A:$A,PAGE_1_old!$R34,CNXL_SQL_2!$D:$D,PAGE_1_old!$S$29)=0,"",SUMIFS(CNXL_SQL_2!$F:$F,CNXL_SQL_2!$A:$A,PAGE_1_old!$R34,CNXL_SQL_2!$D:$D,PAGE_1_old!$S$29))</f>
        <v>1</v>
      </c>
      <c r="E34" s="17" t="str">
        <f>IF(SUMIFS(CNXL_SQL_2!$F:$F,CNXL_SQL_2!$A:$A,PAGE_1_old!$R34,CNXL_SQL_2!$D:$D,PAGE_1_old!$S$30)=0,"",SUMIFS(CNXL_SQL_2!$F:$F,CNXL_SQL_2!$A:$A,PAGE_1_old!$R34,CNXL_SQL_2!$D:$D,PAGE_1_old!$S$30))</f>
        <v/>
      </c>
      <c r="F34" s="17" t="str">
        <f>IF(SUMIFS(CNXL_SQL_2!$F:$F,CNXL_SQL_2!$A:$A,PAGE_1_old!$R34,CNXL_SQL_2!$D:$D,PAGE_1_old!$S$31)=0,"",SUMIFS(CNXL_SQL_2!$F:$F,CNXL_SQL_2!$A:$A,PAGE_1_old!$R34,CNXL_SQL_2!$D:$D,PAGE_1_old!$S$31))</f>
        <v/>
      </c>
      <c r="G34" s="17" t="str">
        <f>IF(SUMIFS(CNXL_SQL_2!$F:$F,CNXL_SQL_2!$A:$A,PAGE_1_old!$R34,CNXL_SQL_2!$D:$D,PAGE_1_old!$S$32)=0,"",SUMIFS(CNXL_SQL_2!$F:$F,CNXL_SQL_2!$A:$A,PAGE_1_old!$R34,CNXL_SQL_2!$D:$D,PAGE_1_old!$S$32))</f>
        <v/>
      </c>
      <c r="H34" s="17" t="str">
        <f>IF(SUMIFS(CNXL_SQL_2!$F:$F,CNXL_SQL_2!$A:$A,PAGE_1_old!$R34,CNXL_SQL_2!$D:$D,PAGE_1_old!$S$33)=0,"",SUMIFS(CNXL_SQL_2!$F:$F,CNXL_SQL_2!$A:$A,PAGE_1_old!$R34,CNXL_SQL_2!$D:$D,PAGE_1_old!$S$33))</f>
        <v/>
      </c>
      <c r="I34" s="17" t="str">
        <f>IF(SUMIFS(CNXL_SQL_2!$F:$F,CNXL_SQL_2!$A:$A,PAGE_1_old!$R34,CNXL_SQL_2!$D:$D,PAGE_1_old!$S$34)=0,"",SUMIFS(CNXL_SQL_2!$F:$F,CNXL_SQL_2!$A:$A,PAGE_1_old!$R34,CNXL_SQL_2!$D:$D,PAGE_1_old!$S$34))</f>
        <v/>
      </c>
      <c r="J34" s="17" t="str">
        <f>IF(SUMIFS(CNXL_SQL_2!$F:$F,CNXL_SQL_2!$A:$A,PAGE_1_old!$R34,CNXL_SQL_2!$D:$D,PAGE_1_old!$S$35)=0,"",SUMIFS(CNXL_SQL_2!$F:$F,CNXL_SQL_2!$A:$A,PAGE_1_old!$R34,CNXL_SQL_2!$D:$D,PAGE_1_old!$S$35))</f>
        <v/>
      </c>
      <c r="K34" s="17" t="str">
        <f>IF(SUMIFS(CNXL_SQL_2!$F:$F,CNXL_SQL_2!$A:$A,PAGE_1_old!$R34,CNXL_SQL_2!$D:$D,PAGE_1_old!$S$36)=0,"",SUMIFS(CNXL_SQL_2!$F:$F,CNXL_SQL_2!$A:$A,PAGE_1_old!$R34,CNXL_SQL_2!$D:$D,PAGE_1_old!$S$36))</f>
        <v/>
      </c>
      <c r="L34" s="17" t="str">
        <f>IF(SUMIFS(CNXL_SQL_2!$F:$F,CNXL_SQL_2!$A:$A,PAGE_1_old!$R34,CNXL_SQL_2!$D:$D,PAGE_1_old!$S$37)=0,"",SUMIFS(CNXL_SQL_2!$F:$F,CNXL_SQL_2!$A:$A,PAGE_1_old!$R34,CNXL_SQL_2!$D:$D,PAGE_1_old!$S$37))</f>
        <v/>
      </c>
      <c r="M34" s="41">
        <f t="shared" si="0"/>
        <v>1</v>
      </c>
      <c r="N34" s="18" t="str">
        <f>ES_MATRIX!K8</f>
        <v/>
      </c>
      <c r="O34" s="18">
        <f>IFERROR(M34-ES_MATRIX!L8,"")</f>
        <v>1</v>
      </c>
      <c r="P34" s="16" t="str">
        <f>IF(SUMIF(CNXL_SQL_2!$E:$E,PAGE_1_old!R34,CNXL_SQL_2!$F:$F)=0,"",SUMIF(CNXL_SQL_2!$E:$E,PAGE_1_old!R34,CNXL_SQL_2!$F:$F))</f>
        <v/>
      </c>
      <c r="Q34" s="57"/>
      <c r="R34" s="56" t="s">
        <v>86</v>
      </c>
      <c r="S34" s="58" t="s">
        <v>87</v>
      </c>
      <c r="T34" s="56"/>
      <c r="U34" s="56"/>
      <c r="V34" s="57"/>
      <c r="W34" s="56"/>
      <c r="X34" s="56"/>
    </row>
    <row r="35" spans="2:24" ht="14.5" x14ac:dyDescent="0.35">
      <c r="B35" s="63" t="s">
        <v>44</v>
      </c>
      <c r="C35" s="77">
        <f>SUMIF(SCH_DEP_SQL_4!$A:$A,PAGE_1_old!R35,SCH_DEP_SQL_4!$E:$E)</f>
        <v>227</v>
      </c>
      <c r="D35" s="12">
        <f>IF(SUMIFS(CNXL_SQL_2!$F:$F,CNXL_SQL_2!$A:$A,PAGE_1_old!$R35,CNXL_SQL_2!$D:$D,PAGE_1_old!$S$29)=0,"",SUMIFS(CNXL_SQL_2!$F:$F,CNXL_SQL_2!$A:$A,PAGE_1_old!$R35,CNXL_SQL_2!$D:$D,PAGE_1_old!$S$29))</f>
        <v>3</v>
      </c>
      <c r="E35" s="12" t="str">
        <f>IF(SUMIFS(CNXL_SQL_2!$F:$F,CNXL_SQL_2!$A:$A,PAGE_1_old!$R35,CNXL_SQL_2!$D:$D,PAGE_1_old!$S$30)=0,"",SUMIFS(CNXL_SQL_2!$F:$F,CNXL_SQL_2!$A:$A,PAGE_1_old!$R35,CNXL_SQL_2!$D:$D,PAGE_1_old!$S$30))</f>
        <v/>
      </c>
      <c r="F35" s="12" t="str">
        <f>IF(SUMIFS(CNXL_SQL_2!$F:$F,CNXL_SQL_2!$A:$A,PAGE_1_old!$R35,CNXL_SQL_2!$D:$D,PAGE_1_old!$S$31)=0,"",SUMIFS(CNXL_SQL_2!$F:$F,CNXL_SQL_2!$A:$A,PAGE_1_old!$R35,CNXL_SQL_2!$D:$D,PAGE_1_old!$S$31))</f>
        <v/>
      </c>
      <c r="G35" s="12" t="str">
        <f>IF(SUMIFS(CNXL_SQL_2!$F:$F,CNXL_SQL_2!$A:$A,PAGE_1_old!$R35,CNXL_SQL_2!$D:$D,PAGE_1_old!$S$32)=0,"",SUMIFS(CNXL_SQL_2!$F:$F,CNXL_SQL_2!$A:$A,PAGE_1_old!$R35,CNXL_SQL_2!$D:$D,PAGE_1_old!$S$32))</f>
        <v/>
      </c>
      <c r="H35" s="12" t="str">
        <f>IF(SUMIFS(CNXL_SQL_2!$F:$F,CNXL_SQL_2!$A:$A,PAGE_1_old!$R35,CNXL_SQL_2!$D:$D,PAGE_1_old!$S$33)=0,"",SUMIFS(CNXL_SQL_2!$F:$F,CNXL_SQL_2!$A:$A,PAGE_1_old!$R35,CNXL_SQL_2!$D:$D,PAGE_1_old!$S$33))</f>
        <v/>
      </c>
      <c r="I35" s="12" t="str">
        <f>IF(SUMIFS(CNXL_SQL_2!$F:$F,CNXL_SQL_2!$A:$A,PAGE_1_old!$R35,CNXL_SQL_2!$D:$D,PAGE_1_old!$S$34)=0,"",SUMIFS(CNXL_SQL_2!$F:$F,CNXL_SQL_2!$A:$A,PAGE_1_old!$R35,CNXL_SQL_2!$D:$D,PAGE_1_old!$S$34))</f>
        <v/>
      </c>
      <c r="J35" s="12" t="str">
        <f>IF(SUMIFS(CNXL_SQL_2!$F:$F,CNXL_SQL_2!$A:$A,PAGE_1_old!$R35,CNXL_SQL_2!$D:$D,PAGE_1_old!$S$35)=0,"",SUMIFS(CNXL_SQL_2!$F:$F,CNXL_SQL_2!$A:$A,PAGE_1_old!$R35,CNXL_SQL_2!$D:$D,PAGE_1_old!$S$35))</f>
        <v/>
      </c>
      <c r="K35" s="12" t="str">
        <f>IF(SUMIFS(CNXL_SQL_2!$F:$F,CNXL_SQL_2!$A:$A,PAGE_1_old!$R35,CNXL_SQL_2!$D:$D,PAGE_1_old!$S$36)=0,"",SUMIFS(CNXL_SQL_2!$F:$F,CNXL_SQL_2!$A:$A,PAGE_1_old!$R35,CNXL_SQL_2!$D:$D,PAGE_1_old!$S$36))</f>
        <v/>
      </c>
      <c r="L35" s="12" t="str">
        <f>IF(SUMIFS(CNXL_SQL_2!$F:$F,CNXL_SQL_2!$A:$A,PAGE_1_old!$R35,CNXL_SQL_2!$D:$D,PAGE_1_old!$S$37)=0,"",SUMIFS(CNXL_SQL_2!$F:$F,CNXL_SQL_2!$A:$A,PAGE_1_old!$R35,CNXL_SQL_2!$D:$D,PAGE_1_old!$S$37))</f>
        <v/>
      </c>
      <c r="M35" s="38">
        <f t="shared" si="0"/>
        <v>3</v>
      </c>
      <c r="N35" s="38" t="str">
        <f>ES_MATRIX!K9</f>
        <v/>
      </c>
      <c r="O35" s="14">
        <f>IFERROR(M35-ES_MATRIX!L9,"")</f>
        <v>3</v>
      </c>
      <c r="P35" s="40" t="str">
        <f>IF(SUMIF(CNXL_SQL_2!$E:$E,PAGE_1_old!R35,CNXL_SQL_2!$F:$F)=0,"",SUMIF(CNXL_SQL_2!$E:$E,PAGE_1_old!R35,CNXL_SQL_2!$F:$F))</f>
        <v/>
      </c>
      <c r="Q35" s="57"/>
      <c r="R35" s="56" t="s">
        <v>88</v>
      </c>
      <c r="S35" s="58" t="s">
        <v>89</v>
      </c>
      <c r="T35" s="56"/>
      <c r="U35" s="56"/>
      <c r="V35" s="57"/>
      <c r="W35" s="56"/>
      <c r="X35" s="56"/>
    </row>
    <row r="36" spans="2:24" ht="15" thickBot="1" x14ac:dyDescent="0.4">
      <c r="B36" s="64" t="s">
        <v>45</v>
      </c>
      <c r="C36" s="78">
        <f>SUMIF(SCH_DEP_SQL_4!$A:$A,PAGE_1_old!R36,SCH_DEP_SQL_4!$E:$E)</f>
        <v>0</v>
      </c>
      <c r="D36" s="17" t="str">
        <f>IF(SUMIFS(CNXL_SQL_2!$F:$F,CNXL_SQL_2!$A:$A,PAGE_1_old!$R36,CNXL_SQL_2!$D:$D,PAGE_1_old!$S$29)=0,"",SUMIFS(CNXL_SQL_2!$F:$F,CNXL_SQL_2!$A:$A,PAGE_1_old!$R36,CNXL_SQL_2!$D:$D,PAGE_1_old!$S$29))</f>
        <v/>
      </c>
      <c r="E36" s="17" t="str">
        <f>IF(SUMIFS(CNXL_SQL_2!$F:$F,CNXL_SQL_2!$A:$A,PAGE_1_old!$R36,CNXL_SQL_2!$D:$D,PAGE_1_old!$S$30)=0,"",SUMIFS(CNXL_SQL_2!$F:$F,CNXL_SQL_2!$A:$A,PAGE_1_old!$R36,CNXL_SQL_2!$D:$D,PAGE_1_old!$S$30))</f>
        <v/>
      </c>
      <c r="F36" s="17" t="str">
        <f>IF(SUMIFS(CNXL_SQL_2!$F:$F,CNXL_SQL_2!$A:$A,PAGE_1_old!$R36,CNXL_SQL_2!$D:$D,PAGE_1_old!$S$31)=0,"",SUMIFS(CNXL_SQL_2!$F:$F,CNXL_SQL_2!$A:$A,PAGE_1_old!$R36,CNXL_SQL_2!$D:$D,PAGE_1_old!$S$31))</f>
        <v/>
      </c>
      <c r="G36" s="17" t="str">
        <f>IF(SUMIFS(CNXL_SQL_2!$F:$F,CNXL_SQL_2!$A:$A,PAGE_1_old!$R36,CNXL_SQL_2!$D:$D,PAGE_1_old!$S$32)=0,"",SUMIFS(CNXL_SQL_2!$F:$F,CNXL_SQL_2!$A:$A,PAGE_1_old!$R36,CNXL_SQL_2!$D:$D,PAGE_1_old!$S$32))</f>
        <v/>
      </c>
      <c r="H36" s="17" t="str">
        <f>IF(SUMIFS(CNXL_SQL_2!$F:$F,CNXL_SQL_2!$A:$A,PAGE_1_old!$R36,CNXL_SQL_2!$D:$D,PAGE_1_old!$S$33)=0,"",SUMIFS(CNXL_SQL_2!$F:$F,CNXL_SQL_2!$A:$A,PAGE_1_old!$R36,CNXL_SQL_2!$D:$D,PAGE_1_old!$S$33))</f>
        <v/>
      </c>
      <c r="I36" s="17" t="str">
        <f>IF(SUMIFS(CNXL_SQL_2!$F:$F,CNXL_SQL_2!$A:$A,PAGE_1_old!$R36,CNXL_SQL_2!$D:$D,PAGE_1_old!$S$34)=0,"",SUMIFS(CNXL_SQL_2!$F:$F,CNXL_SQL_2!$A:$A,PAGE_1_old!$R36,CNXL_SQL_2!$D:$D,PAGE_1_old!$S$34))</f>
        <v/>
      </c>
      <c r="J36" s="17" t="str">
        <f>IF(SUMIFS(CNXL_SQL_2!$F:$F,CNXL_SQL_2!$A:$A,PAGE_1_old!$R36,CNXL_SQL_2!$D:$D,PAGE_1_old!$S$35)=0,"",SUMIFS(CNXL_SQL_2!$F:$F,CNXL_SQL_2!$A:$A,PAGE_1_old!$R36,CNXL_SQL_2!$D:$D,PAGE_1_old!$S$35))</f>
        <v/>
      </c>
      <c r="K36" s="17" t="str">
        <f>IF(SUMIFS(CNXL_SQL_2!$F:$F,CNXL_SQL_2!$A:$A,PAGE_1_old!$R36,CNXL_SQL_2!$D:$D,PAGE_1_old!$S$36)=0,"",SUMIFS(CNXL_SQL_2!$F:$F,CNXL_SQL_2!$A:$A,PAGE_1_old!$R36,CNXL_SQL_2!$D:$D,PAGE_1_old!$S$36))</f>
        <v/>
      </c>
      <c r="L36" s="17" t="str">
        <f>IF(SUMIFS(CNXL_SQL_2!$F:$F,CNXL_SQL_2!$A:$A,PAGE_1_old!$R36,CNXL_SQL_2!$D:$D,PAGE_1_old!$S$37)=0,"",SUMIFS(CNXL_SQL_2!$F:$F,CNXL_SQL_2!$A:$A,PAGE_1_old!$R36,CNXL_SQL_2!$D:$D,PAGE_1_old!$S$37))</f>
        <v/>
      </c>
      <c r="M36" s="18" t="str">
        <f t="shared" si="0"/>
        <v/>
      </c>
      <c r="N36" s="18" t="str">
        <f>ES_MATRIX!K10</f>
        <v/>
      </c>
      <c r="O36" s="18" t="str">
        <f>IFERROR(M36-ES_MATRIX!L10,"")</f>
        <v/>
      </c>
      <c r="P36" s="16" t="str">
        <f>IF(SUMIF(CNXL_SQL_2!$E:$E,PAGE_1_old!R36,CNXL_SQL_2!$F:$F)=0,"",SUMIF(CNXL_SQL_2!$E:$E,PAGE_1_old!R36,CNXL_SQL_2!$F:$F))</f>
        <v/>
      </c>
      <c r="Q36" s="57"/>
      <c r="R36" s="56" t="s">
        <v>90</v>
      </c>
      <c r="S36" s="58" t="s">
        <v>91</v>
      </c>
      <c r="T36" s="56"/>
      <c r="U36" s="56"/>
      <c r="V36" s="57"/>
      <c r="W36" s="56"/>
      <c r="X36" s="56"/>
    </row>
    <row r="37" spans="2:24" ht="15" thickBot="1" x14ac:dyDescent="0.4">
      <c r="B37" s="65" t="s">
        <v>47</v>
      </c>
      <c r="C37" s="79">
        <f>SUM(C29:C36)</f>
        <v>1973</v>
      </c>
      <c r="D37" s="22">
        <f>IF(SUM(D29:D36)=0,"",SUM(D29:D36))</f>
        <v>13</v>
      </c>
      <c r="E37" s="22" t="str">
        <f t="shared" ref="E37:L37" si="1">IF(SUM(E29:E36)=0,"",SUM(E29:E36))</f>
        <v/>
      </c>
      <c r="F37" s="22" t="str">
        <f>IF(SUM(F29:F36)=0,"",SUM(F29:F36))</f>
        <v/>
      </c>
      <c r="G37" s="22" t="str">
        <f t="shared" si="1"/>
        <v/>
      </c>
      <c r="H37" s="22" t="str">
        <f t="shared" si="1"/>
        <v/>
      </c>
      <c r="I37" s="22" t="str">
        <f t="shared" si="1"/>
        <v/>
      </c>
      <c r="J37" s="22" t="str">
        <f t="shared" si="1"/>
        <v/>
      </c>
      <c r="K37" s="22" t="str">
        <f t="shared" si="1"/>
        <v/>
      </c>
      <c r="L37" s="22" t="str">
        <f t="shared" si="1"/>
        <v/>
      </c>
      <c r="M37" s="23">
        <f>SUM(M29:M36)</f>
        <v>13</v>
      </c>
      <c r="N37" s="23"/>
      <c r="O37" s="23">
        <f>SUM(O29:O36)</f>
        <v>13</v>
      </c>
      <c r="P37" s="23">
        <f>SUM(P29:P36)</f>
        <v>0</v>
      </c>
      <c r="Q37" s="57"/>
      <c r="R37" s="56"/>
      <c r="S37" s="58" t="s">
        <v>92</v>
      </c>
      <c r="T37" s="56"/>
      <c r="U37" s="56"/>
      <c r="V37" s="57"/>
      <c r="W37" s="56"/>
      <c r="X37" s="56"/>
    </row>
    <row r="38" spans="2:24" ht="9.4" customHeight="1" x14ac:dyDescent="0.35">
      <c r="B38" s="8"/>
      <c r="C38" s="9"/>
      <c r="D38"/>
      <c r="E38"/>
      <c r="F38"/>
      <c r="G38"/>
      <c r="H38" s="9"/>
      <c r="I38" s="9"/>
      <c r="J38" s="9"/>
      <c r="K38" s="9"/>
      <c r="L38" s="9"/>
      <c r="M38" s="9"/>
      <c r="N38" s="9"/>
      <c r="O38" s="9"/>
      <c r="P38" s="9"/>
      <c r="Q38" s="57"/>
      <c r="R38" s="56"/>
      <c r="S38" s="56"/>
      <c r="T38" s="56"/>
      <c r="U38" s="56"/>
      <c r="V38" s="57"/>
      <c r="W38" s="56"/>
      <c r="X38" s="56"/>
    </row>
    <row r="39" spans="2:24" ht="9.4" customHeight="1" x14ac:dyDescent="0.35">
      <c r="B39" s="8"/>
      <c r="C39" s="9"/>
      <c r="D39"/>
      <c r="E39"/>
      <c r="F39"/>
      <c r="G39"/>
      <c r="H39" s="9"/>
      <c r="I39" s="9"/>
      <c r="J39" s="9"/>
      <c r="K39" s="9"/>
      <c r="L39" s="9"/>
      <c r="M39" s="9"/>
      <c r="N39" s="9"/>
      <c r="O39" s="9"/>
      <c r="P39" s="9"/>
      <c r="Q39" s="57"/>
      <c r="R39" s="56"/>
      <c r="S39" s="56"/>
      <c r="T39" s="56"/>
      <c r="U39" s="56"/>
      <c r="V39" s="57"/>
      <c r="W39" s="56"/>
      <c r="X39" s="56"/>
    </row>
    <row r="40" spans="2:24" ht="9.4" customHeight="1" thickBot="1" x14ac:dyDescent="0.35">
      <c r="Q40" s="57"/>
      <c r="R40" s="56"/>
      <c r="S40" s="56"/>
      <c r="T40" s="56"/>
      <c r="U40" s="56"/>
      <c r="V40" s="57"/>
      <c r="W40" s="56"/>
      <c r="X40" s="56"/>
    </row>
    <row r="41" spans="2:24" ht="16" thickBot="1" x14ac:dyDescent="0.35">
      <c r="B41" s="287" t="s">
        <v>48</v>
      </c>
      <c r="C41" s="288"/>
      <c r="D41" s="288"/>
      <c r="E41" s="288"/>
      <c r="F41" s="288"/>
      <c r="G41" s="288"/>
      <c r="H41" s="288"/>
      <c r="I41" s="288"/>
      <c r="J41" s="288"/>
      <c r="K41" s="288"/>
      <c r="L41" s="288"/>
      <c r="M41" s="288"/>
      <c r="N41" s="288"/>
      <c r="O41" s="288"/>
      <c r="P41" s="288"/>
      <c r="Q41" s="57"/>
      <c r="R41" s="56"/>
      <c r="S41" s="56"/>
      <c r="T41" s="56"/>
      <c r="U41" s="56"/>
      <c r="V41" s="57"/>
      <c r="W41" s="56"/>
      <c r="X41" s="56"/>
    </row>
    <row r="42" spans="2:24" ht="30.65" customHeight="1" thickBot="1" x14ac:dyDescent="0.35">
      <c r="B42" s="67" t="s">
        <v>15</v>
      </c>
      <c r="C42" s="68" t="s">
        <v>67</v>
      </c>
      <c r="D42" s="69" t="s">
        <v>68</v>
      </c>
      <c r="E42" s="69" t="s">
        <v>69</v>
      </c>
      <c r="F42" s="69" t="s">
        <v>70</v>
      </c>
      <c r="G42" s="69" t="s">
        <v>71</v>
      </c>
      <c r="H42" s="69" t="s">
        <v>72</v>
      </c>
      <c r="I42" s="69" t="s">
        <v>73</v>
      </c>
      <c r="J42" s="69" t="s">
        <v>23</v>
      </c>
      <c r="K42" s="69" t="s">
        <v>24</v>
      </c>
      <c r="L42" s="69" t="s">
        <v>74</v>
      </c>
      <c r="M42" s="70" t="s">
        <v>25</v>
      </c>
      <c r="N42" s="71" t="s">
        <v>26</v>
      </c>
      <c r="O42" s="71" t="s">
        <v>75</v>
      </c>
      <c r="P42" s="71" t="s">
        <v>28</v>
      </c>
      <c r="Q42" s="57"/>
      <c r="R42" s="57"/>
      <c r="S42" s="57"/>
      <c r="T42" s="57"/>
      <c r="U42" s="57"/>
      <c r="V42" s="57"/>
      <c r="W42" s="56"/>
      <c r="X42" s="56"/>
    </row>
    <row r="43" spans="2:24" ht="13" x14ac:dyDescent="0.3">
      <c r="B43" s="63" t="s">
        <v>33</v>
      </c>
      <c r="C43" s="77">
        <f>SUMIF(SCH_DEP_SQL_4!$A:$A,PAGE_1_old!R29,SCH_DEP_SQL_4!$E:$E)</f>
        <v>0</v>
      </c>
      <c r="D43" s="12" t="str">
        <f>IF(SUMIFS(RES_CNXL_SQL_3!$F:$F,RES_CNXL_SQL_3!$A:$A,PAGE_1_old!$R29,RES_CNXL_SQL_3!$D:$D,PAGE_1_old!$S$29)=0,"",SUMIFS(RES_CNXL_SQL_3!$F:$F,RES_CNXL_SQL_3!$A:$A,PAGE_1_old!$R29,RES_CNXL_SQL_3!$D:$D,PAGE_1_old!$S$29))</f>
        <v/>
      </c>
      <c r="E43" s="12" t="str">
        <f>IF(SUMIFS(RES_CNXL_SQL_3!$F:$F,RES_CNXL_SQL_3!$A:$A,PAGE_1_old!$R29,RES_CNXL_SQL_3!$D:$D,PAGE_1_old!$S$30)=0,"",SUMIFS(RES_CNXL_SQL_3!$F:$F,RES_CNXL_SQL_3!$A:$A,PAGE_1_old!$R29,RES_CNXL_SQL_3!$D:$D,PAGE_1_old!$S$30))</f>
        <v/>
      </c>
      <c r="F43" s="12" t="str">
        <f>IF(SUMIFS(RES_CNXL_SQL_3!$F:$F,RES_CNXL_SQL_3!$A:$A,PAGE_1_old!$R29,RES_CNXL_SQL_3!$D:$D,PAGE_1_old!$S$31)=0,"",SUMIFS(RES_CNXL_SQL_3!$F:$F,RES_CNXL_SQL_3!$A:$A,PAGE_1_old!$R29,RES_CNXL_SQL_3!$D:$D,PAGE_1_old!$S$31))</f>
        <v/>
      </c>
      <c r="G43" s="12" t="str">
        <f>IF(SUMIFS(RES_CNXL_SQL_3!$F:$F,RES_CNXL_SQL_3!$A:$A,PAGE_1_old!$R29,RES_CNXL_SQL_3!$D:$D,PAGE_1_old!$S$32)=0,"",SUMIFS(RES_CNXL_SQL_3!$F:$F,RES_CNXL_SQL_3!$A:$A,PAGE_1_old!$R29,RES_CNXL_SQL_3!$D:$D,PAGE_1_old!$S$32))</f>
        <v/>
      </c>
      <c r="H43" s="12" t="str">
        <f>IF(SUMIFS(RES_CNXL_SQL_3!$F:$F,RES_CNXL_SQL_3!$A:$A,PAGE_1_old!$R29,RES_CNXL_SQL_3!$D:$D,PAGE_1_old!$S$33)=0,"",SUMIFS(RES_CNXL_SQL_3!$F:$F,RES_CNXL_SQL_3!$A:$A,PAGE_1_old!$R29,RES_CNXL_SQL_3!$D:$D,PAGE_1_old!$S$33))</f>
        <v/>
      </c>
      <c r="I43" s="12" t="str">
        <f>IF(SUMIFS(RES_CNXL_SQL_3!$F:$F,RES_CNXL_SQL_3!$A:$A,PAGE_1_old!$R29,RES_CNXL_SQL_3!$D:$D,PAGE_1_old!$S$34)=0,"",SUMIFS(RES_CNXL_SQL_3!$F:$F,RES_CNXL_SQL_3!$A:$A,PAGE_1_old!$R29,RES_CNXL_SQL_3!$D:$D,PAGE_1_old!$S$34))</f>
        <v/>
      </c>
      <c r="J43" s="12" t="str">
        <f>IF(SUMIFS(RES_CNXL_SQL_3!$F:$F,RES_CNXL_SQL_3!$A:$A,PAGE_1_old!$R29,RES_CNXL_SQL_3!$D:$D,PAGE_1_old!$S$35)=0,"",SUMIFS(RES_CNXL_SQL_3!$F:$F,RES_CNXL_SQL_3!$A:$A,PAGE_1_old!$R29,RES_CNXL_SQL_3!$D:$D,PAGE_1_old!$S$35))</f>
        <v/>
      </c>
      <c r="K43" s="12" t="str">
        <f>IF(SUMIFS(RES_CNXL_SQL_3!$F:$F,RES_CNXL_SQL_3!$A:$A,PAGE_1_old!$R29,RES_CNXL_SQL_3!$D:$D,PAGE_1_old!$S$36)=0,"",SUMIFS(RES_CNXL_SQL_3!$F:$F,RES_CNXL_SQL_3!$A:$A,PAGE_1_old!$R29,RES_CNXL_SQL_3!$D:$D,PAGE_1_old!$S$36))</f>
        <v/>
      </c>
      <c r="L43" s="12" t="str">
        <f>IF(SUMIFS(RES_CNXL_SQL_3!$F:$F,RES_CNXL_SQL_3!$A:$A,PAGE_1_old!$R29,RES_CNXL_SQL_3!$D:$D,PAGE_1_old!$S$37)=0,"",SUMIFS(RES_CNXL_SQL_3!$F:$F,RES_CNXL_SQL_3!$A:$A,PAGE_1_old!$R29,RES_CNXL_SQL_3!$D:$D,PAGE_1_old!$S$37))</f>
        <v/>
      </c>
      <c r="M43" s="37" t="str">
        <f>IF(SUM(D43:L43)=0,"",SUM(D43:L43))</f>
        <v/>
      </c>
      <c r="N43" s="37" t="str">
        <f>ES_MATRIX!K14</f>
        <v/>
      </c>
      <c r="O43" s="14" t="str">
        <f>IFERROR(M43-ES_MATRIX!L14,"")</f>
        <v/>
      </c>
      <c r="P43" s="40" t="str">
        <f>IF(SUMIF(RES_CNXL_SQL_3!$E:$E,PAGE_1_old!R29,RES_CNXL_SQL_3!$F:$F)=0,"",SUMIF(RES_CNXL_SQL_3!$E:$E,PAGE_1_old!R29,RES_CNXL_SQL_3!$F:$F))</f>
        <v/>
      </c>
      <c r="Q43" s="56"/>
      <c r="R43" s="56"/>
      <c r="S43" s="56"/>
      <c r="T43" s="56"/>
      <c r="U43" s="56"/>
      <c r="V43" s="56"/>
      <c r="W43" s="56"/>
      <c r="X43" s="56"/>
    </row>
    <row r="44" spans="2:24" ht="13" x14ac:dyDescent="0.3">
      <c r="B44" s="64" t="s">
        <v>35</v>
      </c>
      <c r="C44" s="78">
        <f>SUMIF(SCH_DEP_SQL_4!$A:$A,PAGE_1_old!R30,SCH_DEP_SQL_4!$E:$E)</f>
        <v>972</v>
      </c>
      <c r="D44" s="17" t="str">
        <f>IF(SUMIFS(RES_CNXL_SQL_3!$F:$F,RES_CNXL_SQL_3!$A:$A,PAGE_1_old!$R30,RES_CNXL_SQL_3!$D:$D,PAGE_1_old!$S$29)=0,"",SUMIFS(RES_CNXL_SQL_3!$F:$F,RES_CNXL_SQL_3!$A:$A,PAGE_1_old!$R30,RES_CNXL_SQL_3!$D:$D,PAGE_1_old!$S$29))</f>
        <v/>
      </c>
      <c r="E44" s="17" t="str">
        <f>IF(SUMIFS(RES_CNXL_SQL_3!$F:$F,RES_CNXL_SQL_3!$A:$A,PAGE_1_old!$R30,RES_CNXL_SQL_3!$D:$D,PAGE_1_old!$S$30)=0,"",SUMIFS(RES_CNXL_SQL_3!$F:$F,RES_CNXL_SQL_3!$A:$A,PAGE_1_old!$R30,RES_CNXL_SQL_3!$D:$D,PAGE_1_old!$S$30))</f>
        <v/>
      </c>
      <c r="F44" s="17" t="str">
        <f>IF(SUMIFS(RES_CNXL_SQL_3!$F:$F,RES_CNXL_SQL_3!$A:$A,PAGE_1_old!$R30,RES_CNXL_SQL_3!$D:$D,PAGE_1_old!$S$31)=0,"",SUMIFS(RES_CNXL_SQL_3!$F:$F,RES_CNXL_SQL_3!$A:$A,PAGE_1_old!$R30,RES_CNXL_SQL_3!$D:$D,PAGE_1_old!$S$31))</f>
        <v/>
      </c>
      <c r="G44" s="17" t="str">
        <f>IF(SUMIFS(RES_CNXL_SQL_3!$F:$F,RES_CNXL_SQL_3!$A:$A,PAGE_1_old!$R30,RES_CNXL_SQL_3!$D:$D,PAGE_1_old!$S$32)=0,"",SUMIFS(RES_CNXL_SQL_3!$F:$F,RES_CNXL_SQL_3!$A:$A,PAGE_1_old!$R30,RES_CNXL_SQL_3!$D:$D,PAGE_1_old!$S$32))</f>
        <v/>
      </c>
      <c r="H44" s="17" t="str">
        <f>IF(SUMIFS(RES_CNXL_SQL_3!$F:$F,RES_CNXL_SQL_3!$A:$A,PAGE_1_old!$R30,RES_CNXL_SQL_3!$D:$D,PAGE_1_old!$S$33)=0,"",SUMIFS(RES_CNXL_SQL_3!$F:$F,RES_CNXL_SQL_3!$A:$A,PAGE_1_old!$R30,RES_CNXL_SQL_3!$D:$D,PAGE_1_old!$S$33))</f>
        <v/>
      </c>
      <c r="I44" s="17" t="str">
        <f>IF(SUMIFS(RES_CNXL_SQL_3!$F:$F,RES_CNXL_SQL_3!$A:$A,PAGE_1_old!$R30,RES_CNXL_SQL_3!$D:$D,PAGE_1_old!$S$34)=0,"",SUMIFS(RES_CNXL_SQL_3!$F:$F,RES_CNXL_SQL_3!$A:$A,PAGE_1_old!$R30,RES_CNXL_SQL_3!$D:$D,PAGE_1_old!$S$34))</f>
        <v/>
      </c>
      <c r="J44" s="17" t="str">
        <f>IF(SUMIFS(RES_CNXL_SQL_3!$F:$F,RES_CNXL_SQL_3!$A:$A,PAGE_1_old!$R30,RES_CNXL_SQL_3!$D:$D,PAGE_1_old!$S$35)=0,"",SUMIFS(RES_CNXL_SQL_3!$F:$F,RES_CNXL_SQL_3!$A:$A,PAGE_1_old!$R30,RES_CNXL_SQL_3!$D:$D,PAGE_1_old!$S$35))</f>
        <v/>
      </c>
      <c r="K44" s="17" t="str">
        <f>IF(SUMIFS(RES_CNXL_SQL_3!$F:$F,RES_CNXL_SQL_3!$A:$A,PAGE_1_old!$R30,RES_CNXL_SQL_3!$D:$D,PAGE_1_old!$S$36)=0,"",SUMIFS(RES_CNXL_SQL_3!$F:$F,RES_CNXL_SQL_3!$A:$A,PAGE_1_old!$R30,RES_CNXL_SQL_3!$D:$D,PAGE_1_old!$S$36))</f>
        <v/>
      </c>
      <c r="L44" s="17" t="str">
        <f>IF(SUMIFS(RES_CNXL_SQL_3!$F:$F,RES_CNXL_SQL_3!$A:$A,PAGE_1_old!$R30,RES_CNXL_SQL_3!$D:$D,PAGE_1_old!$S$37)=0,"",SUMIFS(RES_CNXL_SQL_3!$F:$F,RES_CNXL_SQL_3!$A:$A,PAGE_1_old!$R30,RES_CNXL_SQL_3!$D:$D,PAGE_1_old!$S$37))</f>
        <v/>
      </c>
      <c r="M44" s="18" t="str">
        <f t="shared" ref="M44:M50" si="2">IF(SUM(D44:L44)=0,"",SUM(D44:L44))</f>
        <v/>
      </c>
      <c r="N44" s="18" t="str">
        <f>ES_MATRIX!K15</f>
        <v/>
      </c>
      <c r="O44" s="18" t="str">
        <f>IFERROR(M44-ES_MATRIX!L15,"")</f>
        <v/>
      </c>
      <c r="P44" s="16" t="str">
        <f>IF(SUMIF(RES_CNXL_SQL_3!$E:$E,PAGE_1_old!R30,RES_CNXL_SQL_3!$F:$F)=0,"",SUMIF(RES_CNXL_SQL_3!$E:$E,PAGE_1_old!R30,RES_CNXL_SQL_3!$F:$F))</f>
        <v/>
      </c>
    </row>
    <row r="45" spans="2:24" ht="13" x14ac:dyDescent="0.3">
      <c r="B45" s="63" t="s">
        <v>37</v>
      </c>
      <c r="C45" s="77">
        <f>SUMIF(SCH_DEP_SQL_4!$A:$A,PAGE_1_old!R31,SCH_DEP_SQL_4!$E:$E)</f>
        <v>0</v>
      </c>
      <c r="D45" s="12" t="str">
        <f>IF(SUMIFS(RES_CNXL_SQL_3!$F:$F,RES_CNXL_SQL_3!$A:$A,PAGE_1_old!$R31,RES_CNXL_SQL_3!$D:$D,PAGE_1_old!$S$29)=0,"",SUMIFS(RES_CNXL_SQL_3!$F:$F,RES_CNXL_SQL_3!$A:$A,PAGE_1_old!$R31,RES_CNXL_SQL_3!$D:$D,PAGE_1_old!$S$29))</f>
        <v/>
      </c>
      <c r="E45" s="12" t="str">
        <f>IF(SUMIFS(RES_CNXL_SQL_3!$F:$F,RES_CNXL_SQL_3!$A:$A,PAGE_1_old!$R31,RES_CNXL_SQL_3!$D:$D,PAGE_1_old!$S$30)=0,"",SUMIFS(RES_CNXL_SQL_3!$F:$F,RES_CNXL_SQL_3!$A:$A,PAGE_1_old!$R31,RES_CNXL_SQL_3!$D:$D,PAGE_1_old!$S$30))</f>
        <v/>
      </c>
      <c r="F45" s="12" t="str">
        <f>IF(SUMIFS(RES_CNXL_SQL_3!$F:$F,RES_CNXL_SQL_3!$A:$A,PAGE_1_old!$R31,RES_CNXL_SQL_3!$D:$D,PAGE_1_old!$S$31)=0,"",SUMIFS(RES_CNXL_SQL_3!$F:$F,RES_CNXL_SQL_3!$A:$A,PAGE_1_old!$R31,RES_CNXL_SQL_3!$D:$D,PAGE_1_old!$S$31))</f>
        <v/>
      </c>
      <c r="G45" s="12" t="str">
        <f>IF(SUMIFS(RES_CNXL_SQL_3!$F:$F,RES_CNXL_SQL_3!$A:$A,PAGE_1_old!$R31,RES_CNXL_SQL_3!$D:$D,PAGE_1_old!$S$32)=0,"",SUMIFS(RES_CNXL_SQL_3!$F:$F,RES_CNXL_SQL_3!$A:$A,PAGE_1_old!$R31,RES_CNXL_SQL_3!$D:$D,PAGE_1_old!$S$32))</f>
        <v/>
      </c>
      <c r="H45" s="12" t="str">
        <f>IF(SUMIFS(RES_CNXL_SQL_3!$F:$F,RES_CNXL_SQL_3!$A:$A,PAGE_1_old!$R31,RES_CNXL_SQL_3!$D:$D,PAGE_1_old!$S$33)=0,"",SUMIFS(RES_CNXL_SQL_3!$F:$F,RES_CNXL_SQL_3!$A:$A,PAGE_1_old!$R31,RES_CNXL_SQL_3!$D:$D,PAGE_1_old!$S$33))</f>
        <v/>
      </c>
      <c r="I45" s="12" t="str">
        <f>IF(SUMIFS(RES_CNXL_SQL_3!$F:$F,RES_CNXL_SQL_3!$A:$A,PAGE_1_old!$R31,RES_CNXL_SQL_3!$D:$D,PAGE_1_old!$S$34)=0,"",SUMIFS(RES_CNXL_SQL_3!$F:$F,RES_CNXL_SQL_3!$A:$A,PAGE_1_old!$R31,RES_CNXL_SQL_3!$D:$D,PAGE_1_old!$S$34))</f>
        <v/>
      </c>
      <c r="J45" s="12" t="str">
        <f>IF(SUMIFS(RES_CNXL_SQL_3!$F:$F,RES_CNXL_SQL_3!$A:$A,PAGE_1_old!$R31,RES_CNXL_SQL_3!$D:$D,PAGE_1_old!$S$35)=0,"",SUMIFS(RES_CNXL_SQL_3!$F:$F,RES_CNXL_SQL_3!$A:$A,PAGE_1_old!$R31,RES_CNXL_SQL_3!$D:$D,PAGE_1_old!$S$35))</f>
        <v/>
      </c>
      <c r="K45" s="12" t="str">
        <f>IF(SUMIFS(RES_CNXL_SQL_3!$F:$F,RES_CNXL_SQL_3!$A:$A,PAGE_1_old!$R31,RES_CNXL_SQL_3!$D:$D,PAGE_1_old!$S$36)=0,"",SUMIFS(RES_CNXL_SQL_3!$F:$F,RES_CNXL_SQL_3!$A:$A,PAGE_1_old!$R31,RES_CNXL_SQL_3!$D:$D,PAGE_1_old!$S$36))</f>
        <v/>
      </c>
      <c r="L45" s="12" t="str">
        <f>IF(SUMIFS(RES_CNXL_SQL_3!$F:$F,RES_CNXL_SQL_3!$A:$A,PAGE_1_old!$R31,RES_CNXL_SQL_3!$D:$D,PAGE_1_old!$S$37)=0,"",SUMIFS(RES_CNXL_SQL_3!$F:$F,RES_CNXL_SQL_3!$A:$A,PAGE_1_old!$R31,RES_CNXL_SQL_3!$D:$D,PAGE_1_old!$S$37))</f>
        <v/>
      </c>
      <c r="M45" s="42" t="str">
        <f t="shared" si="2"/>
        <v/>
      </c>
      <c r="N45" s="38" t="str">
        <f>ES_MATRIX!K16</f>
        <v/>
      </c>
      <c r="O45" s="14" t="str">
        <f>IFERROR(M45-ES_MATRIX!L16,"")</f>
        <v/>
      </c>
      <c r="P45" s="40" t="str">
        <f>IF(SUMIF(RES_CNXL_SQL_3!$E:$E,PAGE_1_old!R31,RES_CNXL_SQL_3!$F:$F)=0,"",SUMIF(RES_CNXL_SQL_3!$E:$E,PAGE_1_old!R31,RES_CNXL_SQL_3!$F:$F))</f>
        <v/>
      </c>
    </row>
    <row r="46" spans="2:24" ht="13" x14ac:dyDescent="0.3">
      <c r="B46" s="64" t="s">
        <v>39</v>
      </c>
      <c r="C46" s="78">
        <f>SUMIF(SCH_DEP_SQL_4!$A:$A,PAGE_1_old!R32,SCH_DEP_SQL_4!$E:$E)</f>
        <v>316</v>
      </c>
      <c r="D46" s="17" t="str">
        <f>IF(SUMIFS(RES_CNXL_SQL_3!$F:$F,RES_CNXL_SQL_3!$A:$A,PAGE_1_old!$R32,RES_CNXL_SQL_3!$D:$D,PAGE_1_old!$S$29)=0,"",SUMIFS(RES_CNXL_SQL_3!$F:$F,RES_CNXL_SQL_3!$A:$A,PAGE_1_old!$R32,RES_CNXL_SQL_3!$D:$D,PAGE_1_old!$S$29))</f>
        <v/>
      </c>
      <c r="E46" s="17" t="str">
        <f>IF(SUMIFS(RES_CNXL_SQL_3!$F:$F,RES_CNXL_SQL_3!$A:$A,PAGE_1_old!$R32,RES_CNXL_SQL_3!$D:$D,PAGE_1_old!$S$30)=0,"",SUMIFS(RES_CNXL_SQL_3!$F:$F,RES_CNXL_SQL_3!$A:$A,PAGE_1_old!$R32,RES_CNXL_SQL_3!$D:$D,PAGE_1_old!$S$30))</f>
        <v/>
      </c>
      <c r="F46" s="17" t="str">
        <f>IF(SUMIFS(RES_CNXL_SQL_3!$F:$F,RES_CNXL_SQL_3!$A:$A,PAGE_1_old!$R32,RES_CNXL_SQL_3!$D:$D,PAGE_1_old!$S$31)=0,"",SUMIFS(RES_CNXL_SQL_3!$F:$F,RES_CNXL_SQL_3!$A:$A,PAGE_1_old!$R32,RES_CNXL_SQL_3!$D:$D,PAGE_1_old!$S$31))</f>
        <v/>
      </c>
      <c r="G46" s="17" t="str">
        <f>IF(SUMIFS(RES_CNXL_SQL_3!$F:$F,RES_CNXL_SQL_3!$A:$A,PAGE_1_old!$R32,RES_CNXL_SQL_3!$D:$D,PAGE_1_old!$S$32)=0,"",SUMIFS(RES_CNXL_SQL_3!$F:$F,RES_CNXL_SQL_3!$A:$A,PAGE_1_old!$R32,RES_CNXL_SQL_3!$D:$D,PAGE_1_old!$S$32))</f>
        <v/>
      </c>
      <c r="H46" s="17" t="str">
        <f>IF(SUMIFS(RES_CNXL_SQL_3!$F:$F,RES_CNXL_SQL_3!$A:$A,PAGE_1_old!$R32,RES_CNXL_SQL_3!$D:$D,PAGE_1_old!$S$33)=0,"",SUMIFS(RES_CNXL_SQL_3!$F:$F,RES_CNXL_SQL_3!$A:$A,PAGE_1_old!$R32,RES_CNXL_SQL_3!$D:$D,PAGE_1_old!$S$33))</f>
        <v/>
      </c>
      <c r="I46" s="17" t="str">
        <f>IF(SUMIFS(RES_CNXL_SQL_3!$F:$F,RES_CNXL_SQL_3!$A:$A,PAGE_1_old!$R32,RES_CNXL_SQL_3!$D:$D,PAGE_1_old!$S$34)=0,"",SUMIFS(RES_CNXL_SQL_3!$F:$F,RES_CNXL_SQL_3!$A:$A,PAGE_1_old!$R32,RES_CNXL_SQL_3!$D:$D,PAGE_1_old!$S$34))</f>
        <v/>
      </c>
      <c r="J46" s="17" t="str">
        <f>IF(SUMIFS(RES_CNXL_SQL_3!$F:$F,RES_CNXL_SQL_3!$A:$A,PAGE_1_old!$R32,RES_CNXL_SQL_3!$D:$D,PAGE_1_old!$S$35)=0,"",SUMIFS(RES_CNXL_SQL_3!$F:$F,RES_CNXL_SQL_3!$A:$A,PAGE_1_old!$R32,RES_CNXL_SQL_3!$D:$D,PAGE_1_old!$S$35))</f>
        <v/>
      </c>
      <c r="K46" s="17" t="str">
        <f>IF(SUMIFS(RES_CNXL_SQL_3!$F:$F,RES_CNXL_SQL_3!$A:$A,PAGE_1_old!$R32,RES_CNXL_SQL_3!$D:$D,PAGE_1_old!$S$36)=0,"",SUMIFS(RES_CNXL_SQL_3!$F:$F,RES_CNXL_SQL_3!$A:$A,PAGE_1_old!$R32,RES_CNXL_SQL_3!$D:$D,PAGE_1_old!$S$36))</f>
        <v/>
      </c>
      <c r="L46" s="17" t="str">
        <f>IF(SUMIFS(RES_CNXL_SQL_3!$F:$F,RES_CNXL_SQL_3!$A:$A,PAGE_1_old!$R32,RES_CNXL_SQL_3!$D:$D,PAGE_1_old!$S$37)=0,"",SUMIFS(RES_CNXL_SQL_3!$F:$F,RES_CNXL_SQL_3!$A:$A,PAGE_1_old!$R32,RES_CNXL_SQL_3!$D:$D,PAGE_1_old!$S$37))</f>
        <v/>
      </c>
      <c r="M46" s="18" t="str">
        <f t="shared" si="2"/>
        <v/>
      </c>
      <c r="N46" s="18" t="str">
        <f>ES_MATRIX!K17</f>
        <v/>
      </c>
      <c r="O46" s="18" t="str">
        <f>IFERROR(M46-ES_MATRIX!L17,"")</f>
        <v/>
      </c>
      <c r="P46" s="16" t="str">
        <f>IF(SUMIF(RES_CNXL_SQL_3!$E:$E,PAGE_1_old!R32,RES_CNXL_SQL_3!$F:$F)=0,"",SUMIF(RES_CNXL_SQL_3!$E:$E,PAGE_1_old!R32,RES_CNXL_SQL_3!$F:$F))</f>
        <v/>
      </c>
    </row>
    <row r="47" spans="2:24" ht="13" x14ac:dyDescent="0.3">
      <c r="B47" s="63" t="s">
        <v>41</v>
      </c>
      <c r="C47" s="77">
        <f>SUMIF(SCH_DEP_SQL_4!$A:$A,PAGE_1_old!R33,SCH_DEP_SQL_4!$E:$E)</f>
        <v>237</v>
      </c>
      <c r="D47" s="12" t="str">
        <f>IF(SUMIFS(RES_CNXL_SQL_3!$F:$F,RES_CNXL_SQL_3!$A:$A,PAGE_1_old!$R33,RES_CNXL_SQL_3!$D:$D,PAGE_1_old!$S$29)=0,"",SUMIFS(RES_CNXL_SQL_3!$F:$F,RES_CNXL_SQL_3!$A:$A,PAGE_1_old!$R33,RES_CNXL_SQL_3!$D:$D,PAGE_1_old!$S$29))</f>
        <v/>
      </c>
      <c r="E47" s="12" t="str">
        <f>IF(SUMIFS(RES_CNXL_SQL_3!$F:$F,RES_CNXL_SQL_3!$A:$A,PAGE_1_old!$R33,RES_CNXL_SQL_3!$D:$D,PAGE_1_old!$S$30)=0,"",SUMIFS(RES_CNXL_SQL_3!$F:$F,RES_CNXL_SQL_3!$A:$A,PAGE_1_old!$R33,RES_CNXL_SQL_3!$D:$D,PAGE_1_old!$S$30))</f>
        <v/>
      </c>
      <c r="F47" s="12" t="str">
        <f>IF(SUMIFS(RES_CNXL_SQL_3!$F:$F,RES_CNXL_SQL_3!$A:$A,PAGE_1_old!$R33,RES_CNXL_SQL_3!$D:$D,PAGE_1_old!$S$31)=0,"",SUMIFS(RES_CNXL_SQL_3!$F:$F,RES_CNXL_SQL_3!$A:$A,PAGE_1_old!$R33,RES_CNXL_SQL_3!$D:$D,PAGE_1_old!$S$31))</f>
        <v/>
      </c>
      <c r="G47" s="12" t="str">
        <f>IF(SUMIFS(RES_CNXL_SQL_3!$F:$F,RES_CNXL_SQL_3!$A:$A,PAGE_1_old!$R33,RES_CNXL_SQL_3!$D:$D,PAGE_1_old!$S$32)=0,"",SUMIFS(RES_CNXL_SQL_3!$F:$F,RES_CNXL_SQL_3!$A:$A,PAGE_1_old!$R33,RES_CNXL_SQL_3!$D:$D,PAGE_1_old!$S$32))</f>
        <v/>
      </c>
      <c r="H47" s="12" t="str">
        <f>IF(SUMIFS(RES_CNXL_SQL_3!$F:$F,RES_CNXL_SQL_3!$A:$A,PAGE_1_old!$R33,RES_CNXL_SQL_3!$D:$D,PAGE_1_old!$S$33)=0,"",SUMIFS(RES_CNXL_SQL_3!$F:$F,RES_CNXL_SQL_3!$A:$A,PAGE_1_old!$R33,RES_CNXL_SQL_3!$D:$D,PAGE_1_old!$S$33))</f>
        <v/>
      </c>
      <c r="I47" s="12" t="str">
        <f>IF(SUMIFS(RES_CNXL_SQL_3!$F:$F,RES_CNXL_SQL_3!$A:$A,PAGE_1_old!$R33,RES_CNXL_SQL_3!$D:$D,PAGE_1_old!$S$34)=0,"",SUMIFS(RES_CNXL_SQL_3!$F:$F,RES_CNXL_SQL_3!$A:$A,PAGE_1_old!$R33,RES_CNXL_SQL_3!$D:$D,PAGE_1_old!$S$34))</f>
        <v/>
      </c>
      <c r="J47" s="12" t="str">
        <f>IF(SUMIFS(RES_CNXL_SQL_3!$F:$F,RES_CNXL_SQL_3!$A:$A,PAGE_1_old!$R33,RES_CNXL_SQL_3!$D:$D,PAGE_1_old!$S$35)=0,"",SUMIFS(RES_CNXL_SQL_3!$F:$F,RES_CNXL_SQL_3!$A:$A,PAGE_1_old!$R33,RES_CNXL_SQL_3!$D:$D,PAGE_1_old!$S$35))</f>
        <v/>
      </c>
      <c r="K47" s="12" t="str">
        <f>IF(SUMIFS(RES_CNXL_SQL_3!$F:$F,RES_CNXL_SQL_3!$A:$A,PAGE_1_old!$R33,RES_CNXL_SQL_3!$D:$D,PAGE_1_old!$S$36)=0,"",SUMIFS(RES_CNXL_SQL_3!$F:$F,RES_CNXL_SQL_3!$A:$A,PAGE_1_old!$R33,RES_CNXL_SQL_3!$D:$D,PAGE_1_old!$S$36))</f>
        <v/>
      </c>
      <c r="L47" s="12" t="str">
        <f>IF(SUMIFS(RES_CNXL_SQL_3!$F:$F,RES_CNXL_SQL_3!$A:$A,PAGE_1_old!$R33,RES_CNXL_SQL_3!$D:$D,PAGE_1_old!$S$37)=0,"",SUMIFS(RES_CNXL_SQL_3!$F:$F,RES_CNXL_SQL_3!$A:$A,PAGE_1_old!$R33,RES_CNXL_SQL_3!$D:$D,PAGE_1_old!$S$37))</f>
        <v/>
      </c>
      <c r="M47" s="42" t="str">
        <f t="shared" si="2"/>
        <v/>
      </c>
      <c r="N47" s="38" t="str">
        <f>ES_MATRIX!K18</f>
        <v/>
      </c>
      <c r="O47" s="14" t="str">
        <f>IFERROR(M47-ES_MATRIX!L18,"")</f>
        <v/>
      </c>
      <c r="P47" s="40" t="str">
        <f>IF(SUMIF(RES_CNXL_SQL_3!$E:$E,PAGE_1_old!R33,RES_CNXL_SQL_3!$F:$F)=0,"",SUMIF(RES_CNXL_SQL_3!$E:$E,PAGE_1_old!R33,RES_CNXL_SQL_3!$F:$F))</f>
        <v/>
      </c>
    </row>
    <row r="48" spans="2:24" ht="13" x14ac:dyDescent="0.3">
      <c r="B48" s="64" t="s">
        <v>43</v>
      </c>
      <c r="C48" s="78">
        <f>SUMIF(SCH_DEP_SQL_4!$A:$A,PAGE_1_old!R34,SCH_DEP_SQL_4!$E:$E)</f>
        <v>221</v>
      </c>
      <c r="D48" s="17" t="str">
        <f>IF(SUMIFS(RES_CNXL_SQL_3!$F:$F,RES_CNXL_SQL_3!$A:$A,PAGE_1_old!$R34,RES_CNXL_SQL_3!$D:$D,PAGE_1_old!$S$29)=0,"",SUMIFS(RES_CNXL_SQL_3!$F:$F,RES_CNXL_SQL_3!$A:$A,PAGE_1_old!$R34,RES_CNXL_SQL_3!$D:$D,PAGE_1_old!$S$29))</f>
        <v/>
      </c>
      <c r="E48" s="17" t="str">
        <f>IF(SUMIFS(RES_CNXL_SQL_3!$F:$F,RES_CNXL_SQL_3!$A:$A,PAGE_1_old!$R34,RES_CNXL_SQL_3!$D:$D,PAGE_1_old!$S$30)=0,"",SUMIFS(RES_CNXL_SQL_3!$F:$F,RES_CNXL_SQL_3!$A:$A,PAGE_1_old!$R34,RES_CNXL_SQL_3!$D:$D,PAGE_1_old!$S$30))</f>
        <v/>
      </c>
      <c r="F48" s="17" t="str">
        <f>IF(SUMIFS(RES_CNXL_SQL_3!$F:$F,RES_CNXL_SQL_3!$A:$A,PAGE_1_old!$R34,RES_CNXL_SQL_3!$D:$D,PAGE_1_old!$S$31)=0,"",SUMIFS(RES_CNXL_SQL_3!$F:$F,RES_CNXL_SQL_3!$A:$A,PAGE_1_old!$R34,RES_CNXL_SQL_3!$D:$D,PAGE_1_old!$S$31))</f>
        <v/>
      </c>
      <c r="G48" s="17" t="str">
        <f>IF(SUMIFS(RES_CNXL_SQL_3!$F:$F,RES_CNXL_SQL_3!$A:$A,PAGE_1_old!$R34,RES_CNXL_SQL_3!$D:$D,PAGE_1_old!$S$32)=0,"",SUMIFS(RES_CNXL_SQL_3!$F:$F,RES_CNXL_SQL_3!$A:$A,PAGE_1_old!$R34,RES_CNXL_SQL_3!$D:$D,PAGE_1_old!$S$32))</f>
        <v/>
      </c>
      <c r="H48" s="17" t="str">
        <f>IF(SUMIFS(RES_CNXL_SQL_3!$F:$F,RES_CNXL_SQL_3!$A:$A,PAGE_1_old!$R34,RES_CNXL_SQL_3!$D:$D,PAGE_1_old!$S$33)=0,"",SUMIFS(RES_CNXL_SQL_3!$F:$F,RES_CNXL_SQL_3!$A:$A,PAGE_1_old!$R34,RES_CNXL_SQL_3!$D:$D,PAGE_1_old!$S$33))</f>
        <v/>
      </c>
      <c r="I48" s="17" t="str">
        <f>IF(SUMIFS(RES_CNXL_SQL_3!$F:$F,RES_CNXL_SQL_3!$A:$A,PAGE_1_old!$R34,RES_CNXL_SQL_3!$D:$D,PAGE_1_old!$S$34)=0,"",SUMIFS(RES_CNXL_SQL_3!$F:$F,RES_CNXL_SQL_3!$A:$A,PAGE_1_old!$R34,RES_CNXL_SQL_3!$D:$D,PAGE_1_old!$S$34))</f>
        <v/>
      </c>
      <c r="J48" s="17" t="str">
        <f>IF(SUMIFS(RES_CNXL_SQL_3!$F:$F,RES_CNXL_SQL_3!$A:$A,PAGE_1_old!$R34,RES_CNXL_SQL_3!$D:$D,PAGE_1_old!$S$35)=0,"",SUMIFS(RES_CNXL_SQL_3!$F:$F,RES_CNXL_SQL_3!$A:$A,PAGE_1_old!$R34,RES_CNXL_SQL_3!$D:$D,PAGE_1_old!$S$35))</f>
        <v/>
      </c>
      <c r="K48" s="17" t="str">
        <f>IF(SUMIFS(RES_CNXL_SQL_3!$F:$F,RES_CNXL_SQL_3!$A:$A,PAGE_1_old!$R34,RES_CNXL_SQL_3!$D:$D,PAGE_1_old!$S$36)=0,"",SUMIFS(RES_CNXL_SQL_3!$F:$F,RES_CNXL_SQL_3!$A:$A,PAGE_1_old!$R34,RES_CNXL_SQL_3!$D:$D,PAGE_1_old!$S$36))</f>
        <v/>
      </c>
      <c r="L48" s="17" t="str">
        <f>IF(SUMIFS(RES_CNXL_SQL_3!$F:$F,RES_CNXL_SQL_3!$A:$A,PAGE_1_old!$R34,RES_CNXL_SQL_3!$D:$D,PAGE_1_old!$S$37)=0,"",SUMIFS(RES_CNXL_SQL_3!$F:$F,RES_CNXL_SQL_3!$A:$A,PAGE_1_old!$R34,RES_CNXL_SQL_3!$D:$D,PAGE_1_old!$S$37))</f>
        <v/>
      </c>
      <c r="M48" s="41" t="str">
        <f t="shared" si="2"/>
        <v/>
      </c>
      <c r="N48" s="18" t="str">
        <f>ES_MATRIX!K19</f>
        <v/>
      </c>
      <c r="O48" s="18" t="str">
        <f>IFERROR(M48-ES_MATRIX!L19,"")</f>
        <v/>
      </c>
      <c r="P48" s="16" t="str">
        <f>IF(SUMIF(RES_CNXL_SQL_3!$E:$E,PAGE_1_old!R34,RES_CNXL_SQL_3!$F:$F)=0,"",SUMIF(RES_CNXL_SQL_3!$E:$E,PAGE_1_old!R34,RES_CNXL_SQL_3!$F:$F))</f>
        <v/>
      </c>
    </row>
    <row r="49" spans="2:16" ht="13" x14ac:dyDescent="0.3">
      <c r="B49" s="63" t="s">
        <v>44</v>
      </c>
      <c r="C49" s="77">
        <f>SUMIF(SCH_DEP_SQL_4!$A:$A,PAGE_1_old!R35,SCH_DEP_SQL_4!$E:$E)</f>
        <v>227</v>
      </c>
      <c r="D49" s="12" t="str">
        <f>IF(SUMIFS(RES_CNXL_SQL_3!$F:$F,RES_CNXL_SQL_3!$A:$A,PAGE_1_old!$R35,RES_CNXL_SQL_3!$D:$D,PAGE_1_old!$S$29)=0,"",SUMIFS(RES_CNXL_SQL_3!$F:$F,RES_CNXL_SQL_3!$A:$A,PAGE_1_old!$R35,RES_CNXL_SQL_3!$D:$D,PAGE_1_old!$S$29))</f>
        <v/>
      </c>
      <c r="E49" s="12" t="str">
        <f>IF(SUMIFS(RES_CNXL_SQL_3!$F:$F,RES_CNXL_SQL_3!$A:$A,PAGE_1_old!$R35,RES_CNXL_SQL_3!$D:$D,PAGE_1_old!$S$30)=0,"",SUMIFS(RES_CNXL_SQL_3!$F:$F,RES_CNXL_SQL_3!$A:$A,PAGE_1_old!$R35,RES_CNXL_SQL_3!$D:$D,PAGE_1_old!$S$30))</f>
        <v/>
      </c>
      <c r="F49" s="12" t="str">
        <f>IF(SUMIFS(RES_CNXL_SQL_3!$F:$F,RES_CNXL_SQL_3!$A:$A,PAGE_1_old!$R35,RES_CNXL_SQL_3!$D:$D,PAGE_1_old!$S$31)=0,"",SUMIFS(RES_CNXL_SQL_3!$F:$F,RES_CNXL_SQL_3!$A:$A,PAGE_1_old!$R35,RES_CNXL_SQL_3!$D:$D,PAGE_1_old!$S$31))</f>
        <v/>
      </c>
      <c r="G49" s="12" t="str">
        <f>IF(SUMIFS(RES_CNXL_SQL_3!$F:$F,RES_CNXL_SQL_3!$A:$A,PAGE_1_old!$R35,RES_CNXL_SQL_3!$D:$D,PAGE_1_old!$S$32)=0,"",SUMIFS(RES_CNXL_SQL_3!$F:$F,RES_CNXL_SQL_3!$A:$A,PAGE_1_old!$R35,RES_CNXL_SQL_3!$D:$D,PAGE_1_old!$S$32))</f>
        <v/>
      </c>
      <c r="H49" s="12" t="str">
        <f>IF(SUMIFS(RES_CNXL_SQL_3!$F:$F,RES_CNXL_SQL_3!$A:$A,PAGE_1_old!$R35,RES_CNXL_SQL_3!$D:$D,PAGE_1_old!$S$33)=0,"",SUMIFS(RES_CNXL_SQL_3!$F:$F,RES_CNXL_SQL_3!$A:$A,PAGE_1_old!$R35,RES_CNXL_SQL_3!$D:$D,PAGE_1_old!$S$33))</f>
        <v/>
      </c>
      <c r="I49" s="12" t="str">
        <f>IF(SUMIFS(RES_CNXL_SQL_3!$F:$F,RES_CNXL_SQL_3!$A:$A,PAGE_1_old!$R35,RES_CNXL_SQL_3!$D:$D,PAGE_1_old!$S$34)=0,"",SUMIFS(RES_CNXL_SQL_3!$F:$F,RES_CNXL_SQL_3!$A:$A,PAGE_1_old!$R35,RES_CNXL_SQL_3!$D:$D,PAGE_1_old!$S$34))</f>
        <v/>
      </c>
      <c r="J49" s="12" t="str">
        <f>IF(SUMIFS(RES_CNXL_SQL_3!$F:$F,RES_CNXL_SQL_3!$A:$A,PAGE_1_old!$R35,RES_CNXL_SQL_3!$D:$D,PAGE_1_old!$S$35)=0,"",SUMIFS(RES_CNXL_SQL_3!$F:$F,RES_CNXL_SQL_3!$A:$A,PAGE_1_old!$R35,RES_CNXL_SQL_3!$D:$D,PAGE_1_old!$S$35))</f>
        <v/>
      </c>
      <c r="K49" s="12" t="str">
        <f>IF(SUMIFS(RES_CNXL_SQL_3!$F:$F,RES_CNXL_SQL_3!$A:$A,PAGE_1_old!$R35,RES_CNXL_SQL_3!$D:$D,PAGE_1_old!$S$36)=0,"",SUMIFS(RES_CNXL_SQL_3!$F:$F,RES_CNXL_SQL_3!$A:$A,PAGE_1_old!$R35,RES_CNXL_SQL_3!$D:$D,PAGE_1_old!$S$36))</f>
        <v/>
      </c>
      <c r="L49" s="12" t="str">
        <f>IF(SUMIFS(RES_CNXL_SQL_3!$F:$F,RES_CNXL_SQL_3!$A:$A,PAGE_1_old!$R35,RES_CNXL_SQL_3!$D:$D,PAGE_1_old!$S$37)=0,"",SUMIFS(RES_CNXL_SQL_3!$F:$F,RES_CNXL_SQL_3!$A:$A,PAGE_1_old!$R35,RES_CNXL_SQL_3!$D:$D,PAGE_1_old!$S$37))</f>
        <v/>
      </c>
      <c r="M49" s="38" t="str">
        <f t="shared" si="2"/>
        <v/>
      </c>
      <c r="N49" s="38" t="str">
        <f>ES_MATRIX!K20</f>
        <v/>
      </c>
      <c r="O49" s="14" t="str">
        <f>IFERROR(M49-ES_MATRIX!L20,"")</f>
        <v/>
      </c>
      <c r="P49" s="40" t="str">
        <f>IF(SUMIF(RES_CNXL_SQL_3!$E:$E,PAGE_1_old!R35,RES_CNXL_SQL_3!$F:$F)=0,"",SUMIF(RES_CNXL_SQL_3!$E:$E,PAGE_1_old!R35,RES_CNXL_SQL_3!$F:$F))</f>
        <v/>
      </c>
    </row>
    <row r="50" spans="2:16" ht="13.5" thickBot="1" x14ac:dyDescent="0.35">
      <c r="B50" s="64" t="s">
        <v>45</v>
      </c>
      <c r="C50" s="78">
        <f>SUMIF(SCH_DEP_SQL_4!$A:$A,PAGE_1_old!R36,SCH_DEP_SQL_4!$E:$E)</f>
        <v>0</v>
      </c>
      <c r="D50" s="17" t="str">
        <f>IF(SUMIFS(RES_CNXL_SQL_3!$F:$F,RES_CNXL_SQL_3!$A:$A,PAGE_1_old!$R36,RES_CNXL_SQL_3!$D:$D,PAGE_1_old!$S$29)=0,"",SUMIFS(RES_CNXL_SQL_3!$F:$F,RES_CNXL_SQL_3!$A:$A,PAGE_1_old!$R36,RES_CNXL_SQL_3!$D:$D,PAGE_1_old!$S$29))</f>
        <v/>
      </c>
      <c r="E50" s="17" t="str">
        <f>IF(SUMIFS(RES_CNXL_SQL_3!$F:$F,RES_CNXL_SQL_3!$A:$A,PAGE_1_old!$R36,RES_CNXL_SQL_3!$D:$D,PAGE_1_old!$S$30)=0,"",SUMIFS(RES_CNXL_SQL_3!$F:$F,RES_CNXL_SQL_3!$A:$A,PAGE_1_old!$R36,RES_CNXL_SQL_3!$D:$D,PAGE_1_old!$S$30))</f>
        <v/>
      </c>
      <c r="F50" s="17" t="str">
        <f>IF(SUMIFS(RES_CNXL_SQL_3!$F:$F,RES_CNXL_SQL_3!$A:$A,PAGE_1_old!$R36,RES_CNXL_SQL_3!$D:$D,PAGE_1_old!$S$31)=0,"",SUMIFS(RES_CNXL_SQL_3!$F:$F,RES_CNXL_SQL_3!$A:$A,PAGE_1_old!$R36,RES_CNXL_SQL_3!$D:$D,PAGE_1_old!$S$31))</f>
        <v/>
      </c>
      <c r="G50" s="17" t="str">
        <f>IF(SUMIFS(RES_CNXL_SQL_3!$F:$F,RES_CNXL_SQL_3!$A:$A,PAGE_1_old!$R36,RES_CNXL_SQL_3!$D:$D,PAGE_1_old!$S$32)=0,"",SUMIFS(RES_CNXL_SQL_3!$F:$F,RES_CNXL_SQL_3!$A:$A,PAGE_1_old!$R36,RES_CNXL_SQL_3!$D:$D,PAGE_1_old!$S$32))</f>
        <v/>
      </c>
      <c r="H50" s="17" t="str">
        <f>IF(SUMIFS(RES_CNXL_SQL_3!$F:$F,RES_CNXL_SQL_3!$A:$A,PAGE_1_old!$R36,RES_CNXL_SQL_3!$D:$D,PAGE_1_old!$S$33)=0,"",SUMIFS(RES_CNXL_SQL_3!$F:$F,RES_CNXL_SQL_3!$A:$A,PAGE_1_old!$R36,RES_CNXL_SQL_3!$D:$D,PAGE_1_old!$S$33))</f>
        <v/>
      </c>
      <c r="I50" s="17" t="str">
        <f>IF(SUMIFS(RES_CNXL_SQL_3!$F:$F,RES_CNXL_SQL_3!$A:$A,PAGE_1_old!$R36,RES_CNXL_SQL_3!$D:$D,PAGE_1_old!$S$34)=0,"",SUMIFS(RES_CNXL_SQL_3!$F:$F,RES_CNXL_SQL_3!$A:$A,PAGE_1_old!$R36,RES_CNXL_SQL_3!$D:$D,PAGE_1_old!$S$34))</f>
        <v/>
      </c>
      <c r="J50" s="17" t="str">
        <f>IF(SUMIFS(RES_CNXL_SQL_3!$F:$F,RES_CNXL_SQL_3!$A:$A,PAGE_1_old!$R36,RES_CNXL_SQL_3!$D:$D,PAGE_1_old!$S$35)=0,"",SUMIFS(RES_CNXL_SQL_3!$F:$F,RES_CNXL_SQL_3!$A:$A,PAGE_1_old!$R36,RES_CNXL_SQL_3!$D:$D,PAGE_1_old!$S$35))</f>
        <v/>
      </c>
      <c r="K50" s="17" t="str">
        <f>IF(SUMIFS(RES_CNXL_SQL_3!$F:$F,RES_CNXL_SQL_3!$A:$A,PAGE_1_old!$R36,RES_CNXL_SQL_3!$D:$D,PAGE_1_old!$S$36)=0,"",SUMIFS(RES_CNXL_SQL_3!$F:$F,RES_CNXL_SQL_3!$A:$A,PAGE_1_old!$R36,RES_CNXL_SQL_3!$D:$D,PAGE_1_old!$S$36))</f>
        <v/>
      </c>
      <c r="L50" s="17" t="str">
        <f>IF(SUMIFS(RES_CNXL_SQL_3!$F:$F,RES_CNXL_SQL_3!$A:$A,PAGE_1_old!$R36,RES_CNXL_SQL_3!$D:$D,PAGE_1_old!$S$37)=0,"",SUMIFS(RES_CNXL_SQL_3!$F:$F,RES_CNXL_SQL_3!$A:$A,PAGE_1_old!$R36,RES_CNXL_SQL_3!$D:$D,PAGE_1_old!$S$37))</f>
        <v/>
      </c>
      <c r="M50" s="18" t="str">
        <f t="shared" si="2"/>
        <v/>
      </c>
      <c r="N50" s="18" t="str">
        <f>ES_MATRIX!K21</f>
        <v/>
      </c>
      <c r="O50" s="18" t="str">
        <f>IFERROR(M50-ES_MATRIX!L21,"")</f>
        <v/>
      </c>
      <c r="P50" s="16" t="str">
        <f>IF(SUMIF(RES_CNXL_SQL_3!$E:$E,PAGE_1_old!R36,RES_CNXL_SQL_3!$F:$F)=0,"",SUMIF(RES_CNXL_SQL_3!$E:$E,PAGE_1_old!R36,RES_CNXL_SQL_3!$F:$F))</f>
        <v/>
      </c>
    </row>
    <row r="51" spans="2:16" ht="13.5" thickBot="1" x14ac:dyDescent="0.35">
      <c r="B51" s="65" t="s">
        <v>47</v>
      </c>
      <c r="C51" s="79">
        <f>SUM(C43:C50)</f>
        <v>1973</v>
      </c>
      <c r="D51" s="22" t="str">
        <f>IF(SUM(D43:D50)=0,"",SUM(D43:D50))</f>
        <v/>
      </c>
      <c r="E51" s="22" t="str">
        <f t="shared" ref="E51:L51" si="3">IF(SUM(E43:E50)=0,"",SUM(E43:E50))</f>
        <v/>
      </c>
      <c r="F51" s="22" t="str">
        <f t="shared" si="3"/>
        <v/>
      </c>
      <c r="G51" s="22" t="str">
        <f t="shared" si="3"/>
        <v/>
      </c>
      <c r="H51" s="22" t="str">
        <f t="shared" si="3"/>
        <v/>
      </c>
      <c r="I51" s="22" t="str">
        <f t="shared" si="3"/>
        <v/>
      </c>
      <c r="J51" s="22" t="str">
        <f t="shared" si="3"/>
        <v/>
      </c>
      <c r="K51" s="22" t="str">
        <f t="shared" si="3"/>
        <v/>
      </c>
      <c r="L51" s="22" t="str">
        <f t="shared" si="3"/>
        <v/>
      </c>
      <c r="M51" s="23">
        <f>SUM(M43:M50)</f>
        <v>0</v>
      </c>
      <c r="N51" s="23"/>
      <c r="O51" s="23">
        <f>SUM(O43:O50)</f>
        <v>0</v>
      </c>
      <c r="P51" s="23">
        <f>SUM(P43:P50)</f>
        <v>0</v>
      </c>
    </row>
    <row r="52" spans="2:16" ht="21" customHeight="1" x14ac:dyDescent="0.3">
      <c r="C52" s="66"/>
    </row>
  </sheetData>
  <mergeCells count="6">
    <mergeCell ref="B41:P41"/>
    <mergeCell ref="B2:C2"/>
    <mergeCell ref="D2:E2"/>
    <mergeCell ref="B4:H4"/>
    <mergeCell ref="B27:P27"/>
    <mergeCell ref="B16:K16"/>
  </mergeCells>
  <conditionalFormatting sqref="D8">
    <cfRule type="iconSet" priority="134">
      <iconSet>
        <cfvo type="percent" val="0"/>
        <cfvo type="num" val="$E$8"/>
        <cfvo type="num" val="$E$8"/>
      </iconSet>
    </cfRule>
  </conditionalFormatting>
  <conditionalFormatting sqref="D6">
    <cfRule type="iconSet" priority="138">
      <iconSet>
        <cfvo type="percent" val="0"/>
        <cfvo type="num" val="$E$6"/>
        <cfvo type="num" val="$E$6"/>
      </iconSet>
    </cfRule>
  </conditionalFormatting>
  <conditionalFormatting sqref="C7">
    <cfRule type="iconSet" priority="128">
      <iconSet>
        <cfvo type="percent" val="0"/>
        <cfvo type="num" val="$E$7"/>
        <cfvo type="num" val="$E$7"/>
      </iconSet>
    </cfRule>
  </conditionalFormatting>
  <conditionalFormatting sqref="C8">
    <cfRule type="iconSet" priority="127">
      <iconSet>
        <cfvo type="percent" val="0"/>
        <cfvo type="num" val="$E$8"/>
        <cfvo type="num" val="$E$8"/>
      </iconSet>
    </cfRule>
  </conditionalFormatting>
  <conditionalFormatting sqref="C9">
    <cfRule type="iconSet" priority="126">
      <iconSet>
        <cfvo type="percent" val="0"/>
        <cfvo type="num" val="$E$9"/>
        <cfvo type="num" val="$E$9"/>
      </iconSet>
    </cfRule>
  </conditionalFormatting>
  <conditionalFormatting sqref="C10">
    <cfRule type="iconSet" priority="125">
      <iconSet>
        <cfvo type="percent" val="0"/>
        <cfvo type="num" val="$E$10"/>
        <cfvo type="num" val="$E$10"/>
      </iconSet>
    </cfRule>
  </conditionalFormatting>
  <conditionalFormatting sqref="C11">
    <cfRule type="iconSet" priority="124">
      <iconSet>
        <cfvo type="percent" val="0"/>
        <cfvo type="num" val="$E$11"/>
        <cfvo type="num" val="$E$11"/>
      </iconSet>
    </cfRule>
  </conditionalFormatting>
  <conditionalFormatting sqref="D7">
    <cfRule type="iconSet" priority="123">
      <iconSet>
        <cfvo type="percent" val="0"/>
        <cfvo type="num" val="$E$7"/>
        <cfvo type="num" val="$E$7"/>
      </iconSet>
    </cfRule>
  </conditionalFormatting>
  <conditionalFormatting sqref="D9">
    <cfRule type="iconSet" priority="122">
      <iconSet>
        <cfvo type="percent" val="0"/>
        <cfvo type="num" val="$E$9"/>
        <cfvo type="num" val="$E$9"/>
      </iconSet>
    </cfRule>
  </conditionalFormatting>
  <conditionalFormatting sqref="D10">
    <cfRule type="iconSet" priority="121">
      <iconSet>
        <cfvo type="percent" val="0"/>
        <cfvo type="num" val="$E$10"/>
        <cfvo type="num" val="$E$10"/>
      </iconSet>
    </cfRule>
  </conditionalFormatting>
  <conditionalFormatting sqref="D11">
    <cfRule type="iconSet" priority="120">
      <iconSet>
        <cfvo type="percent" val="0"/>
        <cfvo type="num" val="$E$11"/>
        <cfvo type="num" val="$E$11"/>
      </iconSet>
    </cfRule>
  </conditionalFormatting>
  <conditionalFormatting sqref="D29:D36">
    <cfRule type="top10" dxfId="101" priority="119" rank="1"/>
  </conditionalFormatting>
  <conditionalFormatting sqref="E29:E36">
    <cfRule type="top10" dxfId="100" priority="118" rank="1"/>
  </conditionalFormatting>
  <conditionalFormatting sqref="F29:F36">
    <cfRule type="top10" dxfId="99" priority="117" rank="1"/>
  </conditionalFormatting>
  <conditionalFormatting sqref="G29:G36">
    <cfRule type="top10" dxfId="98" priority="116" rank="1"/>
  </conditionalFormatting>
  <conditionalFormatting sqref="H29:H36">
    <cfRule type="top10" dxfId="97" priority="115" rank="1"/>
  </conditionalFormatting>
  <conditionalFormatting sqref="I29:I36">
    <cfRule type="top10" dxfId="96" priority="114" rank="1"/>
  </conditionalFormatting>
  <conditionalFormatting sqref="J29:J36">
    <cfRule type="top10" dxfId="95" priority="113" rank="1"/>
  </conditionalFormatting>
  <conditionalFormatting sqref="K29:K36">
    <cfRule type="top10" dxfId="94" priority="112" rank="1"/>
  </conditionalFormatting>
  <conditionalFormatting sqref="L29:L36">
    <cfRule type="top10" dxfId="93" priority="111" rank="1"/>
  </conditionalFormatting>
  <conditionalFormatting sqref="D43:D50">
    <cfRule type="top10" dxfId="92" priority="110" rank="1"/>
  </conditionalFormatting>
  <conditionalFormatting sqref="E43:E50">
    <cfRule type="top10" dxfId="91" priority="109" rank="1"/>
  </conditionalFormatting>
  <conditionalFormatting sqref="F43:F50">
    <cfRule type="top10" dxfId="90" priority="108" rank="1"/>
  </conditionalFormatting>
  <conditionalFormatting sqref="G43:G50">
    <cfRule type="top10" dxfId="89" priority="107" rank="1"/>
  </conditionalFormatting>
  <conditionalFormatting sqref="H43:H50">
    <cfRule type="top10" dxfId="88" priority="106" rank="1"/>
  </conditionalFormatting>
  <conditionalFormatting sqref="I43:I50">
    <cfRule type="top10" dxfId="87" priority="105" rank="1"/>
  </conditionalFormatting>
  <conditionalFormatting sqref="J43:J50">
    <cfRule type="top10" dxfId="86" priority="104" rank="1"/>
  </conditionalFormatting>
  <conditionalFormatting sqref="K43:K50">
    <cfRule type="top10" dxfId="85" priority="103" rank="1"/>
  </conditionalFormatting>
  <conditionalFormatting sqref="L43:L50">
    <cfRule type="top10" dxfId="84" priority="102" rank="1"/>
  </conditionalFormatting>
  <conditionalFormatting sqref="F6">
    <cfRule type="cellIs" dxfId="83" priority="94" operator="greaterThan">
      <formula>0</formula>
    </cfRule>
    <cfRule type="cellIs" dxfId="82" priority="97" operator="lessThan">
      <formula>0</formula>
    </cfRule>
  </conditionalFormatting>
  <conditionalFormatting sqref="F7">
    <cfRule type="cellIs" dxfId="81" priority="96" operator="lessThan">
      <formula>0</formula>
    </cfRule>
  </conditionalFormatting>
  <conditionalFormatting sqref="G6">
    <cfRule type="cellIs" dxfId="80" priority="91" operator="greaterThan">
      <formula>0</formula>
    </cfRule>
    <cfRule type="cellIs" dxfId="79" priority="92" operator="greaterThan">
      <formula>0</formula>
    </cfRule>
    <cfRule type="cellIs" dxfId="78" priority="93" operator="lessThan">
      <formula>0</formula>
    </cfRule>
  </conditionalFormatting>
  <conditionalFormatting sqref="G7">
    <cfRule type="cellIs" dxfId="77" priority="88" operator="greaterThan">
      <formula>0</formula>
    </cfRule>
    <cfRule type="cellIs" dxfId="76" priority="89" operator="greaterThan">
      <formula>0</formula>
    </cfRule>
    <cfRule type="cellIs" dxfId="75" priority="90" operator="lessThan">
      <formula>0</formula>
    </cfRule>
  </conditionalFormatting>
  <conditionalFormatting sqref="G8">
    <cfRule type="cellIs" dxfId="74" priority="85" operator="greaterThan">
      <formula>0</formula>
    </cfRule>
    <cfRule type="cellIs" dxfId="73" priority="86" operator="greaterThan">
      <formula>0</formula>
    </cfRule>
    <cfRule type="cellIs" dxfId="72" priority="87" operator="lessThan">
      <formula>0</formula>
    </cfRule>
  </conditionalFormatting>
  <conditionalFormatting sqref="F8">
    <cfRule type="cellIs" dxfId="71" priority="82" operator="greaterThan">
      <formula>0</formula>
    </cfRule>
    <cfRule type="cellIs" dxfId="70" priority="83" operator="greaterThan">
      <formula>0</formula>
    </cfRule>
    <cfRule type="cellIs" dxfId="69" priority="84" operator="lessThan">
      <formula>0</formula>
    </cfRule>
  </conditionalFormatting>
  <pageMargins left="1" right="1" top="1" bottom="1" header="0.5" footer="0.5"/>
  <pageSetup scale="52" orientation="landscape" r:id="rId1"/>
  <legacyDrawing r:id="rId2"/>
  <webPublishItems count="3">
    <webPublishItem id="25303" divId="0745_UAX_WB_25303" sourceType="printArea" destinationFile="D:\Users\Nikita\Py\745_UAX_Report\HTML\PAGE_1.htm"/>
    <webPublishItem id="23073" divId="0745_UAX_WB_23073" sourceType="printArea" destinationFile="D:\Users\Nikita\Py\745_UAX_Report\HTML\PAGE_1.htm"/>
    <webPublishItem id="30823" divId="0745_UAX_WB_30823" sourceType="printArea" destinationFile="D:\Users\Nikita\Py\745_UAX_Report\HTML\PAGE_1.htm"/>
  </webPublishItem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37" id="{58E83B9C-EC46-4EE0-B9B4-F80A01719DEE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H6</xm:sqref>
        </x14:conditionalFormatting>
        <x14:conditionalFormatting xmlns:xm="http://schemas.microsoft.com/office/excel/2006/main">
          <x14:cfRule type="iconSet" priority="139" id="{83FEEA21-879E-4243-8006-68E2D2617E3B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C6</xm:sqref>
        </x14:conditionalFormatting>
        <x14:conditionalFormatting xmlns:xm="http://schemas.microsoft.com/office/excel/2006/main">
          <x14:cfRule type="iconSet" priority="131" id="{BE5D1021-D1A8-4407-8CCE-3451BDF981B0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H7</xm:sqref>
        </x14:conditionalFormatting>
        <x14:conditionalFormatting xmlns:xm="http://schemas.microsoft.com/office/excel/2006/main">
          <x14:cfRule type="iconSet" priority="130" id="{D7FB0766-62B1-47EA-ABE0-B7F766A037AE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H8</xm:sqref>
        </x14:conditionalFormatting>
        <x14:conditionalFormatting xmlns:xm="http://schemas.microsoft.com/office/excel/2006/main">
          <x14:cfRule type="iconSet" priority="48" id="{CB2DEA0E-68C9-41D7-9C71-3E7FAED9B0E0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C18:D24</xm:sqref>
        </x14:conditionalFormatting>
        <x14:conditionalFormatting xmlns:xm="http://schemas.microsoft.com/office/excel/2006/main">
          <x14:cfRule type="iconSet" priority="19" id="{42079A2D-6A38-45A2-9EBB-7E2C2769A674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H18:H24</xm:sqref>
        </x14:conditionalFormatting>
        <x14:conditionalFormatting xmlns:xm="http://schemas.microsoft.com/office/excel/2006/main">
          <x14:cfRule type="iconSet" priority="14" id="{8757A105-298F-4AA8-AAD9-B3AD2435EE0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K18</xm:sqref>
        </x14:conditionalFormatting>
        <x14:conditionalFormatting xmlns:xm="http://schemas.microsoft.com/office/excel/2006/main">
          <x14:cfRule type="iconSet" priority="13" id="{FFACF3A7-34C5-4124-9ADB-18AA032F736E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G18</xm:sqref>
        </x14:conditionalFormatting>
        <x14:conditionalFormatting xmlns:xm="http://schemas.microsoft.com/office/excel/2006/main">
          <x14:cfRule type="iconSet" priority="12" id="{D6101ACA-1E53-40B3-BFAF-CDE8A5598534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K19</xm:sqref>
        </x14:conditionalFormatting>
        <x14:conditionalFormatting xmlns:xm="http://schemas.microsoft.com/office/excel/2006/main">
          <x14:cfRule type="iconSet" priority="11" id="{83498C20-AF7D-4466-83AA-D652A3D37813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K20</xm:sqref>
        </x14:conditionalFormatting>
        <x14:conditionalFormatting xmlns:xm="http://schemas.microsoft.com/office/excel/2006/main">
          <x14:cfRule type="iconSet" priority="10" id="{08A7058E-E64D-49C0-B123-6E1F48796931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K21</xm:sqref>
        </x14:conditionalFormatting>
        <x14:conditionalFormatting xmlns:xm="http://schemas.microsoft.com/office/excel/2006/main">
          <x14:cfRule type="iconSet" priority="9" id="{868D08E8-9E70-4BC8-B15F-9D31E5F62306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K22</xm:sqref>
        </x14:conditionalFormatting>
        <x14:conditionalFormatting xmlns:xm="http://schemas.microsoft.com/office/excel/2006/main">
          <x14:cfRule type="iconSet" priority="8" id="{AEC980C0-7C93-49B7-9A3E-A18B6AA1B402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K23</xm:sqref>
        </x14:conditionalFormatting>
        <x14:conditionalFormatting xmlns:xm="http://schemas.microsoft.com/office/excel/2006/main">
          <x14:cfRule type="iconSet" priority="7" id="{EFA4A0A0-18C5-4D28-9254-4D1397064819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K24</xm:sqref>
        </x14:conditionalFormatting>
        <x14:conditionalFormatting xmlns:xm="http://schemas.microsoft.com/office/excel/2006/main">
          <x14:cfRule type="iconSet" priority="6" id="{63272628-C660-4364-AD57-045890C4F806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G19</xm:sqref>
        </x14:conditionalFormatting>
        <x14:conditionalFormatting xmlns:xm="http://schemas.microsoft.com/office/excel/2006/main">
          <x14:cfRule type="iconSet" priority="5" id="{182085D8-B461-4F19-83FB-B2717F8AEB7B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G20</xm:sqref>
        </x14:conditionalFormatting>
        <x14:conditionalFormatting xmlns:xm="http://schemas.microsoft.com/office/excel/2006/main">
          <x14:cfRule type="iconSet" priority="4" id="{8E169DAF-A546-481A-959F-F5D80DF7A3D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G21</xm:sqref>
        </x14:conditionalFormatting>
        <x14:conditionalFormatting xmlns:xm="http://schemas.microsoft.com/office/excel/2006/main">
          <x14:cfRule type="iconSet" priority="3" id="{FC06DD28-F782-450E-A384-C6A843B8EA2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G22</xm:sqref>
        </x14:conditionalFormatting>
        <x14:conditionalFormatting xmlns:xm="http://schemas.microsoft.com/office/excel/2006/main">
          <x14:cfRule type="iconSet" priority="2" id="{E49A56CF-8A31-470E-8B72-A4D4955AEEAB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G23</xm:sqref>
        </x14:conditionalFormatting>
        <x14:conditionalFormatting xmlns:xm="http://schemas.microsoft.com/office/excel/2006/main">
          <x14:cfRule type="iconSet" priority="1" id="{41765903-2DED-487E-A07C-2EBBF3C9D147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0">
    <pageSetUpPr fitToPage="1"/>
  </sheetPr>
  <dimension ref="A1:U32"/>
  <sheetViews>
    <sheetView workbookViewId="0">
      <selection activeCell="D13" sqref="D13"/>
    </sheetView>
  </sheetViews>
  <sheetFormatPr defaultRowHeight="14.5" x14ac:dyDescent="0.35"/>
  <cols>
    <col min="1" max="1" width="12.7265625" style="138" customWidth="1"/>
    <col min="2" max="2" width="18.1796875" customWidth="1"/>
    <col min="3" max="3" width="2.81640625" hidden="1" customWidth="1"/>
    <col min="4" max="4" width="35.7265625" customWidth="1"/>
    <col min="6" max="6" width="11.1796875" customWidth="1"/>
    <col min="16" max="16" width="9.7265625" bestFit="1" customWidth="1"/>
  </cols>
  <sheetData>
    <row r="1" spans="2:21" ht="21" x14ac:dyDescent="0.35">
      <c r="B1" s="297" t="s">
        <v>111</v>
      </c>
      <c r="C1" s="298"/>
      <c r="D1" s="298"/>
      <c r="E1" s="298"/>
      <c r="F1" s="298"/>
      <c r="G1" s="298"/>
      <c r="H1" s="298"/>
      <c r="I1" s="298"/>
      <c r="J1" s="298"/>
      <c r="K1" s="298"/>
      <c r="L1" s="299"/>
      <c r="M1" s="138"/>
    </row>
    <row r="2" spans="2:21" ht="21" x14ac:dyDescent="0.35">
      <c r="B2" s="239"/>
      <c r="C2" s="136"/>
      <c r="D2" s="136"/>
      <c r="E2" s="136"/>
      <c r="F2" s="136"/>
      <c r="G2" s="136"/>
      <c r="H2" s="136"/>
      <c r="I2" s="136"/>
      <c r="J2" s="136"/>
      <c r="K2" s="136"/>
      <c r="L2" s="234"/>
      <c r="M2" s="138"/>
      <c r="R2" t="s">
        <v>112</v>
      </c>
      <c r="S2" t="s">
        <v>113</v>
      </c>
      <c r="T2" t="s">
        <v>114</v>
      </c>
    </row>
    <row r="3" spans="2:21" x14ac:dyDescent="0.35">
      <c r="B3" s="240"/>
      <c r="C3" s="138"/>
      <c r="D3" s="139" t="s">
        <v>115</v>
      </c>
      <c r="E3" s="206" t="s">
        <v>116</v>
      </c>
      <c r="F3" s="206" t="s">
        <v>117</v>
      </c>
      <c r="G3" s="206" t="s">
        <v>3</v>
      </c>
      <c r="H3" s="207">
        <v>2019</v>
      </c>
      <c r="I3" s="206" t="s">
        <v>52</v>
      </c>
      <c r="J3" s="206" t="s">
        <v>53</v>
      </c>
      <c r="K3" s="208" t="s">
        <v>7</v>
      </c>
      <c r="L3" s="235"/>
      <c r="M3" s="138"/>
      <c r="P3" s="52">
        <f ca="1">TODAY()</f>
        <v>45972</v>
      </c>
      <c r="R3" s="188">
        <f>$G$7</f>
        <v>6.2725088200945203E-2</v>
      </c>
      <c r="S3" s="249">
        <f>OA_SeatCnxl!B2</f>
        <v>6.5710321193525696E-3</v>
      </c>
      <c r="T3" s="249">
        <f>OA_SeatCnxl!B3</f>
        <v>8.7616328436065395E-4</v>
      </c>
      <c r="U3">
        <f>RANK(R3,R3:T3,1)</f>
        <v>3</v>
      </c>
    </row>
    <row r="4" spans="2:21" x14ac:dyDescent="0.35">
      <c r="B4" s="240"/>
      <c r="C4" s="138"/>
      <c r="D4" s="138"/>
      <c r="E4" s="209"/>
      <c r="F4" s="209"/>
      <c r="G4" s="209"/>
      <c r="H4" s="210"/>
      <c r="I4" s="209"/>
      <c r="J4" s="209"/>
      <c r="K4" s="211"/>
      <c r="L4" s="235"/>
      <c r="M4" s="138"/>
      <c r="P4">
        <f ca="1">DAY(P3)</f>
        <v>11</v>
      </c>
    </row>
    <row r="5" spans="2:21" x14ac:dyDescent="0.35">
      <c r="B5" s="300" t="s">
        <v>118</v>
      </c>
      <c r="C5" s="138"/>
      <c r="D5" s="141" t="s">
        <v>119</v>
      </c>
      <c r="E5" s="220">
        <f>UA_SQL_1!$O$2/UA_SQL_1!$N$2</f>
        <v>6.5889508362899137E-3</v>
      </c>
      <c r="F5" s="220">
        <f>UA_L7D!$F$2/UA_L7D!$E$2</f>
        <v>1.4378145219266714E-2</v>
      </c>
      <c r="G5" s="220">
        <f>UA_SQL_1!$F$2/UA_SQL_1!$E$2</f>
        <v>9.4560244026436202E-3</v>
      </c>
      <c r="H5" s="261">
        <f>UA_SQL_1_2019!$F$2/UA_SQL_1_2019!$E$2</f>
        <v>2.1610978231982797E-2</v>
      </c>
      <c r="I5" s="267">
        <f>(G5-RANK!$Q$2)*100</f>
        <v>0.85939554371264049</v>
      </c>
      <c r="J5" s="267">
        <f>($G$5-RANK!$R$2)*100</f>
        <v>0.29616011356663752</v>
      </c>
      <c r="K5" s="213">
        <f>RANK!$T$2</f>
        <v>3</v>
      </c>
      <c r="L5" s="235"/>
      <c r="M5" s="138"/>
    </row>
    <row r="6" spans="2:21" x14ac:dyDescent="0.35">
      <c r="B6" s="300"/>
      <c r="C6" s="138"/>
      <c r="D6" s="141" t="s">
        <v>120</v>
      </c>
      <c r="E6" s="220">
        <f>(UA_SQL_1!$V$2)/UA_SQL_1!$N$2</f>
        <v>0</v>
      </c>
      <c r="F6" s="261">
        <f>(UA_L7D!$M$2)/UA_L7D!$E$2</f>
        <v>7.1890726096333576E-5</v>
      </c>
      <c r="G6" s="220">
        <f>(UA_SQL_1!$M$2)/UA_SQL_1!$E$2</f>
        <v>1.0167768174885612E-4</v>
      </c>
      <c r="H6" s="261">
        <f>(UA_SQL_1_2019!$M$2)/UA_SQL_1_2019!$E$2</f>
        <v>2.0898262907395326E-3</v>
      </c>
      <c r="I6" s="267" t="str">
        <f>"-"</f>
        <v>-</v>
      </c>
      <c r="J6" s="267" t="str">
        <f>"-"</f>
        <v>-</v>
      </c>
      <c r="K6" s="212" t="str">
        <f>"-"</f>
        <v>-</v>
      </c>
      <c r="L6" s="235"/>
      <c r="M6" s="138"/>
    </row>
    <row r="7" spans="2:21" x14ac:dyDescent="0.35">
      <c r="B7" s="300"/>
      <c r="C7" s="138"/>
      <c r="D7" s="141" t="s">
        <v>121</v>
      </c>
      <c r="E7" s="262">
        <f>UA_Seat_cancels!B2</f>
        <v>6.9530671742118605E-2</v>
      </c>
      <c r="F7" s="263">
        <f>UA_Seat_cancels!C2</f>
        <v>5.2787485438508898E-2</v>
      </c>
      <c r="G7" s="220">
        <f>UA_Seat_cancels!A2</f>
        <v>6.2725088200945203E-2</v>
      </c>
      <c r="H7" s="261">
        <f>UA_SeatCnxl_2019!$B$2</f>
        <v>2.52143936637877E-2</v>
      </c>
      <c r="I7" s="267">
        <f>($G$7-OA_SeatCnxl!$B$3)*100</f>
        <v>6.1848924916584549</v>
      </c>
      <c r="J7" s="267">
        <f>($G$7-OA_SeatCnxl!$B$2)*100</f>
        <v>5.6154056081592634</v>
      </c>
      <c r="K7" s="257">
        <f>U3</f>
        <v>3</v>
      </c>
      <c r="L7" s="235"/>
      <c r="M7" s="138"/>
    </row>
    <row r="8" spans="2:21" x14ac:dyDescent="0.35">
      <c r="B8" s="300"/>
      <c r="C8" s="138"/>
      <c r="D8" s="141" t="s">
        <v>122</v>
      </c>
      <c r="E8" s="264">
        <f>UA_SQL_1!$R$2/UA_SQL_1!$N$2</f>
        <v>0.66953877344145973</v>
      </c>
      <c r="F8" s="261">
        <f>UA_L7D!$I$2/UA_L7D!$E$2</f>
        <v>0.63752695902228618</v>
      </c>
      <c r="G8" s="220">
        <f>UA_SQL_1!$I$2/UA_SQL_1!$E$2</f>
        <v>0.66446365022877474</v>
      </c>
      <c r="H8" s="261">
        <f>UA_SQL_1_2019!$I$2/UA_SQL_1_2019!$E$2</f>
        <v>0.66800753787055156</v>
      </c>
      <c r="I8" s="267">
        <f>(RANK!$P$3-RANK!Q3)*100</f>
        <v>-7.605359115053556</v>
      </c>
      <c r="J8" s="267">
        <f>(RANK!$P$3-RANK!R3)*100</f>
        <v>-5.2181838970717038</v>
      </c>
      <c r="K8" s="213">
        <f>RANK!$T$3</f>
        <v>3</v>
      </c>
      <c r="L8" s="235"/>
      <c r="M8" s="138"/>
    </row>
    <row r="9" spans="2:21" x14ac:dyDescent="0.35">
      <c r="B9" s="300"/>
      <c r="C9" s="138"/>
      <c r="D9" s="141" t="s">
        <v>123</v>
      </c>
      <c r="E9" s="262">
        <f>UA_SQL_1!$S$2/UA_SQL_1!$N$2</f>
        <v>0.80739989863152561</v>
      </c>
      <c r="F9" s="261">
        <f>UA_L7D!$J$2/UA_L7D!$E$2</f>
        <v>0.78641265276779293</v>
      </c>
      <c r="G9" s="220">
        <f>UA_SQL_1!$J$2/UA_SQL_1!$E$2</f>
        <v>0.81169293340111848</v>
      </c>
      <c r="H9" s="261">
        <f>UA_SQL_1_2019!$J$2/UA_SQL_1_2019!$E$2</f>
        <v>0.79350583460172497</v>
      </c>
      <c r="I9" s="267">
        <f>(RANK!$P$5-RANK!Q5)*100</f>
        <v>-3.4735638027452942</v>
      </c>
      <c r="J9" s="267">
        <f>(RANK!$P$5-RANK!R5)*100</f>
        <v>-2.4181695993205965</v>
      </c>
      <c r="K9" s="213">
        <f>RANK!T5</f>
        <v>3</v>
      </c>
      <c r="L9" s="235"/>
      <c r="M9" s="138"/>
    </row>
    <row r="10" spans="2:21" x14ac:dyDescent="0.35">
      <c r="B10" s="300"/>
      <c r="C10" s="138"/>
      <c r="D10" s="141" t="s">
        <v>124</v>
      </c>
      <c r="E10" s="264">
        <f>(UA_SQL_1!$Q$2/UA_SQL_1!$N$2)</f>
        <v>0.78003041054232136</v>
      </c>
      <c r="F10" s="261">
        <f>UA_L7D!$H$2/UA_L7D!$E$2</f>
        <v>0.74665708123652053</v>
      </c>
      <c r="G10" s="220">
        <f>UA_SQL_1!$H$2/UA_SQL_1!$E$2</f>
        <v>0.76817488561260805</v>
      </c>
      <c r="H10" s="261">
        <f>UA_SQL_1_2019!$H$2/UA_SQL_1_2019!$E$2</f>
        <v>0.73152376120412654</v>
      </c>
      <c r="I10" s="267">
        <f>(RANK!$P$4-RANK!Q4)*100</f>
        <v>-1.7293094682958476</v>
      </c>
      <c r="J10" s="267">
        <f>(RANK!$P$4-RANK!R4)*100</f>
        <v>0.50095601855291161</v>
      </c>
      <c r="K10" s="213">
        <f>RANK!$T$4</f>
        <v>2</v>
      </c>
      <c r="L10" s="235"/>
      <c r="M10" s="138"/>
    </row>
    <row r="11" spans="2:21" x14ac:dyDescent="0.35">
      <c r="B11" s="300"/>
      <c r="C11" s="138"/>
      <c r="D11" s="141" t="s">
        <v>125</v>
      </c>
      <c r="E11" s="262">
        <f>UA_SQL_1!$P$2/UA_SQL_1!$N$2</f>
        <v>0.75620881905727322</v>
      </c>
      <c r="F11" s="261">
        <f>UA_L7D!$G$2/UA_L7D!$E$2</f>
        <v>0.7182602444284687</v>
      </c>
      <c r="G11" s="220">
        <f>UA_SQL_1!$G$2/UA_SQL_1!$E$2</f>
        <v>0.74082358922216573</v>
      </c>
      <c r="H11" s="261">
        <f>UA_SQL_1_2019!$G$2/UA_SQL_1_2019!$E$2</f>
        <v>0.7266797129810828</v>
      </c>
      <c r="I11" s="214"/>
      <c r="J11" s="215"/>
      <c r="K11" s="168"/>
      <c r="L11" s="235"/>
      <c r="M11" s="138"/>
    </row>
    <row r="12" spans="2:21" x14ac:dyDescent="0.35">
      <c r="B12" s="300"/>
      <c r="C12" s="138"/>
      <c r="D12" s="141" t="s">
        <v>126</v>
      </c>
      <c r="E12" s="264">
        <f>UA_SQL_1!$U$2/UA_SQL_1!$T$2</f>
        <v>0.85897435897435892</v>
      </c>
      <c r="F12" s="261">
        <f>UA_L7D!$L$2/UA_L7D!$K$2</f>
        <v>0.88242651657285809</v>
      </c>
      <c r="G12" s="220">
        <f>UA_SQL_1!$L$2/UA_SQL_1!$K$2</f>
        <v>0.88242651657285809</v>
      </c>
      <c r="H12" s="261">
        <f>UA_SQL_1_2019!$L$2/UA_SQL_1_2019!$K$2</f>
        <v>0.85815344224037338</v>
      </c>
      <c r="I12" s="216"/>
      <c r="J12" s="168"/>
      <c r="K12" s="168"/>
      <c r="L12" s="235"/>
      <c r="M12" s="138"/>
    </row>
    <row r="13" spans="2:21" x14ac:dyDescent="0.35">
      <c r="B13" s="240"/>
      <c r="C13" s="138"/>
      <c r="D13" s="143"/>
      <c r="E13" s="265"/>
      <c r="F13" s="265"/>
      <c r="G13" s="265"/>
      <c r="H13" s="266"/>
      <c r="I13" s="218"/>
      <c r="J13" s="219"/>
      <c r="K13" s="219"/>
      <c r="L13" s="235"/>
      <c r="M13" s="138"/>
      <c r="P13" t="str">
        <f>"2019"</f>
        <v>2019</v>
      </c>
    </row>
    <row r="14" spans="2:21" x14ac:dyDescent="0.35">
      <c r="B14" s="301" t="s">
        <v>127</v>
      </c>
      <c r="C14" s="144"/>
      <c r="D14" s="141" t="s">
        <v>128</v>
      </c>
      <c r="E14" s="220">
        <f>IFERROR(VLOOKUP("YEST",Delays_Info!$A:$R,14,0)/100,"-")</f>
        <v>8.4642676127724206E-2</v>
      </c>
      <c r="F14" s="220">
        <f>IFERROR(VLOOKUP("L7D",Delays_Info!$A:$R,14,0)/100,"-")</f>
        <v>0.10337886412652701</v>
      </c>
      <c r="G14" s="220">
        <f>IFERROR(VLOOKUP("MTD",Delays_Info!$A:$R,14,0)/100,"-")</f>
        <v>0.10310116929334001</v>
      </c>
      <c r="H14" s="220">
        <f>Delays_Info!$N$5/100</f>
        <v>7.8662168951410302E-2</v>
      </c>
      <c r="I14" s="218"/>
      <c r="J14" s="219"/>
      <c r="K14" s="219"/>
      <c r="L14" s="235"/>
      <c r="M14" s="138"/>
    </row>
    <row r="15" spans="2:21" x14ac:dyDescent="0.35">
      <c r="B15" s="301"/>
      <c r="C15" s="144"/>
      <c r="D15" s="141" t="s">
        <v>129</v>
      </c>
      <c r="E15" s="220">
        <f>IFERROR(VLOOKUP("YEST",Delays_Info!$A$1:$R$5,15,0)/100,"-")</f>
        <v>0.15255955397871199</v>
      </c>
      <c r="F15" s="220">
        <f>IFERROR(VLOOKUP("L7D",Delays_Info!$A$1:$R$5,15,0)/100,"-")</f>
        <v>0.16383896477354401</v>
      </c>
      <c r="G15" s="220">
        <f>IFERROR(VLOOKUP("MTD",Delays_Info!$A$1:$R$5,15,0)/100,"-")</f>
        <v>0.14661921708185</v>
      </c>
      <c r="H15" s="220">
        <f>Delays_Info!$O5/100</f>
        <v>0.13895069260030099</v>
      </c>
      <c r="I15" s="218"/>
      <c r="J15" s="219"/>
      <c r="K15" s="219"/>
      <c r="L15" s="235"/>
      <c r="M15" s="138"/>
    </row>
    <row r="16" spans="2:21" x14ac:dyDescent="0.35">
      <c r="B16" s="301"/>
      <c r="C16" s="144"/>
      <c r="D16" s="141" t="s">
        <v>130</v>
      </c>
      <c r="E16" s="220">
        <f>IFERROR(VLOOKUP("YEST",Delays_Info!$A$1:$R$5,17,0)/100,"-")</f>
        <v>1.9766852508869698E-2</v>
      </c>
      <c r="F16" s="220">
        <f>IFERROR(VLOOKUP("L7D",Delays_Info!$A$1:$R$5,17,0)/100,"-")</f>
        <v>2.5233644859813002E-2</v>
      </c>
      <c r="G16" s="220">
        <f>IFERROR(VLOOKUP("MTD",Delays_Info!$A$1:$R$5,17,0)/100,"-")</f>
        <v>2.4504321301474299E-2</v>
      </c>
      <c r="H16" s="220">
        <f>Delays_Info!$Q5/100</f>
        <v>3.7249694968779098E-2</v>
      </c>
      <c r="I16" s="221"/>
      <c r="J16" s="219"/>
      <c r="K16" s="219"/>
      <c r="L16" s="235"/>
      <c r="M16" s="138"/>
    </row>
    <row r="17" spans="2:13" x14ac:dyDescent="0.35">
      <c r="B17" s="301"/>
      <c r="C17" s="144"/>
      <c r="D17" s="145" t="s">
        <v>131</v>
      </c>
      <c r="E17" s="220">
        <f>IFERROR(VLOOKUP("YEST",Delays_Info!$A$1:$R$5,7,0)/VLOOKUP("YEST",Delays_Info!$A$1:$R$5,13,0),"-")</f>
        <v>8.6163203243791175E-3</v>
      </c>
      <c r="F17" s="220">
        <f>IFERROR(VLOOKUP("L7D",Delays_Info!$A$1:$R$5,7,0)/VLOOKUP("L7D",Delays_Info!$A$1:$R$5,13,0),"-")</f>
        <v>8.4112149532710283E-3</v>
      </c>
      <c r="G17" s="220">
        <f>IFERROR(VLOOKUP("MTD",Delays_Info!$A$1:$R$5,7,0)/VLOOKUP("MTD",Delays_Info!$A$1:$R$5,13,0),"-")</f>
        <v>7.5241484494153535E-3</v>
      </c>
      <c r="H17" s="220">
        <f>Delays_Info!G$5/Delays_Info!$M$5</f>
        <v>8.5408741835929086E-3</v>
      </c>
      <c r="I17" s="218"/>
      <c r="J17" s="222"/>
      <c r="K17" s="222"/>
      <c r="L17" s="236"/>
      <c r="M17" s="138"/>
    </row>
    <row r="18" spans="2:13" x14ac:dyDescent="0.35">
      <c r="B18" s="301"/>
      <c r="C18" s="144"/>
      <c r="D18" s="145" t="s">
        <v>132</v>
      </c>
      <c r="E18" s="220">
        <f>IFERROR(VLOOKUP("YEST",Delays_Info!$A$1:$R$5,8,0)/VLOOKUP("YEST",Delays_Info!$A$1:$R$5,13,0),"-")</f>
        <v>5.0684237202230106E-4</v>
      </c>
      <c r="F18" s="220">
        <f>IFERROR(VLOOKUP("L7D",Delays_Info!$A$1:$R$5,8,0)/VLOOKUP("L7D",Delays_Info!$A$1:$R$5,13,0),"-")</f>
        <v>4.2415528396836811E-3</v>
      </c>
      <c r="G18" s="220">
        <f>IFERROR(VLOOKUP("MTD",Delays_Info!$A$1:$R$5,8,0)/VLOOKUP("MTD",Delays_Info!$A$1:$R$5,13,0),"-")</f>
        <v>4.7788510421962376E-3</v>
      </c>
      <c r="H18" s="220">
        <f>Delays_Info!H$5/Delays_Info!$M$5</f>
        <v>5.23935979329649E-3</v>
      </c>
      <c r="I18" s="218"/>
      <c r="J18" s="219"/>
      <c r="K18" s="219"/>
      <c r="L18" s="235"/>
      <c r="M18" s="138"/>
    </row>
    <row r="19" spans="2:13" x14ac:dyDescent="0.35">
      <c r="B19" s="301"/>
      <c r="C19" s="144"/>
      <c r="D19" s="145" t="s">
        <v>133</v>
      </c>
      <c r="E19" s="220">
        <f>IFERROR(VLOOKUP("YEST",Delays_Info!$A$1:$R$5,9,0)/VLOOKUP("YEST",Delays_Info!$A$1:$R$5,13,0),"-")</f>
        <v>9.1231626964014198E-3</v>
      </c>
      <c r="F19" s="220">
        <f>IFERROR(VLOOKUP("L7D",Delays_Info!$A$1:$R$5,9,0)/VLOOKUP("L7D",Delays_Info!$A$1:$R$5,13,0),"-")</f>
        <v>8.986340762041696E-3</v>
      </c>
      <c r="G19" s="220">
        <f>IFERROR(VLOOKUP("MTD",Delays_Info!$A$1:$R$5,9,0)/VLOOKUP("MTD",Delays_Info!$A$1:$R$5,13,0),"-")</f>
        <v>8.7442806304016268E-3</v>
      </c>
      <c r="H19" s="220">
        <f>Delays_Info!I$5/Delays_Info!$M$5</f>
        <v>9.9045431708892559E-3</v>
      </c>
      <c r="I19" s="218"/>
      <c r="J19" s="219"/>
      <c r="K19" s="219"/>
      <c r="L19" s="235"/>
      <c r="M19" s="138"/>
    </row>
    <row r="20" spans="2:13" x14ac:dyDescent="0.35">
      <c r="B20" s="301"/>
      <c r="C20" s="144"/>
      <c r="D20" s="146" t="s">
        <v>134</v>
      </c>
      <c r="E20" s="220">
        <f>IFERROR(VLOOKUP("L7D",Delays_Info!$A$1:$R$5,18,0)/100,"-")</f>
        <v>1.0999281092739E-2</v>
      </c>
      <c r="F20" s="220">
        <f>IFERROR(VLOOKUP("YEST",Delays_Info!$A$1:$R$5,18,0)/100,"-")</f>
        <v>6.5889508362899094E-3</v>
      </c>
      <c r="G20" s="220">
        <f>IFERROR(VLOOKUP("MTD",Delays_Info!$A$1:$R$5,18,0)/100,"-")</f>
        <v>8.6426029486527702E-3</v>
      </c>
      <c r="H20" s="220">
        <f>Delays_Info!$R5/100</f>
        <v>1.2273020885667101E-2</v>
      </c>
      <c r="I20" s="218"/>
      <c r="J20" s="219"/>
      <c r="K20" s="219"/>
      <c r="L20" s="235"/>
      <c r="M20" s="138"/>
    </row>
    <row r="21" spans="2:13" x14ac:dyDescent="0.35">
      <c r="B21" s="301"/>
      <c r="C21" s="144"/>
      <c r="D21" s="145" t="s">
        <v>131</v>
      </c>
      <c r="E21" s="220">
        <f>IFERROR(VLOOKUP("YEST",Delays_Info!$A$1:$R$5,10,0)/VLOOKUP("YEST",Delays_Info!$A$1:$R$5,13,0),"-")</f>
        <v>3.0410542321338066E-3</v>
      </c>
      <c r="F21" s="220">
        <f>IFERROR(VLOOKUP("L7D",Delays_Info!$A$1:$R$5,10,0)/VLOOKUP("L7D",Delays_Info!$A$1:$R$5,13,0),"-")</f>
        <v>3.5945363048166786E-3</v>
      </c>
      <c r="G21" s="220">
        <f>IFERROR(VLOOKUP("MTD",Delays_Info!$A$1:$R$5,10,0)/VLOOKUP("MTD",Delays_Info!$A$1:$R$5,13,0),"-")</f>
        <v>2.7452974072191155E-3</v>
      </c>
      <c r="H21" s="220">
        <f>Delays_Info!J$5/Delays_Info!$M$5</f>
        <v>4.8087274815186969E-3</v>
      </c>
      <c r="I21" s="218"/>
      <c r="J21" s="219"/>
      <c r="K21" s="219"/>
      <c r="L21" s="235"/>
      <c r="M21" s="138"/>
    </row>
    <row r="22" spans="2:13" x14ac:dyDescent="0.35">
      <c r="B22" s="301"/>
      <c r="C22" s="144"/>
      <c r="D22" s="145" t="s">
        <v>132</v>
      </c>
      <c r="E22" s="220">
        <f>IFERROR(VLOOKUP("YEST",Delays_Info!$A$1:$R$5,11,0)/VLOOKUP("YEST",Delays_Info!$A$1:$R$5,13,0),"-")</f>
        <v>1.5205271160669033E-3</v>
      </c>
      <c r="F22" s="220">
        <f>IFERROR(VLOOKUP("L7D",Delays_Info!$A$1:$R$5,11,0)/VLOOKUP("L7D",Delays_Info!$A$1:$R$5,13,0),"-")</f>
        <v>3.4507548526240116E-3</v>
      </c>
      <c r="G22" s="220">
        <f>IFERROR(VLOOKUP("MTD",Delays_Info!$A$1:$R$5,11,0)/VLOOKUP("MTD",Delays_Info!$A$1:$R$5,13,0),"-")</f>
        <v>2.4402643619725471E-3</v>
      </c>
      <c r="H22" s="220">
        <f>Delays_Info!K$5/Delays_Info!$M$5</f>
        <v>1.2201248833704156E-3</v>
      </c>
      <c r="I22" s="218"/>
      <c r="J22" s="219"/>
      <c r="K22" s="219"/>
      <c r="L22" s="235"/>
      <c r="M22" s="138"/>
    </row>
    <row r="23" spans="2:13" x14ac:dyDescent="0.35">
      <c r="B23" s="301"/>
      <c r="C23" s="144"/>
      <c r="D23" s="145" t="s">
        <v>133</v>
      </c>
      <c r="E23" s="220">
        <f>IFERROR(VLOOKUP("YEST",Delays_Info!$A$1:$R$5,12,0)/VLOOKUP("YEST",Delays_Info!$A$1:$R$5,13,0),"-")</f>
        <v>2.0273694880892043E-3</v>
      </c>
      <c r="F23" s="220">
        <f>IFERROR(VLOOKUP("L7D",Delays_Info!$A$1:$R$5,12,0)/VLOOKUP("L7D",Delays_Info!$A$1:$R$5,13,0),"-")</f>
        <v>3.9539899352983464E-3</v>
      </c>
      <c r="G23" s="220">
        <f>IFERROR(VLOOKUP("MTD",Delays_Info!$A$1:$R$5,12,0)/VLOOKUP("MTD",Delays_Info!$A$1:$R$5,13,0),"-")</f>
        <v>3.4570411794611084E-3</v>
      </c>
      <c r="H23" s="220">
        <f>Delays_Info!L$5/Delays_Info!$M$5</f>
        <v>6.2441685207780089E-3</v>
      </c>
      <c r="I23" s="218"/>
      <c r="J23" s="219"/>
      <c r="K23" s="219"/>
      <c r="L23" s="235"/>
      <c r="M23" s="138"/>
    </row>
    <row r="24" spans="2:13" x14ac:dyDescent="0.35">
      <c r="B24" s="240"/>
      <c r="C24" s="138"/>
      <c r="D24" s="145"/>
      <c r="E24" s="223"/>
      <c r="F24" s="223"/>
      <c r="G24" s="223"/>
      <c r="H24" s="224"/>
      <c r="I24" s="218"/>
      <c r="J24" s="219"/>
      <c r="K24" s="219"/>
      <c r="L24" s="235"/>
      <c r="M24" s="138"/>
    </row>
    <row r="25" spans="2:13" x14ac:dyDescent="0.35">
      <c r="B25" s="301" t="s">
        <v>135</v>
      </c>
      <c r="C25" s="144"/>
      <c r="D25" s="146"/>
      <c r="E25" s="217"/>
      <c r="F25" s="209"/>
      <c r="G25" s="209"/>
      <c r="H25" s="210"/>
      <c r="I25" s="225"/>
      <c r="J25" s="219"/>
      <c r="K25" s="219"/>
      <c r="L25" s="235"/>
      <c r="M25" s="138"/>
    </row>
    <row r="26" spans="2:13" x14ac:dyDescent="0.35">
      <c r="B26" s="301"/>
      <c r="C26" s="144"/>
      <c r="D26" s="141" t="s">
        <v>63</v>
      </c>
      <c r="E26" s="226">
        <f>VLOOKUP("YEST",TOTAL_DIVERTS_SQL_5!$A$1:$B$3,2,0)</f>
        <v>3</v>
      </c>
      <c r="F26" s="227">
        <f>VLOOKUP("L7D",DIVERTS_SQL_5_2019!$A$1:$B$3,2,0)/7</f>
        <v>2.5714285714285716</v>
      </c>
      <c r="G26" s="227">
        <f ca="1">VLOOKUP("MTD",TOTAL_DIVERTS_SQL_5!$A$1:$B$3,2,0)/$P$4</f>
        <v>0.81818181818181823</v>
      </c>
      <c r="H26" s="227">
        <f ca="1">DIVERTS_SQL_5_2019!$B$2/$P$4</f>
        <v>0.90909090909090906</v>
      </c>
      <c r="I26" s="218"/>
      <c r="J26" s="219"/>
      <c r="K26" s="219"/>
      <c r="L26" s="235"/>
      <c r="M26" s="138"/>
    </row>
    <row r="27" spans="2:13" x14ac:dyDescent="0.35">
      <c r="B27" s="301"/>
      <c r="C27" s="144"/>
      <c r="D27" s="141" t="s">
        <v>65</v>
      </c>
      <c r="E27" s="226">
        <f>DIVERTS_RECOVERED_SQL_6!$C$2</f>
        <v>1</v>
      </c>
      <c r="F27" s="227">
        <f>RECOVERED_DIVERTS_2019!$C$3/7</f>
        <v>2</v>
      </c>
      <c r="G27" s="227">
        <f ca="1">DIVERTS_RECOVERED_SQL_6!$C$3/P4</f>
        <v>0.54545454545454541</v>
      </c>
      <c r="H27" s="228">
        <f ca="1">RECOVERED_DIVERTS_2019!$C$2/'Pg1'!$P$4</f>
        <v>0.81818181818181823</v>
      </c>
      <c r="I27" s="218"/>
      <c r="J27" s="219"/>
      <c r="K27" s="219"/>
      <c r="L27" s="235"/>
      <c r="M27" s="138"/>
    </row>
    <row r="28" spans="2:13" x14ac:dyDescent="0.35">
      <c r="B28" s="301"/>
      <c r="C28" s="144"/>
      <c r="D28" s="141" t="s">
        <v>106</v>
      </c>
      <c r="E28" s="226">
        <f>FLIGHTS_NOT_DEPARTED_SQL_8!$A$2</f>
        <v>0</v>
      </c>
      <c r="F28" s="226"/>
      <c r="G28" s="226"/>
      <c r="H28" s="229"/>
      <c r="I28" s="218"/>
      <c r="J28" s="219"/>
      <c r="K28" s="219"/>
      <c r="L28" s="235"/>
      <c r="M28" s="138"/>
    </row>
    <row r="29" spans="2:13" x14ac:dyDescent="0.35">
      <c r="B29" s="301"/>
      <c r="C29" s="144"/>
      <c r="D29" s="141" t="s">
        <v>107</v>
      </c>
      <c r="E29" s="230">
        <f>REPOSITIONED_FLIGHTS_SQL_13!$A$2</f>
        <v>17</v>
      </c>
      <c r="F29" s="230"/>
      <c r="G29" s="230"/>
      <c r="H29" s="231"/>
      <c r="I29" s="232"/>
      <c r="J29" s="233"/>
      <c r="K29" s="233"/>
      <c r="L29" s="235"/>
      <c r="M29" s="138"/>
    </row>
    <row r="30" spans="2:13" x14ac:dyDescent="0.35">
      <c r="B30" s="301"/>
      <c r="C30" s="144"/>
      <c r="D30" s="138"/>
      <c r="E30" s="233"/>
      <c r="F30" s="233"/>
      <c r="G30" s="233"/>
      <c r="H30" s="233"/>
      <c r="I30" s="233"/>
      <c r="J30" s="233"/>
      <c r="K30" s="233"/>
      <c r="L30" s="235"/>
      <c r="M30" s="138"/>
    </row>
    <row r="31" spans="2:13" x14ac:dyDescent="0.35">
      <c r="B31" s="241"/>
      <c r="C31" s="237"/>
      <c r="D31" s="237"/>
      <c r="E31" s="237"/>
      <c r="F31" s="237"/>
      <c r="G31" s="237"/>
      <c r="H31" s="237"/>
      <c r="I31" s="237"/>
      <c r="J31" s="237"/>
      <c r="K31" s="237"/>
      <c r="L31" s="238"/>
      <c r="M31" s="138"/>
    </row>
    <row r="32" spans="2:13" x14ac:dyDescent="0.35">
      <c r="B32" s="138"/>
      <c r="C32" s="138"/>
      <c r="D32" s="138"/>
      <c r="E32" s="138"/>
      <c r="F32" s="138"/>
      <c r="G32" s="138"/>
      <c r="H32" s="138"/>
      <c r="I32" s="138"/>
      <c r="J32" s="138"/>
      <c r="K32" s="138"/>
      <c r="L32" s="138"/>
      <c r="M32" s="138"/>
    </row>
  </sheetData>
  <mergeCells count="4">
    <mergeCell ref="B1:L1"/>
    <mergeCell ref="B5:B12"/>
    <mergeCell ref="B14:B23"/>
    <mergeCell ref="B25:B30"/>
  </mergeCells>
  <conditionalFormatting sqref="I6:J6 I8:J10">
    <cfRule type="cellIs" dxfId="68" priority="16" operator="greaterThan">
      <formula>0</formula>
    </cfRule>
    <cfRule type="cellIs" dxfId="67" priority="17" operator="lessThan">
      <formula>0</formula>
    </cfRule>
  </conditionalFormatting>
  <conditionalFormatting sqref="K6">
    <cfRule type="cellIs" dxfId="66" priority="11" operator="greaterThanOrEqual">
      <formula>0</formula>
    </cfRule>
    <cfRule type="cellIs" dxfId="65" priority="12" operator="lessThan">
      <formula>0</formula>
    </cfRule>
  </conditionalFormatting>
  <conditionalFormatting sqref="I5:J5">
    <cfRule type="cellIs" dxfId="64" priority="3" operator="lessThan">
      <formula>0</formula>
    </cfRule>
    <cfRule type="cellIs" dxfId="63" priority="4" operator="greaterThan">
      <formula>0</formula>
    </cfRule>
  </conditionalFormatting>
  <conditionalFormatting sqref="I7:J7">
    <cfRule type="cellIs" dxfId="62" priority="1" operator="lessThan">
      <formula>0</formula>
    </cfRule>
    <cfRule type="cellIs" dxfId="61" priority="2" operator="greaterThan">
      <formula>0</formula>
    </cfRule>
  </conditionalFormatting>
  <pageMargins left="0.7" right="0.7" top="0.75" bottom="0.75" header="0.3" footer="0.3"/>
  <pageSetup scale="66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2">
    <pageSetUpPr fitToPage="1"/>
  </sheetPr>
  <dimension ref="A1:U69"/>
  <sheetViews>
    <sheetView tabSelected="1" topLeftCell="A4" zoomScale="70" zoomScaleNormal="70" workbookViewId="0">
      <selection activeCell="E37" sqref="E37"/>
    </sheetView>
  </sheetViews>
  <sheetFormatPr defaultRowHeight="14.5" x14ac:dyDescent="0.35"/>
  <cols>
    <col min="3" max="3" width="17.1796875" customWidth="1"/>
    <col min="4" max="4" width="14" customWidth="1"/>
    <col min="5" max="5" width="16.81640625" customWidth="1"/>
    <col min="6" max="6" width="12.453125" customWidth="1"/>
    <col min="7" max="7" width="11.26953125" customWidth="1"/>
    <col min="8" max="8" width="10.453125" customWidth="1"/>
    <col min="9" max="9" width="13.7265625" customWidth="1"/>
    <col min="10" max="10" width="11.81640625" customWidth="1"/>
    <col min="11" max="11" width="11.7265625" customWidth="1"/>
    <col min="12" max="12" width="10.7265625" customWidth="1"/>
    <col min="14" max="14" width="14.1796875" customWidth="1"/>
    <col min="15" max="15" width="36.26953125" customWidth="1"/>
    <col min="16" max="16" width="14.81640625" customWidth="1"/>
    <col min="17" max="17" width="31" customWidth="1"/>
  </cols>
  <sheetData>
    <row r="1" spans="1:20" x14ac:dyDescent="0.35">
      <c r="A1" s="138"/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</row>
    <row r="2" spans="1:20" ht="21" x14ac:dyDescent="0.35">
      <c r="A2" s="138"/>
      <c r="B2" s="302" t="s">
        <v>136</v>
      </c>
      <c r="C2" s="303"/>
      <c r="D2" s="303"/>
      <c r="E2" s="303"/>
      <c r="F2" s="303"/>
      <c r="G2" s="303"/>
      <c r="H2" s="303"/>
      <c r="I2" s="303"/>
      <c r="J2" s="303"/>
      <c r="K2" s="303"/>
      <c r="L2" s="303"/>
      <c r="M2" s="303"/>
      <c r="N2" s="303"/>
      <c r="O2" s="303"/>
      <c r="P2" s="304"/>
      <c r="Q2" s="138"/>
      <c r="R2" s="138"/>
    </row>
    <row r="3" spans="1:20" x14ac:dyDescent="0.35">
      <c r="A3" s="138"/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40"/>
      <c r="Q3" s="138"/>
      <c r="R3" s="138"/>
    </row>
    <row r="4" spans="1:20" x14ac:dyDescent="0.35">
      <c r="A4" s="138"/>
      <c r="B4" s="137"/>
      <c r="C4" s="147"/>
      <c r="D4" s="148" t="s">
        <v>125</v>
      </c>
      <c r="E4" s="148" t="s">
        <v>124</v>
      </c>
      <c r="F4" s="204" t="s">
        <v>52</v>
      </c>
      <c r="G4" s="204" t="s">
        <v>53</v>
      </c>
      <c r="H4" s="204" t="s">
        <v>109</v>
      </c>
      <c r="I4" s="204" t="s">
        <v>7</v>
      </c>
      <c r="J4" s="205"/>
      <c r="K4" s="148" t="s">
        <v>137</v>
      </c>
      <c r="L4" s="204" t="s">
        <v>52</v>
      </c>
      <c r="M4" s="204" t="s">
        <v>53</v>
      </c>
      <c r="N4" s="204" t="s">
        <v>109</v>
      </c>
      <c r="O4" s="204" t="s">
        <v>7</v>
      </c>
      <c r="P4" s="150"/>
      <c r="Q4" s="138"/>
      <c r="R4" s="138"/>
    </row>
    <row r="5" spans="1:20" x14ac:dyDescent="0.35">
      <c r="A5" s="138"/>
      <c r="B5" s="137"/>
      <c r="C5" s="147" t="s">
        <v>95</v>
      </c>
      <c r="D5" s="151">
        <f>SUMIFS(UA_HUB_SQL_7!$J:$J,UA_HUB_SQL_7!$B:$B,'Pg2'!$T6)/SUMIFS(UA_HUB_SQL_7!$F:$F,UA_HUB_SQL_7!$B:$B,'Pg2'!$T6)</f>
        <v>0.85567010309278346</v>
      </c>
      <c r="E5" s="151">
        <f>SUMIFS(UA_HUB_SQL_7!$K:$K,UA_HUB_SQL_7!$B:$B,'Pg2'!$T6)/SUMIFS(UA_HUB_SQL_7!$F:$F,UA_HUB_SQL_7!$B:$B,'Pg2'!$T6)</f>
        <v>0.90206185567010311</v>
      </c>
      <c r="F5" s="152" t="str">
        <f>"-"</f>
        <v>-</v>
      </c>
      <c r="G5" s="152" t="s">
        <v>38</v>
      </c>
      <c r="H5" s="153" t="s">
        <v>38</v>
      </c>
      <c r="I5" s="152" t="str">
        <f>"-"</f>
        <v>-</v>
      </c>
      <c r="J5" s="149"/>
      <c r="K5" s="151">
        <f>SUMIFS(UA_HUB_SQL_7!$G:$G,UA_HUB_SQL_7!$B:$B,'Pg2'!$T6)/SUMIFS(UA_HUB_SQL_7!$F:$F,UA_HUB_SQL_7!$B:$B,'Pg2'!$T6)</f>
        <v>0</v>
      </c>
      <c r="L5" s="152" t="str">
        <f>"-"</f>
        <v>-</v>
      </c>
      <c r="M5" s="152" t="str">
        <f>"-"</f>
        <v>-</v>
      </c>
      <c r="N5" s="152" t="s">
        <v>38</v>
      </c>
      <c r="O5" s="154">
        <v>1</v>
      </c>
      <c r="P5" s="140"/>
      <c r="Q5" s="138"/>
      <c r="R5" s="138"/>
    </row>
    <row r="6" spans="1:20" x14ac:dyDescent="0.35">
      <c r="A6" s="138"/>
      <c r="B6" s="137"/>
      <c r="C6" s="147" t="s">
        <v>96</v>
      </c>
      <c r="D6" s="151">
        <f>SUMIFS(UA_HUB_SQL_7!$J:$J,UA_HUB_SQL_7!$B:$B,'Pg2'!$T7)/SUMIFS(UA_HUB_SQL_7!$F:$F,UA_HUB_SQL_7!$B:$B,'Pg2'!$T7)</f>
        <v>0.68468468468468469</v>
      </c>
      <c r="E6" s="151">
        <f>SUMIFS(UA_HUB_SQL_7!$K:$K,UA_HUB_SQL_7!$B:$B,'Pg2'!$T7)/SUMIFS(UA_HUB_SQL_7!$F:$F,UA_HUB_SQL_7!$B:$B,'Pg2'!$T7)</f>
        <v>0.70270270270270274</v>
      </c>
      <c r="F6" s="152">
        <f>(RANK!B9-RANK!C9)*100</f>
        <v>-8.4698872100446909</v>
      </c>
      <c r="G6" s="152">
        <f>(RANK!B9-RANK!D9)*100</f>
        <v>-13.311819281968528</v>
      </c>
      <c r="H6" s="153" t="s">
        <v>38</v>
      </c>
      <c r="I6" s="154">
        <f>RANK!$F9</f>
        <v>3</v>
      </c>
      <c r="J6" s="149"/>
      <c r="K6" s="151">
        <f>SUMIFS(UA_HUB_SQL_7!$G:$G,UA_HUB_SQL_7!$B:$B,'Pg2'!$T7)/SUMIFS(UA_HUB_SQL_7!$F:$F,UA_HUB_SQL_7!$B:$B,'Pg2'!$T7)</f>
        <v>0</v>
      </c>
      <c r="L6" s="152" t="str">
        <f>IF(((RANK!B20-RANK!C20)*100)=0,"-",(RANK!B20-RANK!C20)*100)</f>
        <v>-</v>
      </c>
      <c r="M6" s="152" t="str">
        <f>IF(((RANK!B20-RANK!D20)*100)=0,"-",(RANK!B20-RANK!D20)*100)</f>
        <v>-</v>
      </c>
      <c r="N6" s="152" t="s">
        <v>38</v>
      </c>
      <c r="O6" s="154">
        <f>RANK!F20</f>
        <v>1</v>
      </c>
      <c r="P6" s="140"/>
      <c r="Q6" s="138"/>
      <c r="R6" s="138"/>
      <c r="T6" s="147" t="s">
        <v>95</v>
      </c>
    </row>
    <row r="7" spans="1:20" x14ac:dyDescent="0.35">
      <c r="A7" s="138"/>
      <c r="B7" s="137"/>
      <c r="C7" s="147" t="s">
        <v>98</v>
      </c>
      <c r="D7" s="151">
        <f>SUMIFS(UA_HUB_SQL_7!$J:$J,UA_HUB_SQL_7!$B:$B,'Pg2'!$T8)/SUMIFS(UA_HUB_SQL_7!$F:$F,UA_HUB_SQL_7!$B:$B,'Pg2'!$T8)</f>
        <v>0.68421052631578949</v>
      </c>
      <c r="E7" s="151">
        <f>SUMIFS(UA_HUB_SQL_7!$K:$K,UA_HUB_SQL_7!$B:$B,'Pg2'!$T8)/SUMIFS(UA_HUB_SQL_7!$F:$F,UA_HUB_SQL_7!$B:$B,'Pg2'!$T8)</f>
        <v>0.74436090225563911</v>
      </c>
      <c r="F7" s="152">
        <f>(RANK!B10-RANK!C10)*100</f>
        <v>5.3884711779448651</v>
      </c>
      <c r="G7" s="152">
        <f>(RANK!B10-RANK!D10)*100</f>
        <v>19.281451050306174</v>
      </c>
      <c r="H7" s="153" t="s">
        <v>38</v>
      </c>
      <c r="I7" s="154">
        <f>RANK!$F10</f>
        <v>1</v>
      </c>
      <c r="J7" s="149"/>
      <c r="K7" s="151">
        <f>SUMIFS(UA_HUB_SQL_7!$G:$G,UA_HUB_SQL_7!$B:$B,'Pg2'!$T8)/SUMIFS(UA_HUB_SQL_7!$F:$F,UA_HUB_SQL_7!$B:$B,'Pg2'!$T8)</f>
        <v>0</v>
      </c>
      <c r="L7" s="152" t="str">
        <f>IF(((RANK!B21-RANK!C21)*100)=0,"-",(RANK!B21-RANK!C21)*100)</f>
        <v>-</v>
      </c>
      <c r="M7" s="152">
        <f>IF(((RANK!B21-RANK!D21)*100)=0,"-",(RANK!B21-RANK!D21)*100)</f>
        <v>-1.0309278350515427</v>
      </c>
      <c r="N7" s="152" t="s">
        <v>38</v>
      </c>
      <c r="O7" s="154">
        <f>RANK!F21</f>
        <v>1</v>
      </c>
      <c r="P7" s="140"/>
      <c r="Q7" s="138"/>
      <c r="R7" s="138"/>
      <c r="T7" s="147" t="s">
        <v>96</v>
      </c>
    </row>
    <row r="8" spans="1:20" x14ac:dyDescent="0.35">
      <c r="A8" s="138"/>
      <c r="B8" s="137"/>
      <c r="C8" s="147" t="s">
        <v>99</v>
      </c>
      <c r="D8" s="151">
        <f>SUMIFS(UA_HUB_SQL_7!$J:$J,UA_HUB_SQL_7!$B:$B,'Pg2'!$T9)/SUMIFS(UA_HUB_SQL_7!$F:$F,UA_HUB_SQL_7!$B:$B,'Pg2'!$T9)</f>
        <v>0.82857142857142863</v>
      </c>
      <c r="E8" s="151">
        <f>SUMIFS(UA_HUB_SQL_7!$K:$K,UA_HUB_SQL_7!$B:$B,'Pg2'!$T9)/SUMIFS(UA_HUB_SQL_7!$F:$F,UA_HUB_SQL_7!$B:$B,'Pg2'!$T9)</f>
        <v>0.8571428571428571</v>
      </c>
      <c r="F8" s="152" t="str">
        <f>"-"</f>
        <v>-</v>
      </c>
      <c r="G8" s="152">
        <f>(RANK!B11-RANK!D11)*100</f>
        <v>-3.5590706870983757</v>
      </c>
      <c r="H8" s="153" t="s">
        <v>38</v>
      </c>
      <c r="I8" s="154">
        <f>RANK!$F11</f>
        <v>2</v>
      </c>
      <c r="J8" s="149"/>
      <c r="K8" s="151">
        <f>SUMIFS(UA_HUB_SQL_7!$G:$G,UA_HUB_SQL_7!$B:$B,'Pg2'!$T9)/SUMIFS(UA_HUB_SQL_7!$F:$F,UA_HUB_SQL_7!$B:$B,'Pg2'!$T9)</f>
        <v>0</v>
      </c>
      <c r="L8" s="152" t="str">
        <f>IFERROR((RANK!B22-RANK!C22)*100,"-")</f>
        <v>-</v>
      </c>
      <c r="M8" s="152" t="str">
        <f>IF(((RANK!B22-RANK!D22)*100)= 0,"-",(RANK!B22-RANK!D22)*100 )</f>
        <v>-</v>
      </c>
      <c r="N8" s="152" t="s">
        <v>38</v>
      </c>
      <c r="O8" s="154">
        <f>RANK!F22</f>
        <v>1</v>
      </c>
      <c r="P8" s="140"/>
      <c r="Q8" s="138"/>
      <c r="R8" s="138"/>
      <c r="T8" s="147" t="s">
        <v>98</v>
      </c>
    </row>
    <row r="9" spans="1:20" x14ac:dyDescent="0.35">
      <c r="A9" s="138"/>
      <c r="B9" s="137"/>
      <c r="C9" s="147" t="s">
        <v>101</v>
      </c>
      <c r="D9" s="151">
        <f>SUMIFS(UA_HUB_SQL_7!$J:$J,UA_HUB_SQL_7!$B:$B,'Pg2'!$T10)/SUMIFS(UA_HUB_SQL_7!$F:$F,UA_HUB_SQL_7!$B:$B,'Pg2'!$T10)</f>
        <v>0.83333333333333337</v>
      </c>
      <c r="E9" s="151">
        <f>SUMIFS(UA_HUB_SQL_7!$K:$K,UA_HUB_SQL_7!$B:$B,'Pg2'!$T10)/SUMIFS(UA_HUB_SQL_7!$F:$F,UA_HUB_SQL_7!$B:$B,'Pg2'!$T10)</f>
        <v>0.8666666666666667</v>
      </c>
      <c r="F9" s="152">
        <f>(RANK!B12-RANK!C12)*100</f>
        <v>0.45977011494253706</v>
      </c>
      <c r="G9" s="152">
        <f>(RANK!B12-RANK!D12)*100</f>
        <v>-0.43010752688171783</v>
      </c>
      <c r="H9" s="153" t="s">
        <v>38</v>
      </c>
      <c r="I9" s="154">
        <f>RANK!$F12</f>
        <v>2</v>
      </c>
      <c r="J9" s="149"/>
      <c r="K9" s="151">
        <f>SUMIFS(UA_HUB_SQL_7!$G:$G,UA_HUB_SQL_7!$B:$B,'Pg2'!$T10)/SUMIFS(UA_HUB_SQL_7!$F:$F,UA_HUB_SQL_7!$B:$B,'Pg2'!$T10)</f>
        <v>0</v>
      </c>
      <c r="L9" s="152" t="str">
        <f>IF(((RANK!B23-RANK!C23)*100)=0,"-",(RANK!B23-RANK!C23)*100)</f>
        <v>-</v>
      </c>
      <c r="M9" s="152" t="str">
        <f>IF(((RANK!B23-RANK!D23)*100)=0,"-",(RANK!B23-RANK!D23)*100)</f>
        <v>-</v>
      </c>
      <c r="N9" s="152" t="s">
        <v>38</v>
      </c>
      <c r="O9" s="154">
        <f>RANK!F23</f>
        <v>1</v>
      </c>
      <c r="P9" s="140"/>
      <c r="Q9" s="138"/>
      <c r="R9" s="138"/>
      <c r="T9" s="147" t="s">
        <v>99</v>
      </c>
    </row>
    <row r="10" spans="1:20" x14ac:dyDescent="0.35">
      <c r="A10" s="138"/>
      <c r="B10" s="137"/>
      <c r="C10" s="147" t="s">
        <v>102</v>
      </c>
      <c r="D10" s="151">
        <f>SUMIFS(UA_HUB_SQL_7!$J:$J,UA_HUB_SQL_7!$B:$B,'Pg2'!$T11)/SUMIFS(UA_HUB_SQL_7!$F:$F,UA_HUB_SQL_7!$B:$B,'Pg2'!$T11)</f>
        <v>0.71851851851851856</v>
      </c>
      <c r="E10" s="151">
        <f>SUMIFS(UA_HUB_SQL_7!$K:$K,UA_HUB_SQL_7!$B:$B,'Pg2'!$T11)/SUMIFS(UA_HUB_SQL_7!$F:$F,UA_HUB_SQL_7!$B:$B,'Pg2'!$T11)</f>
        <v>0.79259259259259263</v>
      </c>
      <c r="F10" s="152" t="s">
        <v>38</v>
      </c>
      <c r="G10" s="152">
        <f>(RANK!B13-RANK!D13)*100</f>
        <v>4.059259259259262</v>
      </c>
      <c r="H10" s="153" t="s">
        <v>38</v>
      </c>
      <c r="I10" s="154">
        <f>RANK!$F13</f>
        <v>1</v>
      </c>
      <c r="J10" s="149"/>
      <c r="K10" s="151">
        <f>SUMIFS(UA_HUB_SQL_7!$G:$G,UA_HUB_SQL_7!$B:$B,'Pg2'!$T11)/SUMIFS(UA_HUB_SQL_7!$F:$F,UA_HUB_SQL_7!$B:$B,'Pg2'!$T11)</f>
        <v>0</v>
      </c>
      <c r="L10" s="152" t="str">
        <f>"-"</f>
        <v>-</v>
      </c>
      <c r="M10" s="152" t="str">
        <f>IF(((RANK!B24-RANK!D24)*100)=0,"-",(RANK!B24-RANK!D24)*100)</f>
        <v>-</v>
      </c>
      <c r="N10" s="152" t="s">
        <v>38</v>
      </c>
      <c r="O10" s="154">
        <f>RANK!F24</f>
        <v>1</v>
      </c>
      <c r="P10" s="140"/>
      <c r="Q10" s="138"/>
      <c r="R10" s="138"/>
      <c r="T10" s="147" t="s">
        <v>101</v>
      </c>
    </row>
    <row r="11" spans="1:20" x14ac:dyDescent="0.35">
      <c r="A11" s="138"/>
      <c r="B11" s="137"/>
      <c r="C11" s="147" t="s">
        <v>103</v>
      </c>
      <c r="D11" s="151">
        <f>SUMIFS(UA_HUB_SQL_7!$J:$J,UA_HUB_SQL_7!$B:$B,'Pg2'!$T12)/SUMIFS(UA_HUB_SQL_7!$F:$F,UA_HUB_SQL_7!$B:$B,'Pg2'!$T12)</f>
        <v>0.27419354838709675</v>
      </c>
      <c r="E11" s="151">
        <f>SUMIFS(UA_HUB_SQL_7!$K:$K,UA_HUB_SQL_7!$B:$B,'Pg2'!$T12)/SUMIFS(UA_HUB_SQL_7!$F:$F,UA_HUB_SQL_7!$B:$B,'Pg2'!$T12)</f>
        <v>0.29032258064516131</v>
      </c>
      <c r="F11" s="152" t="s">
        <v>38</v>
      </c>
      <c r="G11" s="152" t="str">
        <f>"-"</f>
        <v>-</v>
      </c>
      <c r="H11" s="153">
        <f>(RANK!B14-RANK!E14)*100</f>
        <v>11.385199240986719</v>
      </c>
      <c r="I11" s="154">
        <f>RANK!$F14</f>
        <v>1</v>
      </c>
      <c r="J11" s="149"/>
      <c r="K11" s="151">
        <f>SUMIFS(UA_HUB_SQL_7!$G:$G,UA_HUB_SQL_7!$B:$B,'Pg2'!$T12)/SUMIFS(UA_HUB_SQL_7!$F:$F,UA_HUB_SQL_7!$B:$B,'Pg2'!$T12)</f>
        <v>3.2258064516129031E-2</v>
      </c>
      <c r="L11" s="152" t="str">
        <f>"-"</f>
        <v>-</v>
      </c>
      <c r="M11" s="152" t="str">
        <f>"-"</f>
        <v>-</v>
      </c>
      <c r="N11" s="152">
        <f>IF(((RANK!B25-RANK!E25)*100)=0,"",(RANK!B25-RANK!E25)*100)</f>
        <v>-23.244781783681209</v>
      </c>
      <c r="O11" s="154">
        <f>RANK!F25</f>
        <v>1</v>
      </c>
      <c r="P11" s="140"/>
      <c r="Q11" s="138"/>
      <c r="R11" s="138"/>
      <c r="T11" s="147" t="s">
        <v>102</v>
      </c>
    </row>
    <row r="12" spans="1:20" x14ac:dyDescent="0.35">
      <c r="A12" s="138"/>
      <c r="B12" s="155" t="s">
        <v>138</v>
      </c>
      <c r="C12" s="147" t="s">
        <v>139</v>
      </c>
      <c r="D12" s="151">
        <f>SUMIFS(UA_HUB_SQL_7!$J:$J,UA_HUB_SQL_7!$B:$B,'Pg2'!$T13)/SUMIFS(UA_HUB_SQL_7!$F:$F,UA_HUB_SQL_7!$B:$B,'Pg2'!$T13)</f>
        <v>0.77291242362525459</v>
      </c>
      <c r="E12" s="151">
        <f>SUMIFS(UA_HUB_SQL_7!$K:$K,UA_HUB_SQL_7!$B:$B,'Pg2'!$T13)/SUMIFS(UA_HUB_SQL_7!$F:$F,UA_HUB_SQL_7!$B:$B,'Pg2'!$T13)</f>
        <v>0.77291242362525459</v>
      </c>
      <c r="F12" s="152">
        <f>(RANK!B15-RANK!C15)*100</f>
        <v>-4.0251058328036322</v>
      </c>
      <c r="G12" s="152">
        <f>(RANK!B15-RANK!D15)*100</f>
        <v>-2.6960913930160202</v>
      </c>
      <c r="H12" s="153">
        <f>(RANK!B15-RANK!E15)*100</f>
        <v>10.291242362525455</v>
      </c>
      <c r="I12" s="154">
        <f>RANK!$F15</f>
        <v>3</v>
      </c>
      <c r="J12" s="149"/>
      <c r="K12" s="151">
        <f>SUMIFS(UA_HUB_SQL_7!$G:$G,UA_HUB_SQL_7!$B:$B,'Pg2'!$T13)/SUMIFS(UA_HUB_SQL_7!$F:$F,UA_HUB_SQL_7!$B:$B,'Pg2'!$T13)</f>
        <v>1.1201629327902239E-2</v>
      </c>
      <c r="L12" s="152">
        <f>IF(((RANK!B26-RANK!C26)*100)=0,"-",(RANK!B26-RANK!C26)*100)</f>
        <v>1.0140058202636848</v>
      </c>
      <c r="M12" s="152">
        <f>IFERROR((RANK!B26-RANK!D26)*100,"-")</f>
        <v>-0.27312395764676045</v>
      </c>
      <c r="N12" s="152">
        <f>IF(((RANK!B26-RANK!E26)*100)=0, "-", (RANK!B26-RANK!E26)*100)</f>
        <v>-3.2131704005431097</v>
      </c>
      <c r="O12" s="154">
        <f>RANK!F26</f>
        <v>2</v>
      </c>
      <c r="P12" s="140"/>
      <c r="Q12" s="138"/>
      <c r="R12" s="138"/>
      <c r="T12" s="147" t="s">
        <v>103</v>
      </c>
    </row>
    <row r="13" spans="1:20" x14ac:dyDescent="0.35">
      <c r="A13" s="138"/>
      <c r="B13" s="137"/>
      <c r="C13" s="147" t="s">
        <v>140</v>
      </c>
      <c r="D13" s="151">
        <f>SUMIFS(UA_Line!$K:$K,UA_Line!$B:$B,"Line Int")/SUMIFS(UA_Line!$F:$F,UA_Line!$B:$B,"Line Int")</f>
        <v>0.80701754385964908</v>
      </c>
      <c r="E13" s="151">
        <f>SUMIFS(UA_Line!$J:$J,UA_Line!$B:$B,"Line Int")/SUMIFS(UA_Line!$F:$F,UA_Line!$B:$B,"Line Int")</f>
        <v>0.80701754385964908</v>
      </c>
      <c r="F13" s="152">
        <f>(RANK!B16-RANK!C16)*100</f>
        <v>12.130325814536336</v>
      </c>
      <c r="G13" s="152">
        <f>(RANK!B16-RANK!D16)*100</f>
        <v>3.6525740580960586</v>
      </c>
      <c r="H13" s="153" t="s">
        <v>38</v>
      </c>
      <c r="I13" s="154">
        <f>RANK!$F16</f>
        <v>1</v>
      </c>
      <c r="J13" s="149"/>
      <c r="K13" s="151">
        <f>SUMIFS(UA_Line!$G:$G,UA_Line!$B:$B,"Line Int")/SUMIFS(UA_Line!$F:$F,UA_Line!$B:$B,"Line Int")</f>
        <v>0</v>
      </c>
      <c r="L13" s="152" t="str">
        <f>IF(((RANK!B27-RANK!C27)*100)=0,"-",(RANK!B27-RANK!C27)*100)</f>
        <v>-</v>
      </c>
      <c r="M13" s="152" t="str">
        <f>IF(((RANK!B27-RANK!D27)*100)=0,"-",(RANK!B27-RANK!D27)*100)</f>
        <v>-</v>
      </c>
      <c r="N13" s="152" t="str">
        <f>"-"</f>
        <v>-</v>
      </c>
      <c r="O13" s="154">
        <f>RANK!F27</f>
        <v>1</v>
      </c>
      <c r="P13" s="140"/>
      <c r="Q13" s="138"/>
      <c r="R13" s="138"/>
      <c r="T13" s="147" t="s">
        <v>138</v>
      </c>
    </row>
    <row r="14" spans="1:20" x14ac:dyDescent="0.35">
      <c r="A14" s="138"/>
      <c r="B14" s="137"/>
      <c r="C14" s="147" t="s">
        <v>141</v>
      </c>
      <c r="D14" s="200">
        <f>SUMIFS(UA_Line!$K:$K,UA_Line!$B:$B,"Line Dom")/SUMIFS(UA_Line!$F:$F,UA_Line!$B:$B,"Line Dom")</f>
        <v>0.77081081081081082</v>
      </c>
      <c r="E14" s="200">
        <f>SUMIFS(UA_Line!$J:$J,UA_Line!$B:$B,"Line Dom")/SUMIFS(UA_Line!$F:$F,UA_Line!$B:$B,"Line Dom")</f>
        <v>0.77081081081081082</v>
      </c>
      <c r="F14" s="201">
        <f>(RANK!B17-RANK!C17)*100</f>
        <v>-5.3561949045820008</v>
      </c>
      <c r="G14" s="201">
        <f>(RANK!B17-RANK!D17)*100</f>
        <v>-2.5649366180339639</v>
      </c>
      <c r="H14" s="202" t="str">
        <f>"-"</f>
        <v>-</v>
      </c>
      <c r="I14" s="203">
        <f>RANK!$F17</f>
        <v>3</v>
      </c>
      <c r="J14" s="149"/>
      <c r="K14" s="200">
        <f>SUMIFS(UA_Line!$G:$G,UA_Line!$B:$B,"Line Dom")/SUMIFS(UA_Line!$F:$F,UA_Line!$B:$B,"Line Dom")</f>
        <v>1.1891891891891892E-2</v>
      </c>
      <c r="L14" s="201">
        <f>IF(((RANK!$B$28-RANK!C28)*100)=0,"-",(RANK!$B$28-RANK!C28)*100)</f>
        <v>1.0697148761664843</v>
      </c>
      <c r="M14" s="201">
        <f>IF(((RANK!$B$28-RANK!D28)*100)=0,"-",(RANK!$B$28-RANK!D28)*100)</f>
        <v>-0.43322968986685312</v>
      </c>
      <c r="N14" s="201" t="s">
        <v>38</v>
      </c>
      <c r="O14" s="203">
        <f>RANK!F28</f>
        <v>2</v>
      </c>
      <c r="P14" s="140"/>
      <c r="Q14" s="138"/>
      <c r="R14" s="138"/>
      <c r="T14" s="147" t="s">
        <v>140</v>
      </c>
    </row>
    <row r="15" spans="1:20" x14ac:dyDescent="0.35">
      <c r="A15" s="138"/>
      <c r="B15" s="137"/>
      <c r="C15" s="156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40"/>
      <c r="Q15" s="138"/>
      <c r="R15" s="138"/>
      <c r="T15" s="147" t="s">
        <v>141</v>
      </c>
    </row>
    <row r="16" spans="1:20" x14ac:dyDescent="0.35">
      <c r="A16" s="138"/>
      <c r="B16" s="157"/>
      <c r="C16" s="158"/>
      <c r="D16" s="159"/>
      <c r="E16" s="159"/>
      <c r="F16" s="159"/>
      <c r="G16" s="159"/>
      <c r="H16" s="159"/>
      <c r="I16" s="159"/>
      <c r="J16" s="159"/>
      <c r="K16" s="159"/>
      <c r="L16" s="159"/>
      <c r="M16" s="159"/>
      <c r="N16" s="159"/>
      <c r="O16" s="159"/>
      <c r="P16" s="160"/>
      <c r="Q16" s="138"/>
      <c r="R16" s="138"/>
    </row>
    <row r="17" spans="1:21" x14ac:dyDescent="0.35">
      <c r="A17" s="138"/>
      <c r="B17" s="138"/>
      <c r="C17" s="156"/>
      <c r="D17" s="138"/>
      <c r="E17" s="138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8"/>
    </row>
    <row r="18" spans="1:21" x14ac:dyDescent="0.35">
      <c r="A18" s="138"/>
      <c r="B18" s="138"/>
      <c r="C18" s="156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</row>
    <row r="19" spans="1:21" ht="21" x14ac:dyDescent="0.35">
      <c r="A19" s="248" t="s">
        <v>14</v>
      </c>
      <c r="B19" s="306" t="s">
        <v>142</v>
      </c>
      <c r="C19" s="306"/>
      <c r="D19" s="306"/>
      <c r="E19" s="306"/>
      <c r="F19" s="306"/>
      <c r="G19" s="306"/>
      <c r="H19" s="306"/>
      <c r="I19" s="306"/>
      <c r="J19" s="306"/>
      <c r="K19" s="306"/>
      <c r="L19" s="306"/>
      <c r="M19" s="306"/>
      <c r="N19" s="306"/>
      <c r="O19" s="306"/>
      <c r="P19" s="306"/>
      <c r="Q19" s="306"/>
      <c r="R19" s="306"/>
    </row>
    <row r="20" spans="1:21" x14ac:dyDescent="0.35">
      <c r="A20" s="138"/>
      <c r="B20" s="252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256"/>
      <c r="Q20" s="138"/>
      <c r="R20" s="235"/>
    </row>
    <row r="21" spans="1:21" ht="29" x14ac:dyDescent="0.35">
      <c r="A21" s="138"/>
      <c r="B21" s="240"/>
      <c r="C21" s="310"/>
      <c r="D21" s="242" t="s">
        <v>67</v>
      </c>
      <c r="E21" s="198" t="s">
        <v>68</v>
      </c>
      <c r="F21" s="197" t="s">
        <v>69</v>
      </c>
      <c r="G21" s="197" t="s">
        <v>70</v>
      </c>
      <c r="H21" s="197" t="s">
        <v>71</v>
      </c>
      <c r="I21" s="197" t="s">
        <v>143</v>
      </c>
      <c r="J21" s="197" t="s">
        <v>144</v>
      </c>
      <c r="K21" s="197" t="s">
        <v>23</v>
      </c>
      <c r="L21" s="197" t="s">
        <v>24</v>
      </c>
      <c r="M21" s="196" t="s">
        <v>74</v>
      </c>
      <c r="N21" s="195" t="s">
        <v>25</v>
      </c>
      <c r="O21" s="195" t="s">
        <v>26</v>
      </c>
      <c r="P21" s="195" t="s">
        <v>75</v>
      </c>
      <c r="Q21" s="195" t="s">
        <v>28</v>
      </c>
      <c r="R21" s="235"/>
    </row>
    <row r="22" spans="1:21" x14ac:dyDescent="0.35">
      <c r="A22" s="138"/>
      <c r="B22" s="253"/>
      <c r="C22" s="64" t="s">
        <v>35</v>
      </c>
      <c r="D22" s="164">
        <f>SUMIFS(SCH_DEP_SQL_4!$E:$E,SCH_DEP_SQL_4!$A:$A,'Pg2'!$T22)</f>
        <v>972</v>
      </c>
      <c r="E22" s="165">
        <f>IF((SUMIFS(CNXL_SQL_2!$F:$F,CNXL_SQL_2!$D:$D,'Pg2'!$U$22,CNXL_SQL_2!$A:$A,'Pg2'!$T22))=0,"",SUMIFS(CNXL_SQL_2!$F:$F,CNXL_SQL_2!$D:$D,'Pg2'!$U$22,CNXL_SQL_2!$A:$A,'Pg2'!$T22))</f>
        <v>5</v>
      </c>
      <c r="F22" s="165" t="str">
        <f>IF((SUMIFS(CNXL_SQL_2!$F:$F,CNXL_SQL_2!$D:$D,'Pg2'!$U$23,CNXL_SQL_2!$A:$A,'Pg2'!$T22))=0,"",SUMIFS(CNXL_SQL_2!$F:$F,CNXL_SQL_2!$D:$D,'Pg2'!$U$23,CNXL_SQL_2!$A:$A,'Pg2'!$T22))</f>
        <v/>
      </c>
      <c r="G22" s="165" t="str">
        <f>IF((SUMIFS(CNXL_SQL_2!$F:$F,CNXL_SQL_2!$D:$D,'Pg2'!$U$24,CNXL_SQL_2!$A:$A,'Pg2'!$T22))=0,"",SUMIFS(CNXL_SQL_2!$F:$F,CNXL_SQL_2!$D:$D,'Pg2'!$U$24,CNXL_SQL_2!$A:$A,'Pg2'!$T22))</f>
        <v/>
      </c>
      <c r="H22" s="165" t="str">
        <f>IF((SUMIFS(CNXL_SQL_2!$F:$F,CNXL_SQL_2!$D:$D,'Pg2'!$U$25,CNXL_SQL_2!$A:$A,'Pg2'!$T22))=0,"",SUMIFS(CNXL_SQL_2!$F:$F,CNXL_SQL_2!$D:$D,'Pg2'!$U$25,CNXL_SQL_2!$A:$A,'Pg2'!$T22))</f>
        <v/>
      </c>
      <c r="I22" s="165" t="str">
        <f>IF((SUMIFS(CNXL_SQL_2!$F:$F,CNXL_SQL_2!$D:$D,'Pg2'!$U$26,CNXL_SQL_2!$A:$A,'Pg2'!$T22))=0,"",SUMIFS(CNXL_SQL_2!$F:$F,CNXL_SQL_2!$D:$D,'Pg2'!$U$26,CNXL_SQL_2!$A:$A,'Pg2'!$T22))</f>
        <v/>
      </c>
      <c r="J22" s="165" t="str">
        <f>IF((SUMIFS(CNXL_SQL_2!$F:$F,CNXL_SQL_2!$D:$D,'Pg2'!$U$27,CNXL_SQL_2!$A:$A,'Pg2'!$T22))=0,"",SUMIFS(CNXL_SQL_2!$F:$F,CNXL_SQL_2!$D:$D,'Pg2'!$U$27,CNXL_SQL_2!$A:$A,'Pg2'!$T22))</f>
        <v/>
      </c>
      <c r="K22" s="165" t="str">
        <f>IF((SUMIFS(CNXL_SQL_2!$F:$F,CNXL_SQL_2!$D:$D,'Pg2'!$U$28,CNXL_SQL_2!$A:$A,'Pg2'!$T22))=0,"",SUMIFS(CNXL_SQL_2!$F:$F,CNXL_SQL_2!$D:$D,'Pg2'!$U$28,CNXL_SQL_2!$A:$A,'Pg2'!$T22))</f>
        <v/>
      </c>
      <c r="L22" s="165" t="str">
        <f>IF((SUMIFS(CNXL_SQL_2!$F:$F,CNXL_SQL_2!$D:$D,'Pg2'!$U$29,CNXL_SQL_2!$A:$A,'Pg2'!$T22))=0,"",SUMIFS(CNXL_SQL_2!$F:$F,CNXL_SQL_2!$D:$D,'Pg2'!$U$29,CNXL_SQL_2!$A:$A,'Pg2'!$T22))</f>
        <v/>
      </c>
      <c r="M22" s="166"/>
      <c r="N22" s="199">
        <f>IF((SUM(E22:M22))=0,"",SUM(E22:M22))</f>
        <v>5</v>
      </c>
      <c r="O22" s="199" t="str">
        <f>IFERROR(VLOOKUP($T22,ES_MATRIX!$A$2:$L$10,11,0),"")</f>
        <v/>
      </c>
      <c r="P22" s="199">
        <f>IF(((SUM(E22:M22))-(SUMIFS(ES_MATRIX!$L$3:$L$10,ES_MATRIX!$A$3:$A$10,'Pg2'!$T22)))=0,"",(SUM(E22:M22))-(SUMIFS(ES_MATRIX!$L$3:$L$10,ES_MATRIX!$A$3:$A$10,'Pg2'!$T22)))</f>
        <v>5</v>
      </c>
      <c r="Q22" s="199" t="str">
        <f>VLOOKUP($T22,ES_MATRIX!$A$25:$B$30,2,0)</f>
        <v/>
      </c>
      <c r="R22" s="235"/>
      <c r="T22" t="s">
        <v>78</v>
      </c>
      <c r="U22" s="176" t="s">
        <v>77</v>
      </c>
    </row>
    <row r="23" spans="1:21" x14ac:dyDescent="0.35">
      <c r="A23" s="138"/>
      <c r="B23" s="253"/>
      <c r="C23" s="127" t="s">
        <v>39</v>
      </c>
      <c r="D23" s="167">
        <f>SUMIFS(SCH_DEP_SQL_4!$E:$E,SCH_DEP_SQL_4!$A:$A,'Pg2'!$T23)</f>
        <v>316</v>
      </c>
      <c r="E23" s="129">
        <f>IF((SUMIFS(CNXL_SQL_2!$F:$F,CNXL_SQL_2!$D:$D,'Pg2'!$U$22,CNXL_SQL_2!$A:$A,'Pg2'!$T23))=0,"",SUMIFS(CNXL_SQL_2!$F:$F,CNXL_SQL_2!$D:$D,'Pg2'!$U$22,CNXL_SQL_2!$A:$A,'Pg2'!$T23))</f>
        <v>4</v>
      </c>
      <c r="F23" s="129" t="str">
        <f>IF((SUMIFS(CNXL_SQL_2!$F:$F,CNXL_SQL_2!$D:$D,'Pg2'!$U$23,CNXL_SQL_2!$A:$A,'Pg2'!$T23))=0,"",SUMIFS(CNXL_SQL_2!$F:$F,CNXL_SQL_2!$D:$D,'Pg2'!$U$23,CNXL_SQL_2!$A:$A,'Pg2'!$T23))</f>
        <v/>
      </c>
      <c r="G23" s="129" t="str">
        <f>IF((SUMIFS(CNXL_SQL_2!$F:$F,CNXL_SQL_2!$D:$D,'Pg2'!$U$24,CNXL_SQL_2!$A:$A,'Pg2'!$T23))=0,"",SUMIFS(CNXL_SQL_2!$F:$F,CNXL_SQL_2!$D:$D,'Pg2'!$U$24,CNXL_SQL_2!$A:$A,'Pg2'!$T23))</f>
        <v/>
      </c>
      <c r="H23" s="129" t="str">
        <f>IF((SUMIFS(CNXL_SQL_2!$F:$F,CNXL_SQL_2!$D:$D,'Pg2'!$U$25,CNXL_SQL_2!$A:$A,'Pg2'!$T23))=0,"",SUMIFS(CNXL_SQL_2!$F:$F,CNXL_SQL_2!$D:$D,'Pg2'!$U$25,CNXL_SQL_2!$A:$A,'Pg2'!$T23))</f>
        <v/>
      </c>
      <c r="I23" s="129" t="str">
        <f>IF((SUMIFS(CNXL_SQL_2!$F:$F,CNXL_SQL_2!$D:$D,'Pg2'!$U$26,CNXL_SQL_2!$A:$A,'Pg2'!$T23))=0,"",SUMIFS(CNXL_SQL_2!$F:$F,CNXL_SQL_2!$D:$D,'Pg2'!$U$26,CNXL_SQL_2!$A:$A,'Pg2'!$T23))</f>
        <v/>
      </c>
      <c r="J23" s="129" t="str">
        <f>IF((SUMIFS(CNXL_SQL_2!$F:$F,CNXL_SQL_2!$D:$D,'Pg2'!$U$27,CNXL_SQL_2!$A:$A,'Pg2'!$T23))=0,"",SUMIFS(CNXL_SQL_2!$F:$F,CNXL_SQL_2!$D:$D,'Pg2'!$U$27,CNXL_SQL_2!$A:$A,'Pg2'!$T23))</f>
        <v/>
      </c>
      <c r="K23" s="129" t="str">
        <f>IF((SUMIFS(CNXL_SQL_2!$F:$F,CNXL_SQL_2!$D:$D,'Pg2'!$U$28,CNXL_SQL_2!$A:$A,'Pg2'!$T23))=0,"",SUMIFS(CNXL_SQL_2!$F:$F,CNXL_SQL_2!$D:$D,'Pg2'!$U$28,CNXL_SQL_2!$A:$A,'Pg2'!$T23))</f>
        <v/>
      </c>
      <c r="L23" s="129" t="str">
        <f>IF((SUMIFS(CNXL_SQL_2!$F:$F,CNXL_SQL_2!$D:$D,'Pg2'!$U$29,CNXL_SQL_2!$A:$A,'Pg2'!$T23))=0,"",SUMIFS(CNXL_SQL_2!$F:$F,CNXL_SQL_2!$D:$D,'Pg2'!$U$29,CNXL_SQL_2!$A:$A,'Pg2'!$T23))</f>
        <v/>
      </c>
      <c r="M23" s="168"/>
      <c r="N23" s="243">
        <f t="shared" ref="N23:N27" si="0">IF((SUM(E23:M23))=0,"",SUM(E23:M23))</f>
        <v>4</v>
      </c>
      <c r="O23" s="243" t="str">
        <f>IFERROR(VLOOKUP($T23,ES_MATRIX!$A$2:$L$10,11,0),"")</f>
        <v/>
      </c>
      <c r="P23" s="243">
        <f>IF(((SUM(E23:M23))-(SUMIFS(ES_MATRIX!$L$3:$L$10,ES_MATRIX!$A$3:$A$10,'Pg2'!$T23)))=0,"",(SUM(E23:M23))-(SUMIFS(ES_MATRIX!$L$3:$L$10,ES_MATRIX!$A$3:$A$10,'Pg2'!$T23)))</f>
        <v>4</v>
      </c>
      <c r="Q23" s="243" t="str">
        <f>VLOOKUP($T23,ES_MATRIX!$A$25:$B$30,2,0)</f>
        <v/>
      </c>
      <c r="R23" s="235"/>
      <c r="T23" t="s">
        <v>82</v>
      </c>
      <c r="U23" s="176" t="s">
        <v>79</v>
      </c>
    </row>
    <row r="24" spans="1:21" x14ac:dyDescent="0.35">
      <c r="A24" s="138"/>
      <c r="B24" s="253"/>
      <c r="C24" s="64" t="s">
        <v>41</v>
      </c>
      <c r="D24" s="164">
        <f>SUMIFS(SCH_DEP_SQL_4!$E:$E,SCH_DEP_SQL_4!$A:$A,'Pg2'!$T24)</f>
        <v>237</v>
      </c>
      <c r="E24" s="165" t="str">
        <f>IF((SUMIFS(CNXL_SQL_2!$F:$F,CNXL_SQL_2!$D:$D,'Pg2'!$U$22,CNXL_SQL_2!$A:$A,'Pg2'!$T24))=0,"",SUMIFS(CNXL_SQL_2!$F:$F,CNXL_SQL_2!$D:$D,'Pg2'!$U$22,CNXL_SQL_2!$A:$A,'Pg2'!$T24))</f>
        <v/>
      </c>
      <c r="F24" s="165" t="str">
        <f>IF((SUMIFS(CNXL_SQL_2!$F:$F,CNXL_SQL_2!$D:$D,'Pg2'!$U$23,CNXL_SQL_2!$A:$A,'Pg2'!$T24))=0,"",SUMIFS(CNXL_SQL_2!$F:$F,CNXL_SQL_2!$D:$D,'Pg2'!$U$23,CNXL_SQL_2!$A:$A,'Pg2'!$T24))</f>
        <v/>
      </c>
      <c r="G24" s="165" t="str">
        <f>IF((SUMIFS(CNXL_SQL_2!$F:$F,CNXL_SQL_2!$D:$D,'Pg2'!$U$24,CNXL_SQL_2!$A:$A,'Pg2'!$T24))=0,"",SUMIFS(CNXL_SQL_2!$F:$F,CNXL_SQL_2!$D:$D,'Pg2'!$U$24,CNXL_SQL_2!$A:$A,'Pg2'!$T24))</f>
        <v/>
      </c>
      <c r="H24" s="165" t="str">
        <f>IF((SUMIFS(CNXL_SQL_2!$F:$F,CNXL_SQL_2!$D:$D,'Pg2'!$U$25,CNXL_SQL_2!$A:$A,'Pg2'!$T24))=0,"",SUMIFS(CNXL_SQL_2!$F:$F,CNXL_SQL_2!$D:$D,'Pg2'!$U$25,CNXL_SQL_2!$A:$A,'Pg2'!$T24))</f>
        <v/>
      </c>
      <c r="I24" s="165" t="str">
        <f>IF((SUMIFS(CNXL_SQL_2!$F:$F,CNXL_SQL_2!$D:$D,'Pg2'!$U$26,CNXL_SQL_2!$A:$A,'Pg2'!$T24))=0,"",SUMIFS(CNXL_SQL_2!$F:$F,CNXL_SQL_2!$D:$D,'Pg2'!$U$26,CNXL_SQL_2!$A:$A,'Pg2'!$T24))</f>
        <v/>
      </c>
      <c r="J24" s="165" t="str">
        <f>IF((SUMIFS(CNXL_SQL_2!$F:$F,CNXL_SQL_2!$D:$D,'Pg2'!$U$27,CNXL_SQL_2!$A:$A,'Pg2'!$T24))=0,"",SUMIFS(CNXL_SQL_2!$F:$F,CNXL_SQL_2!$D:$D,'Pg2'!$U$27,CNXL_SQL_2!$A:$A,'Pg2'!$T24))</f>
        <v/>
      </c>
      <c r="K24" s="165" t="str">
        <f>IF((SUMIFS(CNXL_SQL_2!$F:$F,CNXL_SQL_2!$D:$D,'Pg2'!$U$28,CNXL_SQL_2!$A:$A,'Pg2'!$T24))=0,"",SUMIFS(CNXL_SQL_2!$F:$F,CNXL_SQL_2!$D:$D,'Pg2'!$U$28,CNXL_SQL_2!$A:$A,'Pg2'!$T24))</f>
        <v/>
      </c>
      <c r="L24" s="165" t="str">
        <f>IF((SUMIFS(CNXL_SQL_2!$F:$F,CNXL_SQL_2!$D:$D,'Pg2'!$U$29,CNXL_SQL_2!$A:$A,'Pg2'!$T24))=0,"",SUMIFS(CNXL_SQL_2!$F:$F,CNXL_SQL_2!$D:$D,'Pg2'!$U$29,CNXL_SQL_2!$A:$A,'Pg2'!$T24))</f>
        <v/>
      </c>
      <c r="M24" s="169"/>
      <c r="N24" s="199" t="str">
        <f t="shared" si="0"/>
        <v/>
      </c>
      <c r="O24" s="199" t="str">
        <f>IFERROR(VLOOKUP($T24,ES_MATRIX!$A$2:$L$10,11,0),"")</f>
        <v/>
      </c>
      <c r="P24" s="199" t="str">
        <f>IF(((SUM(E24:M24))-(SUMIFS(ES_MATRIX!$L$3:$L$10,ES_MATRIX!$A$3:$A$10,'Pg2'!$T24)))=0,"",(SUM(E24:M24))-(SUMIFS(ES_MATRIX!$L$3:$L$10,ES_MATRIX!$A$3:$A$10,'Pg2'!$T24)))</f>
        <v/>
      </c>
      <c r="Q24" s="199" t="str">
        <f>VLOOKUP($T24,ES_MATRIX!$A$25:$B$30,2,0)</f>
        <v/>
      </c>
      <c r="R24" s="235"/>
      <c r="T24" t="s">
        <v>84</v>
      </c>
      <c r="U24" s="176" t="s">
        <v>81</v>
      </c>
    </row>
    <row r="25" spans="1:21" x14ac:dyDescent="0.35">
      <c r="A25" s="138"/>
      <c r="B25" s="240"/>
      <c r="C25" s="127" t="s">
        <v>43</v>
      </c>
      <c r="D25" s="167">
        <f>SUMIFS(SCH_DEP_SQL_4!$E:$E,SCH_DEP_SQL_4!$A:$A,'Pg2'!$T25)</f>
        <v>221</v>
      </c>
      <c r="E25" s="129">
        <f>IF((SUMIFS(CNXL_SQL_2!$F:$F,CNXL_SQL_2!$D:$D,'Pg2'!$U$22,CNXL_SQL_2!$A:$A,'Pg2'!$T25))=0,"",SUMIFS(CNXL_SQL_2!$F:$F,CNXL_SQL_2!$D:$D,'Pg2'!$U$22,CNXL_SQL_2!$A:$A,'Pg2'!$T25))</f>
        <v>1</v>
      </c>
      <c r="F25" s="129" t="str">
        <f>IF((SUMIFS(CNXL_SQL_2!$F:$F,CNXL_SQL_2!$D:$D,'Pg2'!$U$23,CNXL_SQL_2!$A:$A,'Pg2'!$T25))=0,"",SUMIFS(CNXL_SQL_2!$F:$F,CNXL_SQL_2!$D:$D,'Pg2'!$U$23,CNXL_SQL_2!$A:$A,'Pg2'!$T25))</f>
        <v/>
      </c>
      <c r="G25" s="129" t="str">
        <f>IF((SUMIFS(CNXL_SQL_2!$F:$F,CNXL_SQL_2!$D:$D,'Pg2'!$U$24,CNXL_SQL_2!$A:$A,'Pg2'!$T25))=0,"",SUMIFS(CNXL_SQL_2!$F:$F,CNXL_SQL_2!$D:$D,'Pg2'!$U$24,CNXL_SQL_2!$A:$A,'Pg2'!$T25))</f>
        <v/>
      </c>
      <c r="H25" s="129" t="str">
        <f>IF((SUMIFS(CNXL_SQL_2!$F:$F,CNXL_SQL_2!$D:$D,'Pg2'!$U$25,CNXL_SQL_2!$A:$A,'Pg2'!$T25))=0,"",SUMIFS(CNXL_SQL_2!$F:$F,CNXL_SQL_2!$D:$D,'Pg2'!$U$25,CNXL_SQL_2!$A:$A,'Pg2'!$T25))</f>
        <v/>
      </c>
      <c r="I25" s="129" t="str">
        <f>IF((SUMIFS(CNXL_SQL_2!$F:$F,CNXL_SQL_2!$D:$D,'Pg2'!$U$26,CNXL_SQL_2!$A:$A,'Pg2'!$T25))=0,"",SUMIFS(CNXL_SQL_2!$F:$F,CNXL_SQL_2!$D:$D,'Pg2'!$U$26,CNXL_SQL_2!$A:$A,'Pg2'!$T25))</f>
        <v/>
      </c>
      <c r="J25" s="129" t="str">
        <f>IF((SUMIFS(CNXL_SQL_2!$F:$F,CNXL_SQL_2!$D:$D,'Pg2'!$U$27,CNXL_SQL_2!$A:$A,'Pg2'!$T25))=0,"",SUMIFS(CNXL_SQL_2!$F:$F,CNXL_SQL_2!$D:$D,'Pg2'!$U$27,CNXL_SQL_2!$A:$A,'Pg2'!$T25))</f>
        <v/>
      </c>
      <c r="K25" s="129" t="str">
        <f>IF((SUMIFS(CNXL_SQL_2!$F:$F,CNXL_SQL_2!$D:$D,'Pg2'!$U$28,CNXL_SQL_2!$A:$A,'Pg2'!$T25))=0,"",SUMIFS(CNXL_SQL_2!$F:$F,CNXL_SQL_2!$D:$D,'Pg2'!$U$28,CNXL_SQL_2!$A:$A,'Pg2'!$T25))</f>
        <v/>
      </c>
      <c r="L25" s="129" t="str">
        <f>IF((SUMIFS(CNXL_SQL_2!$F:$F,CNXL_SQL_2!$D:$D,'Pg2'!$U$29,CNXL_SQL_2!$A:$A,'Pg2'!$T25))=0,"",SUMIFS(CNXL_SQL_2!$F:$F,CNXL_SQL_2!$D:$D,'Pg2'!$U$29,CNXL_SQL_2!$A:$A,'Pg2'!$T25))</f>
        <v/>
      </c>
      <c r="M25" s="168"/>
      <c r="N25" s="243">
        <f t="shared" si="0"/>
        <v>1</v>
      </c>
      <c r="O25" s="243" t="str">
        <f>IFERROR(VLOOKUP($T25,ES_MATRIX!$A$2:$L$10,11,0),"")</f>
        <v/>
      </c>
      <c r="P25" s="243">
        <f>IF(((SUM(E25:M25))-(SUMIFS(ES_MATRIX!$L$3:$L$10,ES_MATRIX!$A$3:$A$10,'Pg2'!$T25)))=0,"",(SUM(E25:M25))-(SUMIFS(ES_MATRIX!$L$3:$L$10,ES_MATRIX!$A$3:$A$10,'Pg2'!$T25)))</f>
        <v>1</v>
      </c>
      <c r="Q25" s="243" t="str">
        <f>VLOOKUP($T25,ES_MATRIX!$A$25:$B$30,2,0)</f>
        <v/>
      </c>
      <c r="R25" s="235"/>
      <c r="T25" t="s">
        <v>86</v>
      </c>
      <c r="U25" s="176" t="s">
        <v>83</v>
      </c>
    </row>
    <row r="26" spans="1:21" x14ac:dyDescent="0.35">
      <c r="A26" s="138"/>
      <c r="B26" s="253"/>
      <c r="C26" s="64" t="s">
        <v>44</v>
      </c>
      <c r="D26" s="164">
        <f>SUMIFS(SCH_DEP_SQL_4!$E:$E,SCH_DEP_SQL_4!$A:$A,'Pg2'!$T26)</f>
        <v>227</v>
      </c>
      <c r="E26" s="165">
        <f>IF((SUMIFS(CNXL_SQL_2!$F:$F,CNXL_SQL_2!$D:$D,'Pg2'!$U$22,CNXL_SQL_2!$A:$A,'Pg2'!$T26))=0,"",SUMIFS(CNXL_SQL_2!$F:$F,CNXL_SQL_2!$D:$D,'Pg2'!$U$22,CNXL_SQL_2!$A:$A,'Pg2'!$T26))</f>
        <v>3</v>
      </c>
      <c r="F26" s="165" t="str">
        <f>IF((SUMIFS(CNXL_SQL_2!$F:$F,CNXL_SQL_2!$D:$D,'Pg2'!$U$23,CNXL_SQL_2!$A:$A,'Pg2'!$T26))=0,"",SUMIFS(CNXL_SQL_2!$F:$F,CNXL_SQL_2!$D:$D,'Pg2'!$U$23,CNXL_SQL_2!$A:$A,'Pg2'!$T26))</f>
        <v/>
      </c>
      <c r="G26" s="165" t="str">
        <f>IF((SUMIFS(CNXL_SQL_2!$F:$F,CNXL_SQL_2!$D:$D,'Pg2'!$U$24,CNXL_SQL_2!$A:$A,'Pg2'!$T26))=0,"",SUMIFS(CNXL_SQL_2!$F:$F,CNXL_SQL_2!$D:$D,'Pg2'!$U$24,CNXL_SQL_2!$A:$A,'Pg2'!$T26))</f>
        <v/>
      </c>
      <c r="H26" s="165" t="str">
        <f>IF((SUMIFS(CNXL_SQL_2!$F:$F,CNXL_SQL_2!$D:$D,'Pg2'!$U$25,CNXL_SQL_2!$A:$A,'Pg2'!$T26))=0,"",SUMIFS(CNXL_SQL_2!$F:$F,CNXL_SQL_2!$D:$D,'Pg2'!$U$25,CNXL_SQL_2!$A:$A,'Pg2'!$T26))</f>
        <v/>
      </c>
      <c r="I26" s="165" t="str">
        <f>IF((SUMIFS(CNXL_SQL_2!$F:$F,CNXL_SQL_2!$D:$D,'Pg2'!$U$26,CNXL_SQL_2!$A:$A,'Pg2'!$T26))=0,"",SUMIFS(CNXL_SQL_2!$F:$F,CNXL_SQL_2!$D:$D,'Pg2'!$U$26,CNXL_SQL_2!$A:$A,'Pg2'!$T26))</f>
        <v/>
      </c>
      <c r="J26" s="165" t="str">
        <f>IF((SUMIFS(CNXL_SQL_2!$F:$F,CNXL_SQL_2!$D:$D,'Pg2'!$U$27,CNXL_SQL_2!$A:$A,'Pg2'!$T26))=0,"",SUMIFS(CNXL_SQL_2!$F:$F,CNXL_SQL_2!$D:$D,'Pg2'!$U$27,CNXL_SQL_2!$A:$A,'Pg2'!$T26))</f>
        <v/>
      </c>
      <c r="K26" s="165" t="str">
        <f>IF((SUMIFS(CNXL_SQL_2!$F:$F,CNXL_SQL_2!$D:$D,'Pg2'!$U$28,CNXL_SQL_2!$A:$A,'Pg2'!$T26))=0,"",SUMIFS(CNXL_SQL_2!$F:$F,CNXL_SQL_2!$D:$D,'Pg2'!$U$28,CNXL_SQL_2!$A:$A,'Pg2'!$T26))</f>
        <v/>
      </c>
      <c r="L26" s="165" t="str">
        <f>IF((SUMIFS(CNXL_SQL_2!$F:$F,CNXL_SQL_2!$D:$D,'Pg2'!$U$29,CNXL_SQL_2!$A:$A,'Pg2'!$T26))=0,"",SUMIFS(CNXL_SQL_2!$F:$F,CNXL_SQL_2!$D:$D,'Pg2'!$U$29,CNXL_SQL_2!$A:$A,'Pg2'!$T26))</f>
        <v/>
      </c>
      <c r="M26" s="169"/>
      <c r="N26" s="199">
        <f t="shared" si="0"/>
        <v>3</v>
      </c>
      <c r="O26" s="199" t="str">
        <f>IFERROR(VLOOKUP($T26,ES_MATRIX!$A$2:$L$10,11,0),"")</f>
        <v/>
      </c>
      <c r="P26" s="199">
        <f>IF(((SUM(E26:M26))-(SUMIFS(ES_MATRIX!$L$3:$L$10,ES_MATRIX!$A$3:$A$10,'Pg2'!$T26)))=0,"",(SUM(E26:M26))-(SUMIFS(ES_MATRIX!$L$3:$L$10,ES_MATRIX!$A$3:$A$10,'Pg2'!$T26)))</f>
        <v>3</v>
      </c>
      <c r="Q26" s="199" t="str">
        <f>VLOOKUP($T26,ES_MATRIX!$A$25:$B$30,2,0)</f>
        <v/>
      </c>
      <c r="R26" s="235"/>
      <c r="T26" t="s">
        <v>88</v>
      </c>
      <c r="U26" s="176" t="s">
        <v>85</v>
      </c>
    </row>
    <row r="27" spans="1:21" x14ac:dyDescent="0.35">
      <c r="A27" s="138"/>
      <c r="B27" s="253"/>
      <c r="C27" s="127" t="s">
        <v>45</v>
      </c>
      <c r="D27" s="167">
        <f>SUMIFS(SCH_DEP_SQL_4!$E:$E,SCH_DEP_SQL_4!$A:$A,'Pg2'!$T27)</f>
        <v>0</v>
      </c>
      <c r="E27" s="129" t="str">
        <f>IF((SUMIFS(CNXL_SQL_2!$F:$F,CNXL_SQL_2!$D:$D,'Pg2'!$U$22,CNXL_SQL_2!$A:$A,'Pg2'!$T27))=0,"",SUMIFS(CNXL_SQL_2!$F:$F,CNXL_SQL_2!$D:$D,'Pg2'!$U$22,CNXL_SQL_2!$A:$A,'Pg2'!$T27))</f>
        <v/>
      </c>
      <c r="F27" s="129" t="str">
        <f>IF((SUMIFS(CNXL_SQL_2!$F:$F,CNXL_SQL_2!$D:$D,'Pg2'!$U$23,CNXL_SQL_2!$A:$A,'Pg2'!$T27))=0,"",SUMIFS(CNXL_SQL_2!$F:$F,CNXL_SQL_2!$D:$D,'Pg2'!$U$23,CNXL_SQL_2!$A:$A,'Pg2'!$T27))</f>
        <v/>
      </c>
      <c r="G27" s="129" t="str">
        <f>IF((SUMIFS(CNXL_SQL_2!$F:$F,CNXL_SQL_2!$D:$D,'Pg2'!$U$24,CNXL_SQL_2!$A:$A,'Pg2'!$T27))=0,"",SUMIFS(CNXL_SQL_2!$F:$F,CNXL_SQL_2!$D:$D,'Pg2'!$U$24,CNXL_SQL_2!$A:$A,'Pg2'!$T27))</f>
        <v/>
      </c>
      <c r="H27" s="129" t="str">
        <f>IF((SUMIFS(CNXL_SQL_2!$F:$F,CNXL_SQL_2!$D:$D,'Pg2'!$U$25,CNXL_SQL_2!$A:$A,'Pg2'!$T27))=0,"",SUMIFS(CNXL_SQL_2!$F:$F,CNXL_SQL_2!$D:$D,'Pg2'!$U$25,CNXL_SQL_2!$A:$A,'Pg2'!$T27))</f>
        <v/>
      </c>
      <c r="I27" s="129" t="str">
        <f>IF((SUMIFS(CNXL_SQL_2!$F:$F,CNXL_SQL_2!$D:$D,'Pg2'!$U$26,CNXL_SQL_2!$A:$A,'Pg2'!$T27))=0,"",SUMIFS(CNXL_SQL_2!$F:$F,CNXL_SQL_2!$D:$D,'Pg2'!$U$26,CNXL_SQL_2!$A:$A,'Pg2'!$T27))</f>
        <v/>
      </c>
      <c r="J27" s="129" t="str">
        <f>IF((SUMIFS(CNXL_SQL_2!$F:$F,CNXL_SQL_2!$D:$D,'Pg2'!$U$27,CNXL_SQL_2!$A:$A,'Pg2'!$T27))=0,"",SUMIFS(CNXL_SQL_2!$F:$F,CNXL_SQL_2!$D:$D,'Pg2'!$U$27,CNXL_SQL_2!$A:$A,'Pg2'!$T27))</f>
        <v/>
      </c>
      <c r="K27" s="129" t="str">
        <f>IF((SUMIFS(CNXL_SQL_2!$F:$F,CNXL_SQL_2!$D:$D,'Pg2'!$U$28,CNXL_SQL_2!$A:$A,'Pg2'!$T27))=0,"",SUMIFS(CNXL_SQL_2!$F:$F,CNXL_SQL_2!$D:$D,'Pg2'!$U$28,CNXL_SQL_2!$A:$A,'Pg2'!$T27))</f>
        <v/>
      </c>
      <c r="L27" s="129" t="str">
        <f>IF((SUMIFS(CNXL_SQL_2!$F:$F,CNXL_SQL_2!$D:$D,'Pg2'!$U$29,CNXL_SQL_2!$A:$A,'Pg2'!$T27))=0,"",SUMIFS(CNXL_SQL_2!$F:$F,CNXL_SQL_2!$D:$D,'Pg2'!$U$29,CNXL_SQL_2!$A:$A,'Pg2'!$T27))</f>
        <v/>
      </c>
      <c r="M27" s="168"/>
      <c r="N27" s="243" t="str">
        <f t="shared" si="0"/>
        <v/>
      </c>
      <c r="O27" s="243" t="str">
        <f>IFERROR(VLOOKUP($T27,ES_MATRIX!$A$2:$L$10,11,0),"")</f>
        <v/>
      </c>
      <c r="P27" s="243" t="str">
        <f>IF(((SUM(E27:M27))-(SUMIFS(ES_MATRIX!$L$3:$L$10,ES_MATRIX!$A$3:$A$10,'Pg2'!$T27)))=0,"",(SUM(E27:M27))-(SUMIFS(ES_MATRIX!$L$3:$L$10,ES_MATRIX!$A$3:$A$10,'Pg2'!$T27)))</f>
        <v/>
      </c>
      <c r="Q27" s="243" t="str">
        <f>VLOOKUP($T27,ES_MATRIX!$A$25:$B$30,2,0)</f>
        <v/>
      </c>
      <c r="R27" s="235"/>
      <c r="T27" t="s">
        <v>90</v>
      </c>
      <c r="U27" s="176" t="s">
        <v>87</v>
      </c>
    </row>
    <row r="28" spans="1:21" x14ac:dyDescent="0.35">
      <c r="A28" s="138"/>
      <c r="B28" s="254"/>
      <c r="C28" s="170" t="s">
        <v>47</v>
      </c>
      <c r="D28" s="171">
        <f>SUM(D22:D27)</f>
        <v>1973</v>
      </c>
      <c r="E28" s="172">
        <f t="shared" ref="E28:M28" si="1">IF(SUM(E22:E27)=0,"",SUM(E22:E27))</f>
        <v>13</v>
      </c>
      <c r="F28" s="172" t="str">
        <f t="shared" si="1"/>
        <v/>
      </c>
      <c r="G28" s="172" t="str">
        <f t="shared" si="1"/>
        <v/>
      </c>
      <c r="H28" s="172" t="str">
        <f t="shared" si="1"/>
        <v/>
      </c>
      <c r="I28" s="172" t="str">
        <f t="shared" si="1"/>
        <v/>
      </c>
      <c r="J28" s="172" t="str">
        <f t="shared" si="1"/>
        <v/>
      </c>
      <c r="K28" s="172" t="str">
        <f t="shared" si="1"/>
        <v/>
      </c>
      <c r="L28" s="172" t="str">
        <f t="shared" si="1"/>
        <v/>
      </c>
      <c r="M28" s="172" t="str">
        <f t="shared" si="1"/>
        <v/>
      </c>
      <c r="N28" s="245">
        <f>IF(SUM(N22:N27)=0,"",SUM(N22:N27))</f>
        <v>13</v>
      </c>
      <c r="O28" s="245" t="str">
        <f t="shared" ref="O28:Q28" si="2">IF(SUM(O22:O27)=0,"",SUM(O22:O27))</f>
        <v/>
      </c>
      <c r="P28" s="245">
        <f t="shared" si="2"/>
        <v>13</v>
      </c>
      <c r="Q28" s="245" t="str">
        <f t="shared" si="2"/>
        <v/>
      </c>
      <c r="R28" s="235"/>
      <c r="U28" s="176" t="s">
        <v>89</v>
      </c>
    </row>
    <row r="29" spans="1:21" x14ac:dyDescent="0.35">
      <c r="A29" s="138"/>
      <c r="B29" s="241"/>
      <c r="C29" s="255"/>
      <c r="D29" s="255"/>
      <c r="E29" s="237"/>
      <c r="F29" s="237"/>
      <c r="G29" s="237"/>
      <c r="H29" s="237"/>
      <c r="I29" s="255"/>
      <c r="J29" s="255"/>
      <c r="K29" s="255"/>
      <c r="L29" s="237"/>
      <c r="M29" s="237"/>
      <c r="N29" s="237"/>
      <c r="O29" s="237"/>
      <c r="P29" s="255"/>
      <c r="Q29" s="255"/>
      <c r="R29" s="238"/>
      <c r="U29" s="176" t="s">
        <v>91</v>
      </c>
    </row>
    <row r="30" spans="1:21" x14ac:dyDescent="0.35">
      <c r="A30" s="138"/>
      <c r="B30" s="138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8"/>
      <c r="P30" s="138"/>
      <c r="Q30" s="138"/>
      <c r="R30" s="138"/>
    </row>
    <row r="31" spans="1:21" x14ac:dyDescent="0.35">
      <c r="A31" s="138"/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8"/>
      <c r="O31" s="138"/>
      <c r="P31" s="138"/>
      <c r="Q31" s="138"/>
      <c r="R31" s="138"/>
    </row>
    <row r="32" spans="1:21" ht="21" x14ac:dyDescent="0.35">
      <c r="A32" s="138"/>
      <c r="B32" s="307" t="s">
        <v>48</v>
      </c>
      <c r="C32" s="306"/>
      <c r="D32" s="306"/>
      <c r="E32" s="306"/>
      <c r="F32" s="306"/>
      <c r="G32" s="306"/>
      <c r="H32" s="306"/>
      <c r="I32" s="306"/>
      <c r="J32" s="306"/>
      <c r="K32" s="306"/>
      <c r="L32" s="306"/>
      <c r="M32" s="306"/>
      <c r="N32" s="306"/>
      <c r="O32" s="306"/>
      <c r="P32" s="306"/>
      <c r="Q32" s="306"/>
      <c r="R32" s="306"/>
    </row>
    <row r="33" spans="1:18" x14ac:dyDescent="0.35">
      <c r="A33" s="138"/>
      <c r="B33" s="161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38"/>
      <c r="R33" s="235"/>
    </row>
    <row r="34" spans="1:18" ht="29" x14ac:dyDescent="0.35">
      <c r="A34" s="138"/>
      <c r="B34" s="137"/>
      <c r="C34" s="310"/>
      <c r="D34" s="242" t="s">
        <v>67</v>
      </c>
      <c r="E34" s="197" t="s">
        <v>68</v>
      </c>
      <c r="F34" s="197" t="s">
        <v>69</v>
      </c>
      <c r="G34" s="197" t="s">
        <v>70</v>
      </c>
      <c r="H34" s="197" t="s">
        <v>71</v>
      </c>
      <c r="I34" s="197" t="s">
        <v>143</v>
      </c>
      <c r="J34" s="197" t="s">
        <v>144</v>
      </c>
      <c r="K34" s="197" t="s">
        <v>23</v>
      </c>
      <c r="L34" s="197" t="s">
        <v>24</v>
      </c>
      <c r="M34" s="197" t="s">
        <v>74</v>
      </c>
      <c r="N34" s="195" t="s">
        <v>25</v>
      </c>
      <c r="O34" s="195" t="s">
        <v>145</v>
      </c>
      <c r="P34" s="195" t="s">
        <v>75</v>
      </c>
      <c r="Q34" s="195" t="s">
        <v>28</v>
      </c>
      <c r="R34" s="235"/>
    </row>
    <row r="35" spans="1:18" x14ac:dyDescent="0.35">
      <c r="A35" s="138"/>
      <c r="B35" s="137"/>
      <c r="C35" s="64" t="s">
        <v>35</v>
      </c>
      <c r="D35" s="164">
        <f>SUMIFS(SCH_DEP_SQL_4!$E:$E,SCH_DEP_SQL_4!$A:$A,'Pg2'!$T22)</f>
        <v>972</v>
      </c>
      <c r="E35" s="17" t="str">
        <f>IF((SUMIFS(RES_CNXL_SQL_3!$F:$F,RES_CNXL_SQL_3!$D:$D,'Pg2'!$U$22,RES_CNXL_SQL_3!$A:$A,'Pg2'!$T22))=0,"",SUMIFS(RES_CNXL_SQL_3!$F:$F,RES_CNXL_SQL_3!$D:$D,'Pg2'!$U$22,RES_CNXL_SQL_3!$A:$A,'Pg2'!$T22))</f>
        <v/>
      </c>
      <c r="F35" s="17" t="str">
        <f>IF((SUMIFS(RES_CNXL_SQL_3!$F:$F,RES_CNXL_SQL_3!$D:$D,'Pg2'!$U$23,RES_CNXL_SQL_3!$A:$A,'Pg2'!$T22))=0,"",SUMIFS(RES_CNXL_SQL_3!$F:$F,RES_CNXL_SQL_3!$D:$D,'Pg2'!$U$23,RES_CNXL_SQL_3!$A:$A,'Pg2'!$T22))</f>
        <v/>
      </c>
      <c r="G35" s="17" t="str">
        <f>IF((SUMIFS(RES_CNXL_SQL_3!$F:$F,RES_CNXL_SQL_3!$D:$D,'Pg2'!$U$24,RES_CNXL_SQL_3!$A:$A,'Pg2'!$T22))=0,"",SUMIFS(RES_CNXL_SQL_3!$F:$F,RES_CNXL_SQL_3!$D:$D,'Pg2'!$U$24,RES_CNXL_SQL_3!$A:$A,'Pg2'!$T22))</f>
        <v/>
      </c>
      <c r="H35" s="17" t="str">
        <f>IF((SUMIFS(RES_CNXL_SQL_3!$F:$F,RES_CNXL_SQL_3!$D:$D,'Pg2'!$U$25,RES_CNXL_SQL_3!$A:$A,'Pg2'!$T22))=0,"",SUMIFS(RES_CNXL_SQL_3!$F:$F,RES_CNXL_SQL_3!$D:$D,'Pg2'!$U$25,RES_CNXL_SQL_3!$A:$A,'Pg2'!$T22))</f>
        <v/>
      </c>
      <c r="I35" s="17" t="str">
        <f>IF((SUMIFS(RES_CNXL_SQL_3!$F:$F,RES_CNXL_SQL_3!$D:$D,'Pg2'!$U$26,RES_CNXL_SQL_3!$A:$A,'Pg2'!$T22))=0,"",SUMIFS(RES_CNXL_SQL_3!$F:$F,RES_CNXL_SQL_3!$D:$D,'Pg2'!$U$26,RES_CNXL_SQL_3!$A:$A,'Pg2'!$T22))</f>
        <v/>
      </c>
      <c r="J35" s="17" t="str">
        <f>IF((SUMIFS(RES_CNXL_SQL_3!$F:$F,RES_CNXL_SQL_3!$D:$D,'Pg2'!$U$27,RES_CNXL_SQL_3!$A:$A,'Pg2'!$T22))=0,"",SUMIFS(RES_CNXL_SQL_3!$F:$F,RES_CNXL_SQL_3!$D:$D,'Pg2'!$U$27,RES_CNXL_SQL_3!$A:$A,'Pg2'!$T22))</f>
        <v/>
      </c>
      <c r="K35" s="17" t="str">
        <f>IF((SUMIFS(RES_CNXL_SQL_3!$F:$F,RES_CNXL_SQL_3!$D:$D,'Pg2'!$U$28,RES_CNXL_SQL_3!$A:$A,'Pg2'!$T22))=0,"",SUMIFS(RES_CNXL_SQL_3!$F:$F,RES_CNXL_SQL_3!$D:$D,'Pg2'!$U$28,RES_CNXL_SQL_3!$A:$A,'Pg2'!$T22))</f>
        <v/>
      </c>
      <c r="L35" s="17" t="str">
        <f>IF((SUMIFS(RES_CNXL_SQL_3!$F:$F,RES_CNXL_SQL_3!$D:$D,'Pg2'!$U$29,RES_CNXL_SQL_3!$A:$A,'Pg2'!$T22))=0,"",SUMIFS(RES_CNXL_SQL_3!$F:$F,RES_CNXL_SQL_3!$D:$D,'Pg2'!$U$29,RES_CNXL_SQL_3!$A:$A,'Pg2'!$T22))</f>
        <v/>
      </c>
      <c r="M35" s="17"/>
      <c r="N35" s="199" t="str">
        <f t="shared" ref="N35" si="3">IF(SUM(E35:M35)=0,"",SUM(E35:M35))</f>
        <v/>
      </c>
      <c r="O35" s="199" t="str">
        <f>IFERROR(VLOOKUP($T22,ES_MATRIX!$A$13:$L$21,11,0),"")</f>
        <v/>
      </c>
      <c r="P35" s="199" t="str">
        <f>IF(((SUM(E35:M35))-(SUMIFS(ES_MATRIX!$L$14:$L$21,ES_MATRIX!$A$14:$A$21,'Pg2'!$T22)))=0,"",(SUM(E35:M35))-(SUMIFS(ES_MATRIX!$L$14:$L$21,ES_MATRIX!$A$14:$A$21,'Pg2'!$T22)))</f>
        <v/>
      </c>
      <c r="Q35" s="199" t="str">
        <f ca="1">VLOOKUP($T22,ES_MATRIX!$E$25:$F$30,2,0)</f>
        <v/>
      </c>
      <c r="R35" s="235"/>
    </row>
    <row r="36" spans="1:18" x14ac:dyDescent="0.35">
      <c r="A36" s="138"/>
      <c r="B36" s="137"/>
      <c r="C36" s="127" t="s">
        <v>39</v>
      </c>
      <c r="D36" s="167">
        <f>SUMIFS(SCH_DEP_SQL_4!$E:$E,SCH_DEP_SQL_4!$A:$A,'Pg2'!$T23)</f>
        <v>316</v>
      </c>
      <c r="E36" s="129" t="str">
        <f>IF((SUMIFS(RES_CNXL_SQL_3!$F:$F,RES_CNXL_SQL_3!$D:$D,'Pg2'!$U$22,RES_CNXL_SQL_3!$A:$A,'Pg2'!$T23))=0,"",SUMIFS(RES_CNXL_SQL_3!$F:$F,RES_CNXL_SQL_3!$D:$D,'Pg2'!$U$22,RES_CNXL_SQL_3!$A:$A,'Pg2'!$T23))</f>
        <v/>
      </c>
      <c r="F36" s="129" t="str">
        <f>IF((SUMIFS(RES_CNXL_SQL_3!$F:$F,RES_CNXL_SQL_3!$D:$D,'Pg2'!$U$23,RES_CNXL_SQL_3!$A:$A,'Pg2'!$T23))=0,"",SUMIFS(RES_CNXL_SQL_3!$F:$F,RES_CNXL_SQL_3!$D:$D,'Pg2'!$U$23,RES_CNXL_SQL_3!$A:$A,'Pg2'!$T23))</f>
        <v/>
      </c>
      <c r="G36" s="129" t="str">
        <f>IF((SUMIFS(RES_CNXL_SQL_3!$F:$F,RES_CNXL_SQL_3!$D:$D,'Pg2'!$U$24,RES_CNXL_SQL_3!$A:$A,'Pg2'!$T23))=0,"",SUMIFS(RES_CNXL_SQL_3!$F:$F,RES_CNXL_SQL_3!$D:$D,'Pg2'!$U$24,RES_CNXL_SQL_3!$A:$A,'Pg2'!$T23))</f>
        <v/>
      </c>
      <c r="H36" s="129" t="str">
        <f>IF((SUMIFS(RES_CNXL_SQL_3!$F:$F,RES_CNXL_SQL_3!$D:$D,'Pg2'!$U$25,RES_CNXL_SQL_3!$A:$A,'Pg2'!$T23))=0,"",SUMIFS(RES_CNXL_SQL_3!$F:$F,RES_CNXL_SQL_3!$D:$D,'Pg2'!$U$25,RES_CNXL_SQL_3!$A:$A,'Pg2'!$T23))</f>
        <v/>
      </c>
      <c r="I36" s="129" t="str">
        <f>IF((SUMIFS(RES_CNXL_SQL_3!$F:$F,RES_CNXL_SQL_3!$D:$D,'Pg2'!$U$26,RES_CNXL_SQL_3!$A:$A,'Pg2'!$T23))=0,"",SUMIFS(RES_CNXL_SQL_3!$F:$F,RES_CNXL_SQL_3!$D:$D,'Pg2'!$U$26,RES_CNXL_SQL_3!$A:$A,'Pg2'!$T23))</f>
        <v/>
      </c>
      <c r="J36" s="129" t="str">
        <f>IF((SUMIFS(RES_CNXL_SQL_3!$F:$F,RES_CNXL_SQL_3!$D:$D,'Pg2'!$U$27,RES_CNXL_SQL_3!$A:$A,'Pg2'!$T23))=0,"",SUMIFS(RES_CNXL_SQL_3!$F:$F,RES_CNXL_SQL_3!$D:$D,'Pg2'!$U$27,RES_CNXL_SQL_3!$A:$A,'Pg2'!$T23))</f>
        <v/>
      </c>
      <c r="K36" s="129" t="str">
        <f>IF((SUMIFS(RES_CNXL_SQL_3!$F:$F,RES_CNXL_SQL_3!$D:$D,'Pg2'!$U$28,RES_CNXL_SQL_3!$A:$A,'Pg2'!$T23))=0,"",SUMIFS(RES_CNXL_SQL_3!$F:$F,RES_CNXL_SQL_3!$D:$D,'Pg2'!$U$28,RES_CNXL_SQL_3!$A:$A,'Pg2'!$T23))</f>
        <v/>
      </c>
      <c r="L36" s="129" t="str">
        <f>IF((SUMIFS(RES_CNXL_SQL_3!$F:$F,RES_CNXL_SQL_3!$D:$D,'Pg2'!$U$29,RES_CNXL_SQL_3!$A:$A,'Pg2'!$T23))=0,"",SUMIFS(RES_CNXL_SQL_3!$F:$F,RES_CNXL_SQL_3!$D:$D,'Pg2'!$U$29,RES_CNXL_SQL_3!$A:$A,'Pg2'!$T23))</f>
        <v/>
      </c>
      <c r="M36" s="129" t="s">
        <v>146</v>
      </c>
      <c r="N36" s="243" t="str">
        <f>IF(SUM(E36:M36)=0,"",SUM(E36:M36))</f>
        <v/>
      </c>
      <c r="O36" s="243" t="str">
        <f>IFERROR(VLOOKUP($T23,ES_MATRIX!$A$13:$L$21,11,0),"")</f>
        <v/>
      </c>
      <c r="P36" s="243" t="str">
        <f>IF(((SUM(E36:M36))-(SUMIFS(ES_MATRIX!$L$14:$L$21,ES_MATRIX!$A$14:$A$21,'Pg2'!$T23)))=0,"",(SUM(E36:M36))-(SUMIFS(ES_MATRIX!$L$14:$L$21,ES_MATRIX!$A$14:$A$21,'Pg2'!$T23)))</f>
        <v/>
      </c>
      <c r="Q36" s="243" t="str">
        <f ca="1">VLOOKUP($T23,ES_MATRIX!$E$25:$F$30,2,0)</f>
        <v/>
      </c>
      <c r="R36" s="235"/>
    </row>
    <row r="37" spans="1:18" x14ac:dyDescent="0.35">
      <c r="A37" s="138"/>
      <c r="B37" s="137"/>
      <c r="C37" s="64" t="s">
        <v>41</v>
      </c>
      <c r="D37" s="164">
        <f>SUMIFS(SCH_DEP_SQL_4!$E:$E,SCH_DEP_SQL_4!$A:$A,'Pg2'!$T24)</f>
        <v>237</v>
      </c>
      <c r="E37" s="17" t="str">
        <f>IF((SUMIFS(RES_CNXL_SQL_3!$F:$F,RES_CNXL_SQL_3!$D:$D,'Pg2'!$U$22,RES_CNXL_SQL_3!$A:$A,'Pg2'!$T24))=0,"",SUMIFS(RES_CNXL_SQL_3!$F:$F,RES_CNXL_SQL_3!$D:$D,'Pg2'!$U$22,RES_CNXL_SQL_3!$A:$A,'Pg2'!$T24))</f>
        <v/>
      </c>
      <c r="F37" s="17" t="str">
        <f>IF((SUMIFS(RES_CNXL_SQL_3!$F:$F,RES_CNXL_SQL_3!$D:$D,'Pg2'!$U$23,RES_CNXL_SQL_3!$A:$A,'Pg2'!$T24))=0,"",SUMIFS(RES_CNXL_SQL_3!$F:$F,RES_CNXL_SQL_3!$D:$D,'Pg2'!$U$23,RES_CNXL_SQL_3!$A:$A,'Pg2'!$T24))</f>
        <v/>
      </c>
      <c r="G37" s="17" t="str">
        <f>IF((SUMIFS(RES_CNXL_SQL_3!$F:$F,RES_CNXL_SQL_3!$D:$D,'Pg2'!$U$24,RES_CNXL_SQL_3!$A:$A,'Pg2'!$T24))=0,"",SUMIFS(RES_CNXL_SQL_3!$F:$F,RES_CNXL_SQL_3!$D:$D,'Pg2'!$U$24,RES_CNXL_SQL_3!$A:$A,'Pg2'!$T24))</f>
        <v/>
      </c>
      <c r="H37" s="17" t="str">
        <f>IF((SUMIFS(RES_CNXL_SQL_3!$F:$F,RES_CNXL_SQL_3!$D:$D,'Pg2'!$U$25,RES_CNXL_SQL_3!$A:$A,'Pg2'!$T24))=0,"",SUMIFS(RES_CNXL_SQL_3!$F:$F,RES_CNXL_SQL_3!$D:$D,'Pg2'!$U$25,RES_CNXL_SQL_3!$A:$A,'Pg2'!$T24))</f>
        <v/>
      </c>
      <c r="I37" s="17" t="str">
        <f>IF((SUMIFS(RES_CNXL_SQL_3!$F:$F,RES_CNXL_SQL_3!$D:$D,'Pg2'!$U$26,RES_CNXL_SQL_3!$A:$A,'Pg2'!$T24))=0,"",SUMIFS(RES_CNXL_SQL_3!$F:$F,RES_CNXL_SQL_3!$D:$D,'Pg2'!$U$26,RES_CNXL_SQL_3!$A:$A,'Pg2'!$T24))</f>
        <v/>
      </c>
      <c r="J37" s="17" t="str">
        <f>IF((SUMIFS(RES_CNXL_SQL_3!$F:$F,RES_CNXL_SQL_3!$D:$D,'Pg2'!$U$27,RES_CNXL_SQL_3!$A:$A,'Pg2'!$T24))=0,"",SUMIFS(RES_CNXL_SQL_3!$F:$F,RES_CNXL_SQL_3!$D:$D,'Pg2'!$U$27,RES_CNXL_SQL_3!$A:$A,'Pg2'!$T24))</f>
        <v/>
      </c>
      <c r="K37" s="17" t="str">
        <f>IF((SUMIFS(RES_CNXL_SQL_3!$F:$F,RES_CNXL_SQL_3!$D:$D,'Pg2'!$U$28,RES_CNXL_SQL_3!$A:$A,'Pg2'!$T24))=0,"",SUMIFS(RES_CNXL_SQL_3!$F:$F,RES_CNXL_SQL_3!$D:$D,'Pg2'!$U$28,RES_CNXL_SQL_3!$A:$A,'Pg2'!$T24))</f>
        <v/>
      </c>
      <c r="L37" s="17" t="str">
        <f>IF((SUMIFS(RES_CNXL_SQL_3!$F:$F,RES_CNXL_SQL_3!$D:$D,'Pg2'!$U$29,RES_CNXL_SQL_3!$A:$A,'Pg2'!$T24))=0,"",SUMIFS(RES_CNXL_SQL_3!$F:$F,RES_CNXL_SQL_3!$D:$D,'Pg2'!$U$29,RES_CNXL_SQL_3!$A:$A,'Pg2'!$T24))</f>
        <v/>
      </c>
      <c r="M37" s="17" t="s">
        <v>146</v>
      </c>
      <c r="N37" s="199" t="str">
        <f t="shared" ref="N37:N40" si="4">IF(SUM(E37:M37)=0,"",SUM(E37:M37))</f>
        <v/>
      </c>
      <c r="O37" s="199" t="str">
        <f>IFERROR(VLOOKUP($T24,ES_MATRIX!$A$13:$L$21,11,0),"")</f>
        <v/>
      </c>
      <c r="P37" s="199" t="str">
        <f>IF(((SUM(E37:M37))-(SUMIFS(ES_MATRIX!$L$14:$L$21,ES_MATRIX!$A$14:$A$21,'Pg2'!$T24)))=0,"",(SUM(E37:M37))-(SUMIFS(ES_MATRIX!$L$14:$L$21,ES_MATRIX!$A$14:$A$21,'Pg2'!$T24)))</f>
        <v/>
      </c>
      <c r="Q37" s="199" t="str">
        <f ca="1">VLOOKUP($T24,ES_MATRIX!$E$25:$F$30,2,0)</f>
        <v/>
      </c>
      <c r="R37" s="235"/>
    </row>
    <row r="38" spans="1:18" x14ac:dyDescent="0.35">
      <c r="A38" s="138"/>
      <c r="B38" s="137"/>
      <c r="C38" s="127" t="s">
        <v>43</v>
      </c>
      <c r="D38" s="167">
        <f>SUMIFS(SCH_DEP_SQL_4!$E:$E,SCH_DEP_SQL_4!$A:$A,'Pg2'!$T25)</f>
        <v>221</v>
      </c>
      <c r="E38" s="129" t="str">
        <f>IF((SUMIFS(RES_CNXL_SQL_3!$F:$F,RES_CNXL_SQL_3!$D:$D,'Pg2'!$U$22,RES_CNXL_SQL_3!$A:$A,'Pg2'!$T25))=0,"",SUMIFS(RES_CNXL_SQL_3!$F:$F,RES_CNXL_SQL_3!$D:$D,'Pg2'!$U$22,RES_CNXL_SQL_3!$A:$A,'Pg2'!$T25))</f>
        <v/>
      </c>
      <c r="F38" s="129" t="str">
        <f>IF((SUMIFS(RES_CNXL_SQL_3!$F:$F,RES_CNXL_SQL_3!$D:$D,'Pg2'!$U$23,RES_CNXL_SQL_3!$A:$A,'Pg2'!$T25))=0,"",SUMIFS(RES_CNXL_SQL_3!$F:$F,RES_CNXL_SQL_3!$D:$D,'Pg2'!$U$23,RES_CNXL_SQL_3!$A:$A,'Pg2'!$T25))</f>
        <v/>
      </c>
      <c r="G38" s="129" t="str">
        <f>IF((SUMIFS(RES_CNXL_SQL_3!$F:$F,RES_CNXL_SQL_3!$D:$D,'Pg2'!$U$24,RES_CNXL_SQL_3!$A:$A,'Pg2'!$T25))=0,"",SUMIFS(RES_CNXL_SQL_3!$F:$F,RES_CNXL_SQL_3!$D:$D,'Pg2'!$U$24,RES_CNXL_SQL_3!$A:$A,'Pg2'!$T25))</f>
        <v/>
      </c>
      <c r="H38" s="129" t="str">
        <f>IF((SUMIFS(RES_CNXL_SQL_3!$F:$F,RES_CNXL_SQL_3!$D:$D,'Pg2'!$U$25,RES_CNXL_SQL_3!$A:$A,'Pg2'!$T25))=0,"",SUMIFS(RES_CNXL_SQL_3!$F:$F,RES_CNXL_SQL_3!$D:$D,'Pg2'!$U$25,RES_CNXL_SQL_3!$A:$A,'Pg2'!$T25))</f>
        <v/>
      </c>
      <c r="I38" s="129" t="str">
        <f>IF((SUMIFS(RES_CNXL_SQL_3!$F:$F,RES_CNXL_SQL_3!$D:$D,'Pg2'!$U$26,RES_CNXL_SQL_3!$A:$A,'Pg2'!$T25))=0,"",SUMIFS(RES_CNXL_SQL_3!$F:$F,RES_CNXL_SQL_3!$D:$D,'Pg2'!$U$26,RES_CNXL_SQL_3!$A:$A,'Pg2'!$T25))</f>
        <v/>
      </c>
      <c r="J38" s="129" t="str">
        <f>IF((SUMIFS(RES_CNXL_SQL_3!$F:$F,RES_CNXL_SQL_3!$D:$D,'Pg2'!$U$27,RES_CNXL_SQL_3!$A:$A,'Pg2'!$T25))=0,"",SUMIFS(RES_CNXL_SQL_3!$F:$F,RES_CNXL_SQL_3!$D:$D,'Pg2'!$U$27,RES_CNXL_SQL_3!$A:$A,'Pg2'!$T25))</f>
        <v/>
      </c>
      <c r="K38" s="129" t="str">
        <f>IF((SUMIFS(RES_CNXL_SQL_3!$F:$F,RES_CNXL_SQL_3!$D:$D,'Pg2'!$U$28,RES_CNXL_SQL_3!$A:$A,'Pg2'!$T25))=0,"",SUMIFS(RES_CNXL_SQL_3!$F:$F,RES_CNXL_SQL_3!$D:$D,'Pg2'!$U$28,RES_CNXL_SQL_3!$A:$A,'Pg2'!$T25))</f>
        <v/>
      </c>
      <c r="L38" s="129" t="str">
        <f>IF((SUMIFS(RES_CNXL_SQL_3!$F:$F,RES_CNXL_SQL_3!$D:$D,'Pg2'!$U$29,RES_CNXL_SQL_3!$A:$A,'Pg2'!$T25))=0,"",SUMIFS(RES_CNXL_SQL_3!$F:$F,RES_CNXL_SQL_3!$D:$D,'Pg2'!$U$29,RES_CNXL_SQL_3!$A:$A,'Pg2'!$T25))</f>
        <v/>
      </c>
      <c r="M38" s="129" t="s">
        <v>146</v>
      </c>
      <c r="N38" s="243" t="str">
        <f t="shared" si="4"/>
        <v/>
      </c>
      <c r="O38" s="243" t="str">
        <f>IFERROR(VLOOKUP($T25,ES_MATRIX!$A$13:$L$21,11,0),"")</f>
        <v/>
      </c>
      <c r="P38" s="243" t="str">
        <f>IF(((SUM(E38:M38))-(SUMIFS(ES_MATRIX!$L$14:$L$21,ES_MATRIX!$A$14:$A$21,'Pg2'!$T25)))=0,"",(SUM(E38:M38))-(SUMIFS(ES_MATRIX!$L$14:$L$21,ES_MATRIX!$A$14:$A$21,'Pg2'!$T25)))</f>
        <v/>
      </c>
      <c r="Q38" s="243" t="str">
        <f ca="1">VLOOKUP($T25,ES_MATRIX!$E$25:$F$30,2,0)</f>
        <v/>
      </c>
      <c r="R38" s="235"/>
    </row>
    <row r="39" spans="1:18" x14ac:dyDescent="0.35">
      <c r="A39" s="138"/>
      <c r="B39" s="137"/>
      <c r="C39" s="64" t="s">
        <v>44</v>
      </c>
      <c r="D39" s="164">
        <f>SUMIFS(SCH_DEP_SQL_4!$E:$E,SCH_DEP_SQL_4!$A:$A,'Pg2'!$T26)</f>
        <v>227</v>
      </c>
      <c r="E39" s="17" t="str">
        <f>IF((SUMIFS(RES_CNXL_SQL_3!$F:$F,RES_CNXL_SQL_3!$D:$D,'Pg2'!$U$22,RES_CNXL_SQL_3!$A:$A,'Pg2'!$T26))=0,"",SUMIFS(RES_CNXL_SQL_3!$F:$F,RES_CNXL_SQL_3!$D:$D,'Pg2'!$U$22,RES_CNXL_SQL_3!$A:$A,'Pg2'!$T26))</f>
        <v/>
      </c>
      <c r="F39" s="17" t="str">
        <f>IF((SUMIFS(RES_CNXL_SQL_3!$F:$F,RES_CNXL_SQL_3!$D:$D,'Pg2'!$U$23,RES_CNXL_SQL_3!$A:$A,'Pg2'!$T26))=0,"",SUMIFS(RES_CNXL_SQL_3!$F:$F,RES_CNXL_SQL_3!$D:$D,'Pg2'!$U$23,RES_CNXL_SQL_3!$A:$A,'Pg2'!$T26))</f>
        <v/>
      </c>
      <c r="G39" s="17" t="str">
        <f>IF((SUMIFS(RES_CNXL_SQL_3!$F:$F,RES_CNXL_SQL_3!$D:$D,'Pg2'!$U$24,RES_CNXL_SQL_3!$A:$A,'Pg2'!$T26))=0,"",SUMIFS(RES_CNXL_SQL_3!$F:$F,RES_CNXL_SQL_3!$D:$D,'Pg2'!$U$24,RES_CNXL_SQL_3!$A:$A,'Pg2'!$T26))</f>
        <v/>
      </c>
      <c r="H39" s="17" t="str">
        <f>IF((SUMIFS(RES_CNXL_SQL_3!$F:$F,RES_CNXL_SQL_3!$D:$D,'Pg2'!$U$25,RES_CNXL_SQL_3!$A:$A,'Pg2'!$T26))=0,"",SUMIFS(RES_CNXL_SQL_3!$F:$F,RES_CNXL_SQL_3!$D:$D,'Pg2'!$U$25,RES_CNXL_SQL_3!$A:$A,'Pg2'!$T26))</f>
        <v/>
      </c>
      <c r="I39" s="17" t="str">
        <f>IF((SUMIFS(RES_CNXL_SQL_3!$F:$F,RES_CNXL_SQL_3!$D:$D,'Pg2'!$U$26,RES_CNXL_SQL_3!$A:$A,'Pg2'!$T26))=0,"",SUMIFS(RES_CNXL_SQL_3!$F:$F,RES_CNXL_SQL_3!$D:$D,'Pg2'!$U$26,RES_CNXL_SQL_3!$A:$A,'Pg2'!$T26))</f>
        <v/>
      </c>
      <c r="J39" s="17" t="str">
        <f>IF((SUMIFS(RES_CNXL_SQL_3!$F:$F,RES_CNXL_SQL_3!$D:$D,'Pg2'!$U$27,RES_CNXL_SQL_3!$A:$A,'Pg2'!$T26))=0,"",SUMIFS(RES_CNXL_SQL_3!$F:$F,RES_CNXL_SQL_3!$D:$D,'Pg2'!$U$27,RES_CNXL_SQL_3!$A:$A,'Pg2'!$T26))</f>
        <v/>
      </c>
      <c r="K39" s="17" t="str">
        <f>IF((SUMIFS(RES_CNXL_SQL_3!$F:$F,RES_CNXL_SQL_3!$D:$D,'Pg2'!$U$28,RES_CNXL_SQL_3!$A:$A,'Pg2'!$T26))=0,"",SUMIFS(RES_CNXL_SQL_3!$F:$F,RES_CNXL_SQL_3!$D:$D,'Pg2'!$U$28,RES_CNXL_SQL_3!$A:$A,'Pg2'!$T26))</f>
        <v/>
      </c>
      <c r="L39" s="17" t="str">
        <f>IF((SUMIFS(RES_CNXL_SQL_3!$F:$F,RES_CNXL_SQL_3!$D:$D,'Pg2'!$U$29,RES_CNXL_SQL_3!$A:$A,'Pg2'!$T26))=0,"",SUMIFS(RES_CNXL_SQL_3!$F:$F,RES_CNXL_SQL_3!$D:$D,'Pg2'!$U$29,RES_CNXL_SQL_3!$A:$A,'Pg2'!$T26))</f>
        <v/>
      </c>
      <c r="M39" s="17" t="s">
        <v>146</v>
      </c>
      <c r="N39" s="199" t="str">
        <f t="shared" si="4"/>
        <v/>
      </c>
      <c r="O39" s="199" t="str">
        <f>IFERROR(VLOOKUP($T26,ES_MATRIX!$A$13:$L$21,11,0),"")</f>
        <v/>
      </c>
      <c r="P39" s="199" t="str">
        <f>IF(((SUM(E39:M39))-(SUMIFS(ES_MATRIX!$L$14:$L$21,ES_MATRIX!$A$14:$A$21,'Pg2'!$T26)))=0,"",(SUM(E39:M39))-(SUMIFS(ES_MATRIX!$L$14:$L$21,ES_MATRIX!$A$14:$A$21,'Pg2'!$T26)))</f>
        <v/>
      </c>
      <c r="Q39" s="199" t="str">
        <f ca="1">VLOOKUP($T26,ES_MATRIX!$E$25:$F$30,2,0)</f>
        <v/>
      </c>
      <c r="R39" s="235"/>
    </row>
    <row r="40" spans="1:18" x14ac:dyDescent="0.35">
      <c r="A40" s="138"/>
      <c r="B40" s="137"/>
      <c r="C40" s="127" t="s">
        <v>45</v>
      </c>
      <c r="D40" s="167">
        <f>SUMIFS(SCH_DEP_SQL_4!$E:$E,SCH_DEP_SQL_4!$A:$A,'Pg2'!$T27)</f>
        <v>0</v>
      </c>
      <c r="E40" s="129" t="str">
        <f>IF((SUMIFS(RES_CNXL_SQL_3!$F:$F,RES_CNXL_SQL_3!$D:$D,'Pg2'!$U$22,RES_CNXL_SQL_3!$A:$A,'Pg2'!$T27))=0,"",SUMIFS(RES_CNXL_SQL_3!$F:$F,RES_CNXL_SQL_3!$D:$D,'Pg2'!$U$22,RES_CNXL_SQL_3!$A:$A,'Pg2'!$T27))</f>
        <v/>
      </c>
      <c r="F40" s="129" t="str">
        <f>IF((SUMIFS(RES_CNXL_SQL_3!$F:$F,RES_CNXL_SQL_3!$D:$D,'Pg2'!$U$23,RES_CNXL_SQL_3!$A:$A,'Pg2'!$T27))=0,"",SUMIFS(RES_CNXL_SQL_3!$F:$F,RES_CNXL_SQL_3!$D:$D,'Pg2'!$U$23,RES_CNXL_SQL_3!$A:$A,'Pg2'!$T27))</f>
        <v/>
      </c>
      <c r="G40" s="129" t="str">
        <f>IF((SUMIFS(RES_CNXL_SQL_3!$F:$F,RES_CNXL_SQL_3!$D:$D,'Pg2'!$U$24,RES_CNXL_SQL_3!$A:$A,'Pg2'!$T27))=0,"",SUMIFS(RES_CNXL_SQL_3!$F:$F,RES_CNXL_SQL_3!$D:$D,'Pg2'!$U$24,RES_CNXL_SQL_3!$A:$A,'Pg2'!$T27))</f>
        <v/>
      </c>
      <c r="H40" s="129" t="str">
        <f>IF((SUMIFS(RES_CNXL_SQL_3!$F:$F,RES_CNXL_SQL_3!$D:$D,'Pg2'!$U$25,RES_CNXL_SQL_3!$A:$A,'Pg2'!$T27))=0,"",SUMIFS(RES_CNXL_SQL_3!$F:$F,RES_CNXL_SQL_3!$D:$D,'Pg2'!$U$25,RES_CNXL_SQL_3!$A:$A,'Pg2'!$T27))</f>
        <v/>
      </c>
      <c r="I40" s="129" t="str">
        <f>IF((SUMIFS(RES_CNXL_SQL_3!$F:$F,RES_CNXL_SQL_3!$D:$D,'Pg2'!$U$26,RES_CNXL_SQL_3!$A:$A,'Pg2'!$T27))=0,"",SUMIFS(RES_CNXL_SQL_3!$F:$F,RES_CNXL_SQL_3!$D:$D,'Pg2'!$U$26,RES_CNXL_SQL_3!$A:$A,'Pg2'!$T27))</f>
        <v/>
      </c>
      <c r="J40" s="129" t="str">
        <f>IF((SUMIFS(RES_CNXL_SQL_3!$F:$F,RES_CNXL_SQL_3!$D:$D,'Pg2'!$U$27,RES_CNXL_SQL_3!$A:$A,'Pg2'!$T27))=0,"",SUMIFS(RES_CNXL_SQL_3!$F:$F,RES_CNXL_SQL_3!$D:$D,'Pg2'!$U$27,RES_CNXL_SQL_3!$A:$A,'Pg2'!$T27))</f>
        <v/>
      </c>
      <c r="K40" s="129" t="str">
        <f>IF((SUMIFS(RES_CNXL_SQL_3!$F:$F,RES_CNXL_SQL_3!$D:$D,'Pg2'!$U$28,RES_CNXL_SQL_3!$A:$A,'Pg2'!$T27))=0,"",SUMIFS(RES_CNXL_SQL_3!$F:$F,RES_CNXL_SQL_3!$D:$D,'Pg2'!$U$28,RES_CNXL_SQL_3!$A:$A,'Pg2'!$T27))</f>
        <v/>
      </c>
      <c r="L40" s="129" t="str">
        <f>IF((SUMIFS(RES_CNXL_SQL_3!$F:$F,RES_CNXL_SQL_3!$D:$D,'Pg2'!$U$29,RES_CNXL_SQL_3!$A:$A,'Pg2'!$T27))=0,"",SUMIFS(RES_CNXL_SQL_3!$F:$F,RES_CNXL_SQL_3!$D:$D,'Pg2'!$U$29,RES_CNXL_SQL_3!$A:$A,'Pg2'!$T27))</f>
        <v/>
      </c>
      <c r="M40" s="129" t="s">
        <v>146</v>
      </c>
      <c r="N40" s="244" t="str">
        <f t="shared" si="4"/>
        <v/>
      </c>
      <c r="O40" s="243" t="str">
        <f>IFERROR(VLOOKUP($T27,ES_MATRIX!$A$13:$L$21,11,0),"")</f>
        <v/>
      </c>
      <c r="P40" s="243" t="str">
        <f>IF(((SUM(E40:M40))-(SUMIFS(ES_MATRIX!$L$14:$L$21,ES_MATRIX!$A$14:$A$21,'Pg2'!$T27)))=0,"",(SUM(E40:M40))-(SUMIFS(ES_MATRIX!$L$14:$L$21,ES_MATRIX!$A$14:$A$21,'Pg2'!$T27)))</f>
        <v/>
      </c>
      <c r="Q40" s="243" t="str">
        <f ca="1">VLOOKUP($T27,ES_MATRIX!$E$25:$F$30,2,0)</f>
        <v/>
      </c>
      <c r="R40" s="235"/>
    </row>
    <row r="41" spans="1:18" x14ac:dyDescent="0.35">
      <c r="A41" s="138"/>
      <c r="B41" s="137"/>
      <c r="C41" s="170" t="s">
        <v>47</v>
      </c>
      <c r="D41" s="171">
        <f>SUM(D35:D40)</f>
        <v>1973</v>
      </c>
      <c r="E41" s="172" t="str">
        <f t="shared" ref="E41:M41" si="5">IF(SUM(E35:E40)=0,"",SUM(E35:E40))</f>
        <v/>
      </c>
      <c r="F41" s="172" t="str">
        <f t="shared" si="5"/>
        <v/>
      </c>
      <c r="G41" s="172" t="str">
        <f t="shared" si="5"/>
        <v/>
      </c>
      <c r="H41" s="172" t="str">
        <f t="shared" si="5"/>
        <v/>
      </c>
      <c r="I41" s="172" t="str">
        <f t="shared" si="5"/>
        <v/>
      </c>
      <c r="J41" s="172" t="str">
        <f t="shared" si="5"/>
        <v/>
      </c>
      <c r="K41" s="172" t="str">
        <f t="shared" si="5"/>
        <v/>
      </c>
      <c r="L41" s="172" t="str">
        <f t="shared" si="5"/>
        <v/>
      </c>
      <c r="M41" s="172" t="str">
        <f t="shared" si="5"/>
        <v/>
      </c>
      <c r="N41" s="173" t="str">
        <f>IF(SUM(N35:N40)=0,"",SUM(N35:N40))</f>
        <v/>
      </c>
      <c r="O41" s="173" t="str">
        <f t="shared" ref="O41:Q41" si="6">IF(SUM(O35:O40)=0,"",SUM(O35:O40))</f>
        <v/>
      </c>
      <c r="P41" s="173" t="str">
        <f t="shared" si="6"/>
        <v/>
      </c>
      <c r="Q41" s="173" t="str">
        <f t="shared" ca="1" si="6"/>
        <v/>
      </c>
      <c r="R41" s="235"/>
    </row>
    <row r="42" spans="1:18" x14ac:dyDescent="0.35">
      <c r="A42" s="138"/>
      <c r="B42" s="157"/>
      <c r="C42" s="159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59"/>
      <c r="Q42" s="237"/>
      <c r="R42" s="238"/>
    </row>
    <row r="43" spans="1:18" x14ac:dyDescent="0.35">
      <c r="A43" s="138"/>
      <c r="B43" s="138"/>
      <c r="C43" s="138"/>
      <c r="D43" s="138"/>
      <c r="E43" s="138"/>
      <c r="F43" s="138"/>
      <c r="G43" s="138"/>
      <c r="H43" s="138"/>
      <c r="I43" s="138"/>
      <c r="J43" s="138"/>
      <c r="K43" s="138"/>
      <c r="L43" s="138"/>
      <c r="M43" s="138"/>
      <c r="N43" s="138"/>
      <c r="O43" s="138"/>
      <c r="P43" s="138"/>
      <c r="Q43" s="138"/>
      <c r="R43" s="138"/>
    </row>
    <row r="44" spans="1:18" x14ac:dyDescent="0.35">
      <c r="A44" s="138"/>
      <c r="B44" s="138"/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</row>
    <row r="45" spans="1:18" x14ac:dyDescent="0.35">
      <c r="A45" s="138"/>
      <c r="B45" s="174" t="s">
        <v>147</v>
      </c>
      <c r="C45" s="138"/>
      <c r="D45" s="138"/>
      <c r="E45" s="138"/>
      <c r="F45" s="138"/>
      <c r="G45" s="138"/>
      <c r="H45" s="138"/>
      <c r="I45" s="138"/>
      <c r="J45" s="138"/>
      <c r="K45" s="138"/>
      <c r="L45" s="138"/>
      <c r="M45" s="138"/>
      <c r="N45" s="138"/>
      <c r="O45" s="138"/>
      <c r="P45" s="138"/>
      <c r="Q45" s="138"/>
      <c r="R45" s="138"/>
    </row>
    <row r="46" spans="1:18" ht="21" x14ac:dyDescent="0.35">
      <c r="A46" s="138"/>
      <c r="B46" s="175" t="s">
        <v>148</v>
      </c>
      <c r="C46" s="250"/>
      <c r="D46" s="250"/>
      <c r="E46" s="250"/>
      <c r="F46" s="250"/>
      <c r="G46" s="250"/>
      <c r="H46" s="250"/>
      <c r="I46" s="250"/>
      <c r="J46" s="250"/>
      <c r="K46" s="250"/>
      <c r="L46" s="250"/>
      <c r="M46" s="250"/>
      <c r="N46" s="250"/>
      <c r="O46" s="250"/>
      <c r="P46" s="250"/>
      <c r="Q46" s="138"/>
      <c r="R46" s="138"/>
    </row>
    <row r="47" spans="1:18" ht="21" x14ac:dyDescent="0.35">
      <c r="A47" s="138"/>
      <c r="B47" s="175" t="s">
        <v>149</v>
      </c>
      <c r="C47" s="250"/>
      <c r="D47" s="250"/>
      <c r="E47" s="250"/>
      <c r="F47" s="250"/>
      <c r="G47" s="250"/>
      <c r="H47" s="250"/>
      <c r="I47" s="250"/>
      <c r="J47" s="250"/>
      <c r="K47" s="250"/>
      <c r="L47" s="250"/>
      <c r="M47" s="250"/>
      <c r="N47" s="250"/>
      <c r="O47" s="250"/>
      <c r="P47" s="250"/>
      <c r="Q47" s="138"/>
      <c r="R47" s="138"/>
    </row>
    <row r="48" spans="1:18" x14ac:dyDescent="0.35">
      <c r="A48" s="138"/>
      <c r="B48" s="175" t="s">
        <v>150</v>
      </c>
      <c r="C48" s="163"/>
      <c r="D48" s="163"/>
      <c r="E48" s="163"/>
      <c r="F48" s="163"/>
      <c r="G48" s="163"/>
      <c r="H48" s="163"/>
      <c r="I48" s="163"/>
      <c r="J48" s="163"/>
      <c r="K48" s="163"/>
      <c r="L48" s="163"/>
      <c r="M48" s="163"/>
      <c r="N48" s="138"/>
      <c r="O48" s="138"/>
      <c r="P48" s="138"/>
      <c r="Q48" s="138"/>
      <c r="R48" s="138"/>
    </row>
    <row r="49" spans="1:18" x14ac:dyDescent="0.35">
      <c r="A49" s="138"/>
      <c r="B49" s="175" t="s">
        <v>151</v>
      </c>
      <c r="C49" s="251"/>
      <c r="D49" s="246"/>
      <c r="E49" s="251"/>
      <c r="F49" s="246"/>
      <c r="G49" s="129"/>
      <c r="H49" s="129"/>
      <c r="I49" s="129"/>
      <c r="J49" s="129"/>
      <c r="K49" s="129"/>
      <c r="L49" s="129"/>
      <c r="M49" s="129"/>
      <c r="N49" s="138"/>
      <c r="O49" s="138"/>
      <c r="P49" s="138"/>
      <c r="Q49" s="138"/>
      <c r="R49" s="138"/>
    </row>
    <row r="50" spans="1:18" x14ac:dyDescent="0.35">
      <c r="A50" s="138"/>
      <c r="B50" s="138"/>
      <c r="C50" s="251"/>
      <c r="D50" s="246"/>
      <c r="E50" s="251"/>
      <c r="F50" s="246"/>
      <c r="G50" s="129"/>
      <c r="H50" s="129"/>
      <c r="I50" s="129"/>
      <c r="J50" s="129"/>
      <c r="K50" s="129"/>
      <c r="L50" s="129"/>
      <c r="M50" s="129"/>
      <c r="N50" s="138"/>
      <c r="O50" s="138"/>
      <c r="P50" s="138"/>
      <c r="Q50" s="138"/>
      <c r="R50" s="138"/>
    </row>
    <row r="51" spans="1:18" x14ac:dyDescent="0.35">
      <c r="A51" s="138"/>
      <c r="B51" s="138"/>
      <c r="C51" s="251"/>
      <c r="D51" s="246"/>
      <c r="E51" s="251"/>
      <c r="F51" s="246"/>
      <c r="G51" s="129"/>
      <c r="H51" s="129"/>
      <c r="I51" s="129"/>
      <c r="J51" s="129"/>
      <c r="K51" s="129"/>
      <c r="L51" s="129"/>
      <c r="M51" s="129"/>
      <c r="N51" s="138"/>
      <c r="O51" s="138"/>
      <c r="P51" s="138"/>
      <c r="Q51" s="138"/>
      <c r="R51" s="138"/>
    </row>
    <row r="52" spans="1:18" x14ac:dyDescent="0.35">
      <c r="A52" s="138"/>
      <c r="B52" s="175"/>
      <c r="C52" s="251"/>
      <c r="D52" s="246"/>
      <c r="E52" s="251"/>
      <c r="F52" s="246"/>
      <c r="G52" s="129"/>
      <c r="H52" s="129"/>
      <c r="I52" s="129"/>
      <c r="J52" s="129"/>
      <c r="K52" s="129"/>
      <c r="L52" s="129"/>
      <c r="M52" s="129"/>
      <c r="N52" s="138"/>
      <c r="O52" s="138"/>
      <c r="P52" s="138"/>
      <c r="Q52" s="138"/>
      <c r="R52" s="138"/>
    </row>
    <row r="53" spans="1:18" x14ac:dyDescent="0.35">
      <c r="A53" s="138"/>
      <c r="B53" s="138"/>
      <c r="C53" s="251"/>
      <c r="D53" s="246"/>
      <c r="E53" s="251"/>
      <c r="F53" s="246"/>
      <c r="G53" s="129"/>
      <c r="H53" s="129"/>
      <c r="I53" s="129"/>
      <c r="J53" s="129"/>
      <c r="K53" s="129"/>
      <c r="L53" s="129"/>
      <c r="M53" s="129"/>
      <c r="N53" s="138"/>
      <c r="O53" s="138"/>
      <c r="P53" s="138"/>
      <c r="Q53" s="138"/>
      <c r="R53" s="138"/>
    </row>
    <row r="54" spans="1:18" x14ac:dyDescent="0.35">
      <c r="A54" s="138"/>
      <c r="B54" s="138"/>
      <c r="C54" s="251"/>
      <c r="D54" s="246"/>
      <c r="E54" s="251"/>
      <c r="F54" s="246"/>
      <c r="G54" s="129"/>
      <c r="H54" s="129"/>
      <c r="I54" s="129"/>
      <c r="J54" s="129"/>
      <c r="K54" s="129"/>
      <c r="L54" s="129"/>
      <c r="M54" s="129"/>
      <c r="N54" s="138"/>
      <c r="O54" s="138"/>
      <c r="P54" s="138"/>
      <c r="Q54" s="138"/>
      <c r="R54" s="138"/>
    </row>
    <row r="55" spans="1:18" x14ac:dyDescent="0.35">
      <c r="A55" s="138"/>
      <c r="B55" s="138"/>
      <c r="C55" s="247"/>
      <c r="D55" s="247"/>
      <c r="E55" s="247"/>
      <c r="F55" s="247"/>
      <c r="G55" s="247"/>
      <c r="H55" s="247"/>
      <c r="I55" s="247"/>
      <c r="J55" s="247"/>
      <c r="K55" s="247"/>
      <c r="L55" s="247"/>
      <c r="M55" s="247"/>
      <c r="N55" s="138"/>
      <c r="O55" s="138"/>
      <c r="P55" s="138"/>
      <c r="Q55" s="138"/>
      <c r="R55" s="138"/>
    </row>
    <row r="56" spans="1:18" x14ac:dyDescent="0.35">
      <c r="A56" s="138"/>
      <c r="B56" s="138"/>
      <c r="C56" s="138"/>
      <c r="D56" s="138"/>
      <c r="E56" s="138"/>
      <c r="F56" s="138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38"/>
      <c r="R56" s="138"/>
    </row>
    <row r="57" spans="1:18" x14ac:dyDescent="0.35">
      <c r="A57" s="138"/>
      <c r="B57" s="138"/>
      <c r="C57" s="138"/>
      <c r="D57" s="138"/>
      <c r="E57" s="138"/>
      <c r="F57" s="138"/>
      <c r="G57" s="138"/>
      <c r="H57" s="138"/>
      <c r="I57" s="138"/>
      <c r="J57" s="138"/>
      <c r="K57" s="138"/>
      <c r="L57" s="138"/>
      <c r="M57" s="138"/>
      <c r="N57" s="138"/>
      <c r="O57" s="138"/>
      <c r="P57" s="138"/>
      <c r="Q57" s="138"/>
      <c r="R57" s="138"/>
    </row>
    <row r="58" spans="1:18" x14ac:dyDescent="0.35">
      <c r="A58" s="138"/>
      <c r="B58" s="138"/>
      <c r="C58" s="138"/>
      <c r="D58" s="138"/>
      <c r="E58" s="138"/>
      <c r="F58" s="138"/>
      <c r="G58" s="138"/>
      <c r="H58" s="138"/>
      <c r="I58" s="138"/>
      <c r="J58" s="138"/>
      <c r="K58" s="138"/>
      <c r="L58" s="138"/>
      <c r="M58" s="138"/>
      <c r="N58" s="138"/>
      <c r="O58" s="138"/>
      <c r="P58" s="138"/>
      <c r="Q58" s="138"/>
      <c r="R58" s="138"/>
    </row>
    <row r="59" spans="1:18" ht="21" x14ac:dyDescent="0.35">
      <c r="A59" s="138"/>
      <c r="B59" s="305"/>
      <c r="C59" s="305"/>
      <c r="D59" s="305"/>
      <c r="E59" s="305"/>
      <c r="F59" s="305"/>
      <c r="G59" s="305"/>
      <c r="H59" s="305"/>
      <c r="I59" s="305"/>
      <c r="J59" s="305"/>
      <c r="K59" s="305"/>
      <c r="L59" s="305"/>
      <c r="M59" s="305"/>
      <c r="N59" s="305"/>
      <c r="O59" s="305"/>
      <c r="P59" s="305"/>
      <c r="Q59" s="138"/>
      <c r="R59" s="138"/>
    </row>
    <row r="60" spans="1:18" ht="21" x14ac:dyDescent="0.35">
      <c r="B60" s="250"/>
      <c r="C60" s="250"/>
      <c r="D60" s="250"/>
      <c r="E60" s="250"/>
      <c r="F60" s="250"/>
      <c r="G60" s="250"/>
      <c r="H60" s="250"/>
      <c r="I60" s="250"/>
      <c r="J60" s="250"/>
      <c r="K60" s="250"/>
      <c r="L60" s="250"/>
      <c r="M60" s="250"/>
      <c r="N60" s="250"/>
      <c r="O60" s="250"/>
      <c r="P60" s="250"/>
      <c r="Q60" s="138"/>
      <c r="R60" s="138"/>
    </row>
    <row r="61" spans="1:18" x14ac:dyDescent="0.35">
      <c r="A61" s="138"/>
      <c r="B61" s="138"/>
      <c r="C61" s="163"/>
      <c r="D61" s="163"/>
      <c r="E61" s="163"/>
      <c r="F61" s="163"/>
      <c r="G61" s="163"/>
      <c r="H61" s="163"/>
      <c r="I61" s="163"/>
      <c r="J61" s="163"/>
      <c r="K61" s="163"/>
      <c r="L61" s="163"/>
      <c r="M61" s="163"/>
      <c r="N61" s="138"/>
      <c r="O61" s="138"/>
      <c r="P61" s="138"/>
      <c r="Q61" s="138"/>
      <c r="R61" s="138"/>
    </row>
    <row r="62" spans="1:18" x14ac:dyDescent="0.35">
      <c r="B62" s="138"/>
      <c r="C62" s="251"/>
      <c r="D62" s="246"/>
      <c r="E62" s="251"/>
      <c r="F62" s="246"/>
      <c r="G62" s="129"/>
      <c r="H62" s="129"/>
      <c r="I62" s="129"/>
      <c r="J62" s="129"/>
      <c r="K62" s="129"/>
      <c r="L62" s="129"/>
      <c r="M62" s="129"/>
      <c r="N62" s="138"/>
      <c r="O62" s="138"/>
      <c r="P62" s="138"/>
      <c r="Q62" s="138"/>
      <c r="R62" s="138"/>
    </row>
    <row r="63" spans="1:18" x14ac:dyDescent="0.35">
      <c r="A63" s="138"/>
      <c r="B63" s="138"/>
      <c r="C63" s="251"/>
      <c r="D63" s="246"/>
      <c r="E63" s="251"/>
      <c r="F63" s="246"/>
      <c r="G63" s="129"/>
      <c r="H63" s="129"/>
      <c r="I63" s="129"/>
      <c r="J63" s="129"/>
      <c r="K63" s="129"/>
      <c r="L63" s="129"/>
      <c r="M63" s="129"/>
      <c r="N63" s="138"/>
      <c r="O63" s="138"/>
      <c r="P63" s="138"/>
      <c r="Q63" s="138"/>
      <c r="R63" s="138"/>
    </row>
    <row r="64" spans="1:18" x14ac:dyDescent="0.35">
      <c r="A64" s="138"/>
      <c r="B64" s="138"/>
      <c r="C64" s="251"/>
      <c r="D64" s="246"/>
      <c r="E64" s="251"/>
      <c r="F64" s="246"/>
      <c r="G64" s="129"/>
      <c r="H64" s="129"/>
      <c r="I64" s="129"/>
      <c r="J64" s="129"/>
      <c r="K64" s="129"/>
      <c r="L64" s="129"/>
      <c r="M64" s="129"/>
      <c r="N64" s="138"/>
      <c r="O64" s="138"/>
      <c r="P64" s="138"/>
      <c r="Q64" s="138"/>
      <c r="R64" s="138"/>
    </row>
    <row r="65" spans="1:18" x14ac:dyDescent="0.35">
      <c r="A65" s="138"/>
      <c r="B65" s="175"/>
      <c r="C65" s="251"/>
      <c r="D65" s="246"/>
      <c r="E65" s="251"/>
      <c r="F65" s="246"/>
      <c r="G65" s="129"/>
      <c r="H65" s="129"/>
      <c r="I65" s="129"/>
      <c r="J65" s="129"/>
      <c r="K65" s="129"/>
      <c r="L65" s="129"/>
      <c r="M65" s="129"/>
      <c r="N65" s="138"/>
      <c r="O65" s="138"/>
      <c r="P65" s="138"/>
      <c r="Q65" s="138"/>
      <c r="R65" s="138"/>
    </row>
    <row r="66" spans="1:18" x14ac:dyDescent="0.35">
      <c r="B66" s="138"/>
      <c r="C66" s="251"/>
      <c r="D66" s="246"/>
      <c r="E66" s="251"/>
      <c r="F66" s="246"/>
      <c r="G66" s="129"/>
      <c r="H66" s="129"/>
      <c r="I66" s="129"/>
      <c r="J66" s="129"/>
      <c r="K66" s="129"/>
      <c r="L66" s="129"/>
      <c r="M66" s="129"/>
      <c r="N66" s="138"/>
      <c r="O66" s="138"/>
      <c r="P66" s="138"/>
    </row>
    <row r="67" spans="1:18" x14ac:dyDescent="0.35">
      <c r="B67" s="138"/>
      <c r="C67" s="251"/>
      <c r="D67" s="246"/>
      <c r="E67" s="251"/>
      <c r="F67" s="246"/>
      <c r="G67" s="129"/>
      <c r="H67" s="129"/>
      <c r="I67" s="129"/>
      <c r="J67" s="129"/>
      <c r="K67" s="129"/>
      <c r="L67" s="129"/>
      <c r="M67" s="129"/>
      <c r="N67" s="138"/>
      <c r="O67" s="138"/>
      <c r="P67" s="138"/>
    </row>
    <row r="68" spans="1:18" x14ac:dyDescent="0.35">
      <c r="B68" s="138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138"/>
      <c r="O68" s="138"/>
      <c r="P68" s="138"/>
    </row>
    <row r="69" spans="1:18" x14ac:dyDescent="0.35">
      <c r="B69" s="138"/>
      <c r="C69" s="138"/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</row>
  </sheetData>
  <sheetProtection formatCells="0"/>
  <mergeCells count="4">
    <mergeCell ref="B2:P2"/>
    <mergeCell ref="B59:P59"/>
    <mergeCell ref="B19:R19"/>
    <mergeCell ref="B32:R32"/>
  </mergeCells>
  <conditionalFormatting sqref="F5:H14">
    <cfRule type="cellIs" dxfId="60" priority="111" operator="greaterThan">
      <formula>0</formula>
    </cfRule>
    <cfRule type="cellIs" dxfId="59" priority="112" operator="lessThan">
      <formula>0</formula>
    </cfRule>
  </conditionalFormatting>
  <conditionalFormatting sqref="M27 M25 E22:E27">
    <cfRule type="top10" dxfId="58" priority="108" rank="1"/>
  </conditionalFormatting>
  <conditionalFormatting sqref="M24:M25 M27">
    <cfRule type="top10" dxfId="57" priority="102" rank="1"/>
  </conditionalFormatting>
  <conditionalFormatting sqref="M22">
    <cfRule type="top10" dxfId="56" priority="101" rank="1"/>
  </conditionalFormatting>
  <conditionalFormatting sqref="M23">
    <cfRule type="top10" dxfId="55" priority="100" rank="1"/>
  </conditionalFormatting>
  <conditionalFormatting sqref="M26">
    <cfRule type="top10" dxfId="54" priority="99" rank="1"/>
  </conditionalFormatting>
  <conditionalFormatting sqref="E22:E27">
    <cfRule type="top10" dxfId="53" priority="98" rank="1"/>
  </conditionalFormatting>
  <conditionalFormatting sqref="M35">
    <cfRule type="top10" dxfId="52" priority="84" rank="1"/>
    <cfRule type="top10" dxfId="51" priority="90" rank="1"/>
  </conditionalFormatting>
  <conditionalFormatting sqref="M35:M40">
    <cfRule type="top10" dxfId="50" priority="85" rank="1"/>
  </conditionalFormatting>
  <conditionalFormatting sqref="E22:E27">
    <cfRule type="top10" dxfId="49" priority="54" rank="1"/>
  </conditionalFormatting>
  <conditionalFormatting sqref="H22:L22">
    <cfRule type="top10" dxfId="48" priority="52" rank="1"/>
  </conditionalFormatting>
  <conditionalFormatting sqref="H22:L22">
    <cfRule type="top10" dxfId="47" priority="51" rank="1"/>
  </conditionalFormatting>
  <conditionalFormatting sqref="H22:L22">
    <cfRule type="top10" dxfId="46" priority="50" rank="1"/>
  </conditionalFormatting>
  <conditionalFormatting sqref="H23:L27">
    <cfRule type="top10" dxfId="45" priority="49" rank="1"/>
  </conditionalFormatting>
  <conditionalFormatting sqref="H23:L27">
    <cfRule type="top10" dxfId="44" priority="48" rank="1"/>
  </conditionalFormatting>
  <conditionalFormatting sqref="H23:L27">
    <cfRule type="top10" dxfId="43" priority="47" rank="1"/>
  </conditionalFormatting>
  <conditionalFormatting sqref="G22:G27">
    <cfRule type="top10" dxfId="42" priority="46" rank="1"/>
  </conditionalFormatting>
  <conditionalFormatting sqref="F35:L35">
    <cfRule type="top10" dxfId="41" priority="45" rank="1"/>
  </conditionalFormatting>
  <conditionalFormatting sqref="F36:L40">
    <cfRule type="top10" dxfId="40" priority="44" rank="1"/>
  </conditionalFormatting>
  <conditionalFormatting sqref="E35:E40">
    <cfRule type="top10" dxfId="39" priority="43" rank="1"/>
  </conditionalFormatting>
  <conditionalFormatting sqref="I5">
    <cfRule type="cellIs" dxfId="38" priority="41" operator="greaterThan">
      <formula>0</formula>
    </cfRule>
    <cfRule type="cellIs" dxfId="37" priority="42" operator="lessThan">
      <formula>0</formula>
    </cfRule>
  </conditionalFormatting>
  <conditionalFormatting sqref="F22:F27">
    <cfRule type="top10" dxfId="36" priority="40" rank="1"/>
  </conditionalFormatting>
  <conditionalFormatting sqref="L54 L52">
    <cfRule type="top10" dxfId="35" priority="39" rank="1"/>
  </conditionalFormatting>
  <conditionalFormatting sqref="L51:L52 L54">
    <cfRule type="top10" dxfId="34" priority="38" rank="1"/>
  </conditionalFormatting>
  <conditionalFormatting sqref="L49:L54">
    <cfRule type="top10" dxfId="33" priority="37" rank="1"/>
  </conditionalFormatting>
  <conditionalFormatting sqref="L50">
    <cfRule type="top10" dxfId="32" priority="36" rank="1"/>
  </conditionalFormatting>
  <conditionalFormatting sqref="L53">
    <cfRule type="top10" dxfId="31" priority="35" rank="1"/>
  </conditionalFormatting>
  <conditionalFormatting sqref="G49:L54">
    <cfRule type="top10" dxfId="30" priority="32" rank="1"/>
  </conditionalFormatting>
  <conditionalFormatting sqref="G49:L54">
    <cfRule type="top10" dxfId="29" priority="31" rank="1"/>
  </conditionalFormatting>
  <conditionalFormatting sqref="G49:L54">
    <cfRule type="top10" dxfId="28" priority="30" rank="1"/>
  </conditionalFormatting>
  <conditionalFormatting sqref="G50:L54">
    <cfRule type="top10" dxfId="27" priority="29" rank="1"/>
  </conditionalFormatting>
  <conditionalFormatting sqref="G50:L54">
    <cfRule type="top10" dxfId="26" priority="28" rank="1"/>
  </conditionalFormatting>
  <conditionalFormatting sqref="G50:L54">
    <cfRule type="top10" dxfId="25" priority="27" rank="1"/>
  </conditionalFormatting>
  <conditionalFormatting sqref="E49:E54">
    <cfRule type="top10" dxfId="24" priority="25" rank="1"/>
  </conditionalFormatting>
  <conditionalFormatting sqref="G49:L54">
    <cfRule type="top10" dxfId="23" priority="24" rank="1"/>
  </conditionalFormatting>
  <conditionalFormatting sqref="G49:L54">
    <cfRule type="top10" dxfId="22" priority="23" rank="1"/>
  </conditionalFormatting>
  <conditionalFormatting sqref="G49:L54">
    <cfRule type="top10" dxfId="21" priority="22" rank="1"/>
  </conditionalFormatting>
  <conditionalFormatting sqref="I49:I54">
    <cfRule type="top10" dxfId="20" priority="21" rank="1"/>
  </conditionalFormatting>
  <conditionalFormatting sqref="H49:H54">
    <cfRule type="top10" dxfId="19" priority="20" rank="1"/>
  </conditionalFormatting>
  <conditionalFormatting sqref="L67 L65">
    <cfRule type="top10" dxfId="18" priority="19" rank="1"/>
  </conditionalFormatting>
  <conditionalFormatting sqref="L64:L65 L67">
    <cfRule type="top10" dxfId="17" priority="18" rank="1"/>
  </conditionalFormatting>
  <conditionalFormatting sqref="L62:L67">
    <cfRule type="top10" dxfId="16" priority="17" rank="1"/>
  </conditionalFormatting>
  <conditionalFormatting sqref="L63">
    <cfRule type="top10" dxfId="15" priority="16" rank="1"/>
  </conditionalFormatting>
  <conditionalFormatting sqref="L66">
    <cfRule type="top10" dxfId="14" priority="15" rank="1"/>
  </conditionalFormatting>
  <conditionalFormatting sqref="G62:L67">
    <cfRule type="top10" dxfId="13" priority="14" rank="1"/>
  </conditionalFormatting>
  <conditionalFormatting sqref="G62:L67">
    <cfRule type="top10" dxfId="12" priority="13" rank="1"/>
  </conditionalFormatting>
  <conditionalFormatting sqref="G62:L67">
    <cfRule type="top10" dxfId="11" priority="12" rank="1"/>
  </conditionalFormatting>
  <conditionalFormatting sqref="G63:L67">
    <cfRule type="top10" dxfId="10" priority="11" rank="1"/>
  </conditionalFormatting>
  <conditionalFormatting sqref="G63:L67">
    <cfRule type="top10" dxfId="9" priority="10" rank="1"/>
  </conditionalFormatting>
  <conditionalFormatting sqref="G63:L67">
    <cfRule type="top10" dxfId="8" priority="9" rank="1"/>
  </conditionalFormatting>
  <conditionalFormatting sqref="E62:E67">
    <cfRule type="top10" dxfId="7" priority="8" rank="1"/>
  </conditionalFormatting>
  <conditionalFormatting sqref="G62:L67">
    <cfRule type="top10" dxfId="6" priority="7" rank="1"/>
  </conditionalFormatting>
  <conditionalFormatting sqref="G62:L67">
    <cfRule type="top10" dxfId="5" priority="6" rank="1"/>
  </conditionalFormatting>
  <conditionalFormatting sqref="G62:L67">
    <cfRule type="top10" dxfId="4" priority="5" rank="1"/>
  </conditionalFormatting>
  <conditionalFormatting sqref="I62:I67">
    <cfRule type="top10" dxfId="3" priority="4" rank="1"/>
  </conditionalFormatting>
  <conditionalFormatting sqref="H62:H67">
    <cfRule type="top10" dxfId="2" priority="3" rank="1"/>
  </conditionalFormatting>
  <conditionalFormatting sqref="L5:N14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scale="42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tabColor theme="4" tint="0.39997558519241921"/>
  </sheetPr>
  <dimension ref="A1:V28"/>
  <sheetViews>
    <sheetView workbookViewId="0">
      <selection activeCell="Q2" sqref="Q2"/>
    </sheetView>
  </sheetViews>
  <sheetFormatPr defaultRowHeight="14.5" x14ac:dyDescent="0.35"/>
  <cols>
    <col min="1" max="1" width="14.453125" bestFit="1" customWidth="1"/>
    <col min="2" max="2" width="11.26953125" customWidth="1"/>
    <col min="4" max="5" width="11.81640625" customWidth="1"/>
    <col min="6" max="6" width="9.26953125" bestFit="1" customWidth="1"/>
    <col min="8" max="8" width="16.1796875" customWidth="1"/>
    <col min="9" max="9" width="12.7265625" customWidth="1"/>
    <col min="10" max="10" width="12.453125" customWidth="1"/>
    <col min="11" max="12" width="13.26953125" customWidth="1"/>
    <col min="13" max="13" width="15.54296875" bestFit="1" customWidth="1"/>
    <col min="14" max="14" width="15.54296875" customWidth="1"/>
    <col min="15" max="15" width="15.81640625" customWidth="1"/>
    <col min="16" max="16" width="10.1796875" bestFit="1" customWidth="1"/>
  </cols>
  <sheetData>
    <row r="1" spans="1:22" ht="15" thickBot="1" x14ac:dyDescent="0.4">
      <c r="A1" s="47" t="s">
        <v>2</v>
      </c>
      <c r="B1" s="47" t="s">
        <v>112</v>
      </c>
      <c r="C1" s="47" t="s">
        <v>114</v>
      </c>
      <c r="D1" s="47" t="s">
        <v>113</v>
      </c>
      <c r="E1" s="47" t="s">
        <v>152</v>
      </c>
      <c r="F1" s="47" t="s">
        <v>153</v>
      </c>
      <c r="H1" s="47" t="s">
        <v>2</v>
      </c>
      <c r="I1" s="47" t="s">
        <v>112</v>
      </c>
      <c r="J1" s="47" t="s">
        <v>114</v>
      </c>
      <c r="K1" s="47" t="s">
        <v>113</v>
      </c>
      <c r="L1" s="47" t="s">
        <v>152</v>
      </c>
      <c r="M1" s="47" t="s">
        <v>154</v>
      </c>
      <c r="N1" s="108"/>
      <c r="O1" s="47" t="s">
        <v>2</v>
      </c>
      <c r="P1" s="47" t="s">
        <v>112</v>
      </c>
      <c r="Q1" s="47" t="s">
        <v>114</v>
      </c>
      <c r="R1" s="47" t="s">
        <v>113</v>
      </c>
      <c r="S1" s="47" t="s">
        <v>152</v>
      </c>
      <c r="T1" s="47" t="s">
        <v>155</v>
      </c>
      <c r="V1" s="108" t="s">
        <v>55</v>
      </c>
    </row>
    <row r="2" spans="1:22" x14ac:dyDescent="0.35">
      <c r="A2" s="44" t="s">
        <v>8</v>
      </c>
      <c r="B2" s="123">
        <f>UA_SQL_1!O2/UA_SQL_1!N2</f>
        <v>6.5889508362899137E-3</v>
      </c>
      <c r="C2" s="122">
        <f>SUMIFS(OA_SQL_1!$L:$L,OA_SQL_1!$A:$A,"DL")/SUMIFS(OA_SQL_1!$J:$J,OA_SQL_1!$A:$A,"DL")</f>
        <v>0.99941141848145965</v>
      </c>
      <c r="D2" s="122">
        <f>SUMIFS(OA_SQL_1!$L:$L,OA_SQL_1!$A:$A,"AA")/SUMIFS(OA_SQL_1!$J:$J,OA_SQL_1!$A:$A,"AA")</f>
        <v>0.98691192076406087</v>
      </c>
      <c r="E2" s="49"/>
      <c r="F2" s="50">
        <f>RANK(B2,B2:D2,0)</f>
        <v>3</v>
      </c>
      <c r="H2" s="44" t="s">
        <v>8</v>
      </c>
      <c r="I2" s="28">
        <f>(UA_SQL_1!$X$2/UA_SQL_1!$W$2)</f>
        <v>0.99684542586750791</v>
      </c>
      <c r="J2" s="49">
        <f>SUMIF(OA_SQL_1!$A$1:$A$3,"DL",OA_SQL_1!$O$1:$O$3)/SUMIF(OA_SQL_1!$A$1:$A$3,"DL",OA_SQL_1!$M$1:$M$3)</f>
        <v>1.2970069071373753</v>
      </c>
      <c r="K2" s="49">
        <f>SUMIF(OA_SQL_1!$A$1:$A$3,"AA",OA_SQL_1!$O1:O$3)/SUMIF(OA_SQL_1!$A$1:$A$3,"AA",OA_SQL_1!$M$1:$M$3)</f>
        <v>1.3020292590844738</v>
      </c>
      <c r="L2" s="49"/>
      <c r="M2" s="50">
        <f>RANK(I2,I2:K2,0)</f>
        <v>3</v>
      </c>
      <c r="N2" s="50"/>
      <c r="O2" s="44" t="s">
        <v>8</v>
      </c>
      <c r="P2" s="142">
        <v>0.01</v>
      </c>
      <c r="Q2" s="249">
        <f>1-(SUMIFS(OA_SQL_1!$G:$G,OA_SQL_1!$A:$A,"DL")/SUMIFS(OA_SQL_1!$E:$E,OA_SQL_1!$A:$A,"DL"))</f>
        <v>8.6206896551721535E-4</v>
      </c>
      <c r="R2" s="249">
        <f>1-(SUMIFS(OA_SQL_1!$G:$G,OA_SQL_1!$A:$A,"AA")/SUMIFS(OA_SQL_1!$E:$E,OA_SQL_1!$A:$A,"AA"))</f>
        <v>6.494423266977245E-3</v>
      </c>
      <c r="S2" s="49"/>
      <c r="T2" s="50">
        <f>RANK(P2,P2:R2,1)</f>
        <v>3</v>
      </c>
    </row>
    <row r="3" spans="1:22" x14ac:dyDescent="0.35">
      <c r="A3" s="44" t="s">
        <v>9</v>
      </c>
      <c r="B3" s="28">
        <f>UA_SQL_1!R2/UA_SQL_1!N2</f>
        <v>0.66953877344145973</v>
      </c>
      <c r="C3" s="122">
        <f>SUMIFS(OA_SQL_1!$M:$M,OA_SQL_1!$A:$A,"DL")/SUMIFS(OA_SQL_1!$J:$J,OA_SQL_1!$A:$A,"DL")</f>
        <v>0.76692171865803416</v>
      </c>
      <c r="D3" s="122">
        <f>SUMIFS(OA_SQL_1!$M:$M,OA_SQL_1!$A:$A,"AA")/SUMIFS(OA_SQL_1!$J:$J,OA_SQL_1!$A:$A,"AA")</f>
        <v>0.74955783516094798</v>
      </c>
      <c r="E3" s="49"/>
      <c r="F3" s="50">
        <f>RANK(B3,B3:D3,0)</f>
        <v>3</v>
      </c>
      <c r="H3" s="44" t="s">
        <v>9</v>
      </c>
      <c r="I3" s="28">
        <f>UA_SQL_1!Y2/UA_SQL_1!U2</f>
        <v>5.3731343283582094</v>
      </c>
      <c r="J3" s="49">
        <f>SUMIF(OA_SQL_1!$A$1:$A$3,"DL",OA_SQL_1!$P$1:$P$3)/SUMIF(OA_SQL_1!$A$1:$A$3,"DL",OA_SQL_1!$M$1:$M$3)</f>
        <v>0.95702225633154259</v>
      </c>
      <c r="K3" s="49">
        <f>SUMIF(OA_SQL_1!$A$1:$A$3,"AA",OA_SQL_1!$P$1:$P$3)/SUMIF(OA_SQL_1!$A$1:$A$3,"AA",OA_SQL_1!$M$1:$M$3)</f>
        <v>0.96366210476639924</v>
      </c>
      <c r="L3" s="49"/>
      <c r="M3" s="50">
        <f>RANK(I3,I3:K3,0)</f>
        <v>1</v>
      </c>
      <c r="N3" s="50"/>
      <c r="O3" s="44" t="s">
        <v>9</v>
      </c>
      <c r="P3" s="142">
        <f>UA_SQL_1!$I$2/UA_SQL_1!$E$2</f>
        <v>0.66446365022877474</v>
      </c>
      <c r="Q3" s="49">
        <f>SUMIFS(OA_SQL_1!$H:$H,OA_SQL_1!$A:$A,"DL")/SUMIFS(OA_SQL_1!$E:$E,OA_SQL_1!$A:$A,"DL")</f>
        <v>0.7405172413793103</v>
      </c>
      <c r="R3" s="49">
        <f>SUMIFS(OA_SQL_1!$H:$H,OA_SQL_1!$A:$A,"AA")/SUMIFS(OA_SQL_1!$E:$E,OA_SQL_1!$A:$A,"AA")</f>
        <v>0.71664548919949178</v>
      </c>
      <c r="S3" s="49"/>
      <c r="T3" s="50">
        <f t="shared" ref="T3:T5" si="0">RANK(P3,P3:R3,0)</f>
        <v>3</v>
      </c>
    </row>
    <row r="4" spans="1:22" x14ac:dyDescent="0.35">
      <c r="A4" s="43" t="s">
        <v>11</v>
      </c>
      <c r="B4" s="32">
        <f>UA_SQL_1!Q2/UA_SQL_1!N2</f>
        <v>0.78003041054232136</v>
      </c>
      <c r="C4" s="122">
        <f>SUMIFS(OA_SQL_1!$K:$K,OA_SQL_1!$A:$A,"DL")/SUMIFS(OA_SQL_1!$J:$J,OA_SQL_1!$A:$A,"DL")</f>
        <v>0.80753384343731605</v>
      </c>
      <c r="D4" s="122">
        <f>SUMIFS(OA_SQL_1!$K:$K,OA_SQL_1!$A:$A,"AA")/SUMIFS(OA_SQL_1!$J:$J,OA_SQL_1!$A:$A,"AA")</f>
        <v>0.78917580474000704</v>
      </c>
      <c r="E4" s="49"/>
      <c r="F4" s="50">
        <f>RANK(B4,B4:D4,0)</f>
        <v>3</v>
      </c>
      <c r="H4" s="43" t="s">
        <v>11</v>
      </c>
      <c r="I4" s="32">
        <f>UA_SQL_1!X2/UA_SQL_1!U2</f>
        <v>7.0746268656716422</v>
      </c>
      <c r="J4" s="49">
        <f>SUMIF(OA_SQL_1!$A$1:$A$3,"DL",OA_SQL_1!$N$1:$N$3)/SUMIF(OA_SQL_1!$A$1:$A$3,"DL",OA_SQL_1!$M$1:$M$3)</f>
        <v>1.1442824251726784</v>
      </c>
      <c r="K4" s="49">
        <f>SUMIF(OA_SQL_1!$A$1:$A$3,"AA",OA_SQL_1!$N$1:$N$3)/SUMIF(OA_SQL_1!$A$1:$A$3,"AA",OA_SQL_1!$M$1:$M$3)</f>
        <v>1.1373289287399717</v>
      </c>
      <c r="L4" s="49"/>
      <c r="M4" s="50">
        <f>RANK(I4,I4:K4,0)</f>
        <v>1</v>
      </c>
      <c r="N4" s="50"/>
      <c r="O4" s="43" t="s">
        <v>11</v>
      </c>
      <c r="P4" s="142">
        <f>UA_SQL_1!$H$2/UA_SQL_1!$E$2</f>
        <v>0.76817488561260805</v>
      </c>
      <c r="Q4" s="249">
        <f>SUMIFS(OA_SQL_1!$F:$F,OA_SQL_1!$A:$A,"DL")/SUMIFS(OA_SQL_1!$E:$E,OA_SQL_1!$A:$A,"DL")</f>
        <v>0.78546798029556653</v>
      </c>
      <c r="R4" s="249">
        <f>SUMIFS(OA_SQL_1!$F:$F,OA_SQL_1!$A:$A,"AA")/SUMIFS(OA_SQL_1!$E:$E,OA_SQL_1!$A:$A,"AA")</f>
        <v>0.76316532542707893</v>
      </c>
      <c r="S4" s="49"/>
      <c r="T4" s="50">
        <f t="shared" si="0"/>
        <v>2</v>
      </c>
    </row>
    <row r="5" spans="1:22" x14ac:dyDescent="0.35">
      <c r="A5" s="187" t="s">
        <v>123</v>
      </c>
      <c r="B5" s="249">
        <f>(UA_SQL_1!$S$2/UA_SQL_1!$N$2)</f>
        <v>0.80739989863152561</v>
      </c>
      <c r="C5" s="122">
        <f>SUMIFS(OA_SQL_1!$N:$N,OA_SQL_1!$A:$A,"DL")/SUMIFS(OA_SQL_1!$J:$J,OA_SQL_1!$A:$A,"DL")</f>
        <v>0.87757504414361387</v>
      </c>
      <c r="D5" s="122">
        <f>SUMIFS(OA_SQL_1!$N:$N,OA_SQL_1!$A:$A,"AA")/SUMIFS(OA_SQL_1!$J:$J,OA_SQL_1!$A:$A,"AA")</f>
        <v>0.8524938096922533</v>
      </c>
      <c r="F5" s="50">
        <f>RANK(B5,B5:D5,0)</f>
        <v>3</v>
      </c>
      <c r="O5" s="187" t="s">
        <v>123</v>
      </c>
      <c r="P5" s="142">
        <f>UA_SQL_1!$J$2/UA_SQL_1!$E$2</f>
        <v>0.81169293340111848</v>
      </c>
      <c r="Q5" s="188">
        <f>SUMIFS(OA_SQL_1!$I:$I,OA_SQL_1!$A:$A,"DL")/SUMIFS(OA_SQL_1!$E:$E,OA_SQL_1!$A:$A,"DL")</f>
        <v>0.84642857142857142</v>
      </c>
      <c r="R5" s="188">
        <f>SUMIFS(OA_SQL_1!$I:$I,OA_SQL_1!$A:$A,"AA")/SUMIFS(OA_SQL_1!$E:$E,OA_SQL_1!$A:$A,"AA")</f>
        <v>0.83587462939432444</v>
      </c>
      <c r="T5" s="50">
        <f t="shared" si="0"/>
        <v>3</v>
      </c>
    </row>
    <row r="6" spans="1:22" ht="15" thickBot="1" x14ac:dyDescent="0.4"/>
    <row r="7" spans="1:22" ht="15" thickBot="1" x14ac:dyDescent="0.4">
      <c r="A7" s="47" t="s">
        <v>94</v>
      </c>
      <c r="B7" s="47" t="s">
        <v>112</v>
      </c>
      <c r="C7" s="47" t="s">
        <v>114</v>
      </c>
      <c r="D7" s="47" t="s">
        <v>113</v>
      </c>
      <c r="E7" s="47" t="s">
        <v>152</v>
      </c>
      <c r="F7" s="47" t="s">
        <v>153</v>
      </c>
      <c r="H7" s="47" t="s">
        <v>94</v>
      </c>
      <c r="I7" s="47" t="s">
        <v>112</v>
      </c>
      <c r="J7" s="47" t="s">
        <v>114</v>
      </c>
      <c r="K7" s="47" t="s">
        <v>113</v>
      </c>
      <c r="L7" s="47" t="s">
        <v>152</v>
      </c>
      <c r="M7" s="47" t="s">
        <v>154</v>
      </c>
      <c r="N7" s="108"/>
      <c r="O7" s="47" t="s">
        <v>94</v>
      </c>
      <c r="P7" s="47" t="s">
        <v>112</v>
      </c>
      <c r="Q7" s="47" t="s">
        <v>114</v>
      </c>
      <c r="R7" s="47" t="s">
        <v>113</v>
      </c>
      <c r="S7" s="47" t="s">
        <v>152</v>
      </c>
      <c r="T7" s="47" t="s">
        <v>155</v>
      </c>
      <c r="V7" s="108" t="s">
        <v>55</v>
      </c>
    </row>
    <row r="8" spans="1:22" x14ac:dyDescent="0.35">
      <c r="A8" s="105" t="s">
        <v>95</v>
      </c>
      <c r="B8" s="74">
        <f>SUMIFS(UA_HUB_SQL_7!$K:$K,UA_HUB_SQL_7!$B:$B,RANK!$A8)/SUMIFS(UA_HUB_SQL_7!$F:$F,UA_HUB_SQL_7!$B:$B,RANK!$A8)</f>
        <v>0.90206185567010311</v>
      </c>
      <c r="C8" s="107"/>
      <c r="D8" s="107"/>
      <c r="E8" s="107"/>
      <c r="F8" s="50"/>
      <c r="H8" s="105" t="s">
        <v>95</v>
      </c>
      <c r="I8" s="74" t="e">
        <f>SUMIFS(UA_HUB_SQL_7!P:P,UA_HUB_SQL_7!B:B,RANK!H8)/SUMIFS(UA_HUB_SQL_7!M:M,UA_HUB_SQL_7!B:B,RANK!H8)</f>
        <v>#DIV/0!</v>
      </c>
      <c r="J8" s="107"/>
      <c r="K8" s="107"/>
      <c r="L8" s="107"/>
      <c r="M8" s="50"/>
      <c r="N8" s="50"/>
      <c r="O8" s="105" t="s">
        <v>95</v>
      </c>
      <c r="P8" s="74">
        <f>SUMIFS(UA_HUB_SQL_7!$W:$W,UA_HUB_SQL_7!$B:$B,RANK!$O8)/SUMIFS(UA_HUB_SQL_7!$R:$R,UA_HUB_SQL_7!$B:$B,RANK!$O8)</f>
        <v>0.87628865979381443</v>
      </c>
      <c r="Q8" s="107"/>
      <c r="R8" s="107"/>
      <c r="S8" s="107"/>
      <c r="T8" s="50"/>
    </row>
    <row r="9" spans="1:22" x14ac:dyDescent="0.35">
      <c r="A9" s="105" t="s">
        <v>96</v>
      </c>
      <c r="B9" s="74">
        <f>SUMIFS(UA_HUB_SQL_7!$K:$K,UA_HUB_SQL_7!$B:$B,RANK!$A9)/SUMIFS(UA_HUB_SQL_7!$F:$F,UA_HUB_SQL_7!$B:$B,RANK!$A9)</f>
        <v>0.70270270270270274</v>
      </c>
      <c r="C9" s="107">
        <f>(SUMIFS(OA_SQL_2!$K:$K,OA_SQL_2!$B:$B,"DL",OA_SQL_2!$A:$A,RANK!$A9)/SUMIFS(OA_SQL_2!$J:$J,OA_SQL_2!$B:$B,"DL",OA_SQL_2!$A:$A,RANK!$A9))</f>
        <v>0.78740157480314965</v>
      </c>
      <c r="D9" s="107">
        <f>(SUMIFS(OA_SQL_2!$K:$K,OA_SQL_2!$B:$B,"AA",OA_SQL_2!$A:$A,RANK!$A9)/SUMIFS(OA_SQL_2!$J:$J,OA_SQL_2!$B:$B,"AA",OA_SQL_2!$A:$A,RANK!$A9))</f>
        <v>0.83582089552238803</v>
      </c>
      <c r="E9" s="107"/>
      <c r="F9" s="50">
        <f>RANK(B9,B9:D9,0)</f>
        <v>3</v>
      </c>
      <c r="H9" s="105" t="s">
        <v>96</v>
      </c>
      <c r="I9" s="74">
        <f>SUMIFS(UA_HUB_SQL_7!P:P,UA_HUB_SQL_7!B:B,RANK!H9)/SUMIFS(UA_HUB_SQL_7!M:M,UA_HUB_SQL_7!B:B,RANK!H9)</f>
        <v>65</v>
      </c>
      <c r="J9" s="107">
        <f>1-(IFERROR(SUMIFS(OA_SQL_2!O:O,OA_SQL_2!A:A,RANK!H9,OA_SQL_2!B:B,"DL")/SUMIFS(OA_SQL_2!N:N,OA_SQL_2!A:A,RANK!H9,OA_SQL_2!B:B,"DL"),"-"))</f>
        <v>0.48031496062992129</v>
      </c>
      <c r="K9" s="107">
        <f>1-(IFERROR(SUMIFS(OA_SQL_2!$O:$O,OA_SQL_2!$A:$A,RANK!H9,OA_SQL_2!$B:$B,"AA")/SUMIFS(OA_SQL_2!$N:$N,OA_SQL_2!$A:$A,RANK!H9,OA_SQL_2!$B:$B,"AA"),"-"))</f>
        <v>0.55223880597014929</v>
      </c>
      <c r="L9" s="107"/>
      <c r="M9" s="50">
        <f>RANK(I9,I9:K9,0)</f>
        <v>1</v>
      </c>
      <c r="N9" s="50"/>
      <c r="O9" s="105" t="s">
        <v>96</v>
      </c>
      <c r="P9" s="74">
        <f>SUMIFS(UA_HUB_SQL_7!$W:$W,UA_HUB_SQL_7!$B:$B,RANK!$O9)/SUMIFS(UA_HUB_SQL_7!$R:$R,UA_HUB_SQL_7!$B:$B,RANK!$O9)</f>
        <v>0.62737642585551334</v>
      </c>
      <c r="Q9" s="107">
        <f>SUMIFS(OA_SQL_2!$G:$G,OA_SQL_2!$B:$B,"DL",OA_SQL_2!$A:$A,RANK!$O9)/SUMIFS(OA_SQL_2!$F:$F,OA_SQL_2!$B:$B,"DL",OA_SQL_2!$A:$A,RANK!$O9)</f>
        <v>0.70094258783204799</v>
      </c>
      <c r="R9" s="107">
        <f>IFERROR((SUMIFS(OA_SQL_2!$K:$K,OA_SQL_2!$A:$A,RANK!O9,OA_SQL_2!$B:$B,"AA")/SUMIFS(OA_SQL_2!$J:$J,OA_SQL_2!$A:$A,O9,OA_SQL_2!$B:$B,"AA")),"-")</f>
        <v>0.83582089552238803</v>
      </c>
      <c r="S9" s="107"/>
      <c r="T9" s="50">
        <f>RANK(P9,P9:R9,0)</f>
        <v>3</v>
      </c>
    </row>
    <row r="10" spans="1:22" x14ac:dyDescent="0.35">
      <c r="A10" s="106" t="s">
        <v>98</v>
      </c>
      <c r="B10" s="74">
        <f>SUMIFS(UA_HUB_SQL_7!$K:$K,UA_HUB_SQL_7!$B:$B,RANK!$A10)/SUMIFS(UA_HUB_SQL_7!$F:$F,UA_HUB_SQL_7!$B:$B,RANK!$A10)</f>
        <v>0.74436090225563911</v>
      </c>
      <c r="C10" s="107">
        <f>(SUMIFS(OA_SQL_2!$K:$K,OA_SQL_2!$B:$B,"DL",OA_SQL_2!$A:$A,RANK!$A10)/SUMIFS(OA_SQL_2!$J:$J,OA_SQL_2!$B:$B,"DL",OA_SQL_2!$A:$A,RANK!$A10))</f>
        <v>0.69047619047619047</v>
      </c>
      <c r="D10" s="107">
        <f>(SUMIFS(OA_SQL_2!$K:$K,OA_SQL_2!$B:$B,"AA",OA_SQL_2!$A:$A,RANK!$A10)/SUMIFS(OA_SQL_2!$J:$J,OA_SQL_2!$B:$B,"AA",OA_SQL_2!$A:$A,RANK!$A10))</f>
        <v>0.55154639175257736</v>
      </c>
      <c r="E10" s="107"/>
      <c r="F10" s="50">
        <f>RANK(B10,B10:D10,0)</f>
        <v>1</v>
      </c>
      <c r="H10" s="106" t="s">
        <v>98</v>
      </c>
      <c r="I10" s="74">
        <f>SUMIFS(UA_HUB_SQL_7!P:P,UA_HUB_SQL_7!B:B,RANK!H10)/SUMIFS(UA_HUB_SQL_7!M:M,UA_HUB_SQL_7!B:B,RANK!H10)</f>
        <v>100</v>
      </c>
      <c r="J10" s="107">
        <f>1-(IFERROR(SUMIFS(OA_SQL_2!O:O,OA_SQL_2!A:A,RANK!H10,OA_SQL_2!B:B,"DL")/SUMIFS(OA_SQL_2!N:N,OA_SQL_2!A:A,RANK!H10,OA_SQL_2!B:B,"DL"),"-"))</f>
        <v>0.59523809523809523</v>
      </c>
      <c r="K10" s="107">
        <f>1-(IFERROR(SUMIFS(OA_SQL_2!$O:$O,OA_SQL_2!$A:$A,RANK!H10,OA_SQL_2!$B:$B,"AA")/SUMIFS(OA_SQL_2!$N:$N,OA_SQL_2!$A:$A,RANK!H10,OA_SQL_2!$B:$B,"AA"),"-"))</f>
        <v>0.62886597938144329</v>
      </c>
      <c r="L10" s="107"/>
      <c r="M10" s="50">
        <f>RANK(I10,I10:K10,0)</f>
        <v>1</v>
      </c>
      <c r="N10" s="50"/>
      <c r="O10" s="106" t="s">
        <v>98</v>
      </c>
      <c r="P10" s="74">
        <f>SUMIFS(UA_HUB_SQL_7!$W:$W,UA_HUB_SQL_7!$B:$B,RANK!$O10)/SUMIFS(UA_HUB_SQL_7!$R:$R,UA_HUB_SQL_7!$B:$B,RANK!$O10)</f>
        <v>0.76225854383358094</v>
      </c>
      <c r="Q10" s="107">
        <f>SUMIFS(OA_SQL_2!$G:$G,OA_SQL_2!$B:$B,"DL",OA_SQL_2!$A:$A,RANK!$O10)/SUMIFS(OA_SQL_2!$F:$F,OA_SQL_2!$B:$B,"DL",OA_SQL_2!$A:$A,RANK!$O10)</f>
        <v>0.65968586387434558</v>
      </c>
      <c r="R10" s="107">
        <f>IFERROR((SUMIFS(OA_SQL_2!$K:$K,OA_SQL_2!$A:$A,RANK!O10,OA_SQL_2!$B:$B,"AA")/SUMIFS(OA_SQL_2!$J:$J,OA_SQL_2!$A:$A,O10,OA_SQL_2!$B:$B,"AA")),"-")</f>
        <v>0.55154639175257736</v>
      </c>
      <c r="S10" s="107"/>
      <c r="T10" s="50">
        <f>RANK(P10,P10:R10,0)</f>
        <v>1</v>
      </c>
    </row>
    <row r="11" spans="1:22" x14ac:dyDescent="0.35">
      <c r="A11" s="106" t="s">
        <v>99</v>
      </c>
      <c r="B11" s="74">
        <f>SUMIFS(UA_HUB_SQL_7!$K:$K,UA_HUB_SQL_7!$B:$B,RANK!$A11)/SUMIFS(UA_HUB_SQL_7!$F:$F,UA_HUB_SQL_7!$B:$B,RANK!$A11)</f>
        <v>0.8571428571428571</v>
      </c>
      <c r="C11" s="107" t="str">
        <f>IFERROR(SUMIFS(OA_SQL_2!$G:$G,OA_SQL_2!$B:$B,"DL",OA_SQL_2!$A:$A,'Pg2'!$T9)/SUMIFS(OA_SQL_2!$F:$F,OA_SQL_2!$B:$B,"DL",OA_SQL_2!$A:$A,'Pg2'!$T9),"-")</f>
        <v>-</v>
      </c>
      <c r="D11" s="107">
        <f>(SUMIFS(OA_SQL_2!$K:$K,OA_SQL_2!$B:$B,"AA",OA_SQL_2!$A:$A,RANK!$A11)/SUMIFS(OA_SQL_2!$J:$J,OA_SQL_2!$B:$B,"AA",OA_SQL_2!$A:$A,RANK!$A11))</f>
        <v>0.89273356401384085</v>
      </c>
      <c r="E11" s="107"/>
      <c r="F11" s="50">
        <f>RANK(B11,B11:D11,0)</f>
        <v>2</v>
      </c>
      <c r="H11" s="106" t="s">
        <v>99</v>
      </c>
      <c r="I11" s="74">
        <f>SUMIFS(UA_HUB_SQL_7!P:P,UA_HUB_SQL_7!B:B,RANK!H11)/SUMIFS(UA_HUB_SQL_7!M:M,UA_HUB_SQL_7!B:B,RANK!H11)</f>
        <v>68.5</v>
      </c>
      <c r="J11" s="107"/>
      <c r="K11" s="107">
        <f>1-(IFERROR(SUMIFS(OA_SQL_2!$O:$O,OA_SQL_2!$A:$A,RANK!H11,OA_SQL_2!$B:$B,"AA")/SUMIFS(OA_SQL_2!$N:$N,OA_SQL_2!$A:$A,RANK!H11,OA_SQL_2!$B:$B,"AA"),"-"))</f>
        <v>0.13028169014084512</v>
      </c>
      <c r="L11" s="107"/>
      <c r="M11" s="50">
        <f>RANK(I11,I11:K11,0)</f>
        <v>1</v>
      </c>
      <c r="N11" s="50"/>
      <c r="O11" s="106" t="s">
        <v>99</v>
      </c>
      <c r="P11" s="74">
        <f>SUMIFS(UA_HUB_SQL_7!$W:$W,UA_HUB_SQL_7!$B:$B,RANK!$O11)/SUMIFS(UA_HUB_SQL_7!$R:$R,UA_HUB_SQL_7!$B:$B,RANK!$O11)</f>
        <v>0.76326129666011788</v>
      </c>
      <c r="Q11" s="107"/>
      <c r="R11" s="107">
        <f>IFERROR((SUMIFS(OA_SQL_2!$K:$K,OA_SQL_2!$A:$A,RANK!O11,OA_SQL_2!$B:$B,"AA")/SUMIFS(OA_SQL_2!$J:$J,OA_SQL_2!$A:$A,O11,OA_SQL_2!$B:$B,"AA")),"-")</f>
        <v>0.89273356401384085</v>
      </c>
      <c r="S11" s="107"/>
      <c r="T11" s="50">
        <f>RANK(P11,P11:R11,0)</f>
        <v>2</v>
      </c>
    </row>
    <row r="12" spans="1:22" x14ac:dyDescent="0.35">
      <c r="A12" s="105" t="s">
        <v>101</v>
      </c>
      <c r="B12" s="74">
        <f>SUMIFS(UA_HUB_SQL_7!$K:$K,UA_HUB_SQL_7!$B:$B,RANK!$A12)/SUMIFS(UA_HUB_SQL_7!$F:$F,UA_HUB_SQL_7!$B:$B,RANK!$A12)</f>
        <v>0.8666666666666667</v>
      </c>
      <c r="C12" s="107">
        <f>(SUMIFS(OA_SQL_2!$K:$K,OA_SQL_2!$B:$B,"DL",OA_SQL_2!$A:$A,RANK!$A12)/SUMIFS(OA_SQL_2!$J:$J,OA_SQL_2!$B:$B,"DL",OA_SQL_2!$A:$A,RANK!$A12))</f>
        <v>0.86206896551724133</v>
      </c>
      <c r="D12" s="107">
        <f>(SUMIFS(OA_SQL_2!$K:$K,OA_SQL_2!$B:$B,"AA",OA_SQL_2!$A:$A,RANK!$A12)/SUMIFS(OA_SQL_2!$J:$J,OA_SQL_2!$B:$B,"AA",OA_SQL_2!$A:$A,RANK!$A12))</f>
        <v>0.87096774193548387</v>
      </c>
      <c r="E12" s="107"/>
      <c r="F12" s="50">
        <f>RANK(B12,B12:D12,0)</f>
        <v>2</v>
      </c>
      <c r="H12" s="105" t="s">
        <v>101</v>
      </c>
      <c r="I12" s="74" t="e">
        <f>SUMIFS(UA_HUB_SQL_7!P:P,UA_HUB_SQL_7!B:B,RANK!H12)/SUMIFS(UA_HUB_SQL_7!M:M,UA_HUB_SQL_7!B:B,RANK!H12)</f>
        <v>#DIV/0!</v>
      </c>
      <c r="J12" s="107">
        <f>1-(IFERROR(SUMIFS(OA_SQL_2!O:O,OA_SQL_2!A:A,RANK!H12,OA_SQL_2!B:B,"DL")/SUMIFS(OA_SQL_2!N:N,OA_SQL_2!A:A,RANK!H12,OA_SQL_2!B:B,"DL"),"-"))</f>
        <v>0.10344827586206895</v>
      </c>
      <c r="K12" s="107">
        <f>IFERROR(SUMIFS(OA_SQL_2!$O:$O,OA_SQL_2!$A:$A,RANK!H12,OA_SQL_2!$B:$B,"AA")/SUMIFS(OA_SQL_2!$N:$N,OA_SQL_2!$A:$A,RANK!H12,OA_SQL_2!$B:$B,"AA"),"-")</f>
        <v>0.9</v>
      </c>
      <c r="L12" s="107"/>
      <c r="M12" s="50" t="e">
        <f>RANK(I12,I12:K12,0)</f>
        <v>#DIV/0!</v>
      </c>
      <c r="N12" s="50"/>
      <c r="O12" s="105" t="s">
        <v>101</v>
      </c>
      <c r="P12" s="74">
        <f>SUMIFS(UA_HUB_SQL_7!$W:$W,UA_HUB_SQL_7!$B:$B,RANK!$O12)/SUMIFS(UA_HUB_SQL_7!$R:$R,UA_HUB_SQL_7!$B:$B,RANK!$O12)</f>
        <v>0.81045751633986929</v>
      </c>
      <c r="Q12" s="107">
        <f>SUMIFS(OA_SQL_2!$G:$G,OA_SQL_2!$B:$B,"DL",OA_SQL_2!$A:$A,RANK!$O12)/SUMIFS(OA_SQL_2!$F:$F,OA_SQL_2!$B:$B,"DL",OA_SQL_2!$A:$A,RANK!$O12)</f>
        <v>0.90647482014388492</v>
      </c>
      <c r="R12" s="107">
        <f>IFERROR((SUMIFS(OA_SQL_2!$K:$K,OA_SQL_2!$A:$A,RANK!O12,OA_SQL_2!$B:$B,"AA")/SUMIFS(OA_SQL_2!$J:$J,OA_SQL_2!$A:$A,O12,OA_SQL_2!$B:$B,"AA")),"-")</f>
        <v>0.87096774193548387</v>
      </c>
      <c r="S12" s="107"/>
      <c r="T12" s="50">
        <f>RANK(P12,P12:R12,0)</f>
        <v>3</v>
      </c>
    </row>
    <row r="13" spans="1:22" x14ac:dyDescent="0.35">
      <c r="A13" s="106" t="s">
        <v>102</v>
      </c>
      <c r="B13" s="74">
        <f>SUMIFS(UA_HUB_SQL_7!$K:$K,UA_HUB_SQL_7!$B:$B,RANK!$A13)/SUMIFS(UA_HUB_SQL_7!$F:$F,UA_HUB_SQL_7!$B:$B,RANK!$A13)</f>
        <v>0.79259259259259263</v>
      </c>
      <c r="C13" s="107" t="str">
        <f>"-"</f>
        <v>-</v>
      </c>
      <c r="D13" s="107">
        <f>(SUMIFS(OA_SQL_2!$K:$K,OA_SQL_2!$B:$B,"AA",OA_SQL_2!$A:$A,RANK!$A13)/SUMIFS(OA_SQL_2!$J:$J,OA_SQL_2!$B:$B,"AA",OA_SQL_2!$A:$A,RANK!$A13))</f>
        <v>0.752</v>
      </c>
      <c r="E13" s="107"/>
      <c r="F13" s="50">
        <f>RANK(B13,B13:D13,0)</f>
        <v>1</v>
      </c>
      <c r="H13" s="106" t="s">
        <v>102</v>
      </c>
      <c r="I13" s="74">
        <f>SUMIFS(UA_HUB_SQL_7!P:P,UA_HUB_SQL_7!B:B,RANK!H13)/SUMIFS(UA_HUB_SQL_7!M:M,UA_HUB_SQL_7!B:B,RANK!H13)</f>
        <v>92</v>
      </c>
      <c r="J13" s="107"/>
      <c r="K13" s="107">
        <f>IFERROR(SUMIFS(OA_SQL_2!$O:$O,OA_SQL_2!$A:$A,RANK!H13,OA_SQL_2!$B:$B,"AA")/SUMIFS(OA_SQL_2!$N:$N,OA_SQL_2!$A:$A,RANK!H13,OA_SQL_2!$B:$B,"AA"),"-")</f>
        <v>0.77777777777777779</v>
      </c>
      <c r="L13" s="107"/>
      <c r="M13" s="50">
        <f>RANK(I13,I13:K13,0)</f>
        <v>1</v>
      </c>
      <c r="N13" s="50"/>
      <c r="O13" s="106" t="s">
        <v>102</v>
      </c>
      <c r="P13" s="74">
        <f>SUMIFS(UA_HUB_SQL_7!$W:$W,UA_HUB_SQL_7!$B:$B,RANK!$O13)/SUMIFS(UA_HUB_SQL_7!$R:$R,UA_HUB_SQL_7!$B:$B,RANK!$O13)</f>
        <v>0.74374079528718706</v>
      </c>
      <c r="Q13" s="107"/>
      <c r="R13" s="107">
        <f>IFERROR((SUMIFS(OA_SQL_2!$K:$K,OA_SQL_2!$A:$A,RANK!O13,OA_SQL_2!$B:$B,"AA")/SUMIFS(OA_SQL_2!$J:$J,OA_SQL_2!$A:$A,O13,OA_SQL_2!$B:$B,"AA")),"-")</f>
        <v>0.752</v>
      </c>
      <c r="S13" s="107"/>
      <c r="T13" s="50">
        <f>RANK(P13,P13:R13,0)</f>
        <v>2</v>
      </c>
    </row>
    <row r="14" spans="1:22" x14ac:dyDescent="0.35">
      <c r="A14" s="105" t="s">
        <v>103</v>
      </c>
      <c r="B14" s="74">
        <f>SUMIFS(UA_HUB_SQL_7!$K:$K,UA_HUB_SQL_7!$B:$B,RANK!$A14)/SUMIFS(UA_HUB_SQL_7!$F:$F,UA_HUB_SQL_7!$B:$B,RANK!$A14)</f>
        <v>0.29032258064516131</v>
      </c>
      <c r="C14" s="107" t="str">
        <f>"-"</f>
        <v>-</v>
      </c>
      <c r="D14" s="107" t="str">
        <f>"-"</f>
        <v>-</v>
      </c>
      <c r="E14" s="107">
        <f>SUMIFS(OA_SQL_2!$K:$K,OA_SQL_2!$B:$B,"AS",OA_SQL_2!$A:$A,RANK!$A14)/SUMIFS(OA_SQL_2!$J:$J,OA_SQL_2!$B:$B,"AS",OA_SQL_2!$A:$A,RANK!$A14)</f>
        <v>0.17647058823529413</v>
      </c>
      <c r="F14" s="50">
        <f>RANK(B14,B14:E14,0)</f>
        <v>1</v>
      </c>
      <c r="H14" s="105" t="s">
        <v>103</v>
      </c>
      <c r="I14" s="74" t="e">
        <f>SUMIFS(UA_HUB_SQL_7!P:P,UA_HUB_SQL_7!B:B,RANK!H14)/SUMIFS(UA_HUB_SQL_7!M:M,UA_HUB_SQL_7!B:B,RANK!H14)</f>
        <v>#DIV/0!</v>
      </c>
      <c r="J14" s="107"/>
      <c r="K14" s="107"/>
      <c r="L14" s="107">
        <f>SUMIFS(OA_SQL_2!O:O,OA_SQL_2!A:A,RANK!H14,OA_SQL_2!B:B,RANK!L7)/SUMIFS(OA_SQL_2!N:N,OA_SQL_2!A:A,RANK!H14,OA_SQL_2!B:B,RANK!L7)</f>
        <v>0.79411764705882348</v>
      </c>
      <c r="M14" s="50" t="e">
        <f>RANK(I14,I14:L14,0)</f>
        <v>#DIV/0!</v>
      </c>
      <c r="N14" s="50"/>
      <c r="O14" s="105" t="s">
        <v>103</v>
      </c>
      <c r="P14" s="74">
        <f>SUMIFS(UA_HUB_SQL_7!$W:$W,UA_HUB_SQL_7!$B:$B,RANK!$O14)/SUMIFS(UA_HUB_SQL_7!$R:$R,UA_HUB_SQL_7!$B:$B,RANK!$O14)</f>
        <v>0.61290322580645162</v>
      </c>
      <c r="Q14" s="107"/>
      <c r="R14" s="107"/>
      <c r="S14" s="107" t="str">
        <f ca="1">IFERROR(SUMIFS(OA_SQL_2!X:X,OA_SQL_2!N:N,RANK!O14,OA_SQL_2!O:O,RANK!S7)/SUMIFS(OA_SQL_2!W:W,OA_SQL_2!N:N,RANK!O14,OA_SQL_2!O:O,RANK!S7),"-")</f>
        <v>-</v>
      </c>
      <c r="T14" s="50">
        <f ca="1">RANK(P14,P14:S14,0)</f>
        <v>1</v>
      </c>
    </row>
    <row r="15" spans="1:22" x14ac:dyDescent="0.35">
      <c r="A15" s="105" t="s">
        <v>66</v>
      </c>
      <c r="B15" s="74">
        <f>SUMIFS(UA_HUB_SQL_7!$K:$K,UA_HUB_SQL_7!$B:$B,RANK!$A15)/SUMIFS(UA_HUB_SQL_7!$F:$F,UA_HUB_SQL_7!$B:$B,RANK!$A15)</f>
        <v>0.77291242362525459</v>
      </c>
      <c r="C15" s="107">
        <f>(SUMIFS(OA_SQL_2!$K:$K,OA_SQL_2!$B:$B,"DL",OA_SQL_2!$A:$A,RANK!$A15)/SUMIFS(OA_SQL_2!$J:$J,OA_SQL_2!$B:$B,"DL",OA_SQL_2!$A:$A,RANK!$A15))</f>
        <v>0.81316348195329091</v>
      </c>
      <c r="D15" s="107">
        <f>(SUMIFS(OA_SQL_2!$K:$K,OA_SQL_2!$B:$B,"AA",OA_SQL_2!$A:$A,RANK!$A15)/SUMIFS(OA_SQL_2!$J:$J,OA_SQL_2!$B:$B,"AA",OA_SQL_2!$A:$A,RANK!$A15))</f>
        <v>0.79987333755541479</v>
      </c>
      <c r="E15" s="107">
        <f>SUMIFS(OA_SQL_2!$K:$K,OA_SQL_2!$B:$B,"AS",OA_SQL_2!$A:$A,RANK!$A15)/SUMIFS(OA_SQL_2!$J:$J,OA_SQL_2!$B:$B,"AS",OA_SQL_2!$A:$A,RANK!$A15)</f>
        <v>0.67</v>
      </c>
      <c r="F15" s="50">
        <f>RANK(B15,B15:E15,0)</f>
        <v>3</v>
      </c>
      <c r="H15" s="105" t="s">
        <v>66</v>
      </c>
      <c r="I15" s="74">
        <f>SUMIFS(UA_HUB_SQL_7!P:P,UA_HUB_SQL_7!B:B,RANK!H15)/SUMIFS(UA_HUB_SQL_7!M:M,UA_HUB_SQL_7!B:B,RANK!H15)</f>
        <v>67.090909090909093</v>
      </c>
      <c r="J15" s="107">
        <f>IFERROR(SUMIFS(OA_SQL_2!O:O,OA_SQL_2!A:A,RANK!H15,OA_SQL_2!B:B,"DL")/SUMIFS(OA_SQL_2!N:N,OA_SQL_2!A:A,RANK!H15,OA_SQL_2!B:B,"DL"),"-")</f>
        <v>0.72068230277185497</v>
      </c>
      <c r="K15" s="107">
        <f>IFERROR(SUMIFS(OA_SQL_2!$O:$O,OA_SQL_2!$A:$A,RANK!H15,OA_SQL_2!$B:$B,"AA")/SUMIFS(OA_SQL_2!$N:$N,OA_SQL_2!$A:$A,RANK!H15,OA_SQL_2!$B:$B,"AA"),"-")</f>
        <v>0.73786407766990292</v>
      </c>
      <c r="L15" s="107">
        <f>IFERROR(SUMIFS(OA_SQL_2!O:O,OA_SQL_2!A:A,RANK!H15,OA_SQL_2!B:B,RANK!L7)/SUMIFS(OA_SQL_2!N:N,OA_SQL_2!A:A,RANK!H15,OA_SQL_2!B:B,RANK!L7),"-")</f>
        <v>0.7912457912457912</v>
      </c>
      <c r="M15" s="50">
        <f>RANK(I15,I15:L15,0)</f>
        <v>1</v>
      </c>
      <c r="N15" s="50"/>
      <c r="O15" s="105" t="s">
        <v>66</v>
      </c>
      <c r="P15" s="74">
        <f>SUMIFS(UA_HUB_SQL_7!$W:$W,UA_HUB_SQL_7!$B:$B,RANK!$O15)/SUMIFS(UA_HUB_SQL_7!$R:$R,UA_HUB_SQL_7!$B:$B,RANK!$O15)</f>
        <v>0.77422638436482083</v>
      </c>
      <c r="Q15" s="107">
        <f>SUMIFS(OA_SQL_2!$G:$G,OA_SQL_2!$B:$B,"DL",OA_SQL_2!$A:$A,RANK!$O15)/SUMIFS(OA_SQL_2!$F:$F,OA_SQL_2!$B:$B,"DL",OA_SQL_2!$A:$A,RANK!$O15)</f>
        <v>0.78056914184081816</v>
      </c>
      <c r="R15" s="107">
        <f>IFERROR((SUMIFS(OA_SQL_2!$K:$K,OA_SQL_2!$A:$A,RANK!O15,OA_SQL_2!$B:$B,"AA")/SUMIFS(OA_SQL_2!$J:$J,OA_SQL_2!$A:$A,O15,OA_SQL_2!$B:$B,"AA")),"-")</f>
        <v>0.79987333755541479</v>
      </c>
      <c r="S15" s="107" t="str">
        <f ca="1">IFERROR(SUMIFS(OA_SQL_2!X:X,OA_SQL_2!N:N,RANK!O15,OA_SQL_2!O:O,RANK!S7)/SUMIFS(OA_SQL_2!W:W,OA_SQL_2!N:N,RANK!O15,OA_SQL_2!O:O,RANK!S7),"-")</f>
        <v>-</v>
      </c>
      <c r="T15" s="50">
        <f ca="1">RANK(P15,P15:S15,0)</f>
        <v>3</v>
      </c>
    </row>
    <row r="16" spans="1:22" x14ac:dyDescent="0.35">
      <c r="A16" s="194" t="s">
        <v>140</v>
      </c>
      <c r="B16" s="151">
        <f>SUMIFS(UA_Line!$J:$J,UA_Line!$B:$B,"Line Int")/SUMIFS(UA_Line!$F:$F,UA_Line!$B:$B,"Line Int")</f>
        <v>0.80701754385964908</v>
      </c>
      <c r="C16" s="151">
        <f>(SUMIFS(OA_Line!$E:$E,OA_Line!$A:$A,"Line Int",OA_Line!$B:$B,"DL")/SUMIFS(OA_Line!$D:$D,OA_Line!$A:$A,"Line Int",OA_Line!$B:$B,"DL"))</f>
        <v>0.68571428571428572</v>
      </c>
      <c r="D16" s="151">
        <f>(SUMIFS(OA_Line!$E:$E,OA_Line!$B:$B,"AA",OA_Line!$A:$A,"Line Int")/SUMIFS(OA_Line!$D:$D,OA_Line!$B:$B,"AA",OA_Line!$A:$A,"Line Int"))</f>
        <v>0.77049180327868849</v>
      </c>
      <c r="F16">
        <f>RANK(B16,B16:D16,0)</f>
        <v>1</v>
      </c>
      <c r="I16" s="74"/>
      <c r="Q16" s="249"/>
      <c r="R16" s="249"/>
    </row>
    <row r="17" spans="1:22" ht="15" thickBot="1" x14ac:dyDescent="0.4">
      <c r="A17" s="194" t="s">
        <v>156</v>
      </c>
      <c r="B17" s="151">
        <f>SUMIFS(UA_Line!$J:$J,UA_Line!$B:$B,"Line Dom")/SUMIFS(UA_Line!$F:$F,UA_Line!$B:$B,"Line Dom")</f>
        <v>0.77081081081081082</v>
      </c>
      <c r="C17" s="151">
        <f>(SUMIFS(OA_Line!$E:$E,OA_Line!$B:$B,"DL",OA_Line!$A:$A,"Line Dom")/SUMIFS(OA_Line!$D:$D,OA_Line!$B:$B,"DL",OA_Line!$A:$A,"Line Dom"))</f>
        <v>0.82437275985663083</v>
      </c>
      <c r="D17" s="151">
        <f>(SUMIFS(OA_Line!$E:$E,OA_Line!$B:$B,"AA",OA_Line!$A:$A,"Line Dom")/SUMIFS(OA_Line!$D:$D,OA_Line!$B:$B,"AA",OA_Line!$A:$A,"Line Dom"))</f>
        <v>0.79646017699115046</v>
      </c>
      <c r="F17">
        <f>RANK(B17,B17:D17,0)</f>
        <v>3</v>
      </c>
      <c r="I17" s="189"/>
    </row>
    <row r="18" spans="1:22" ht="15" thickBot="1" x14ac:dyDescent="0.4">
      <c r="A18" s="47" t="s">
        <v>94</v>
      </c>
      <c r="B18" s="47" t="s">
        <v>112</v>
      </c>
      <c r="C18" s="47" t="s">
        <v>114</v>
      </c>
      <c r="D18" s="47" t="s">
        <v>113</v>
      </c>
      <c r="E18" s="47" t="s">
        <v>152</v>
      </c>
      <c r="F18" s="47" t="s">
        <v>153</v>
      </c>
      <c r="H18" s="47" t="s">
        <v>94</v>
      </c>
      <c r="I18" s="47" t="s">
        <v>112</v>
      </c>
      <c r="J18" s="47" t="s">
        <v>114</v>
      </c>
      <c r="K18" s="47" t="s">
        <v>113</v>
      </c>
      <c r="L18" s="47" t="s">
        <v>152</v>
      </c>
      <c r="M18" s="47" t="s">
        <v>154</v>
      </c>
      <c r="N18" s="108"/>
      <c r="O18" s="47" t="s">
        <v>94</v>
      </c>
      <c r="P18" s="47" t="s">
        <v>112</v>
      </c>
      <c r="Q18" s="47" t="s">
        <v>114</v>
      </c>
      <c r="R18" s="47" t="s">
        <v>113</v>
      </c>
      <c r="S18" s="47" t="s">
        <v>152</v>
      </c>
      <c r="T18" s="47" t="s">
        <v>155</v>
      </c>
      <c r="V18" s="108" t="s">
        <v>8</v>
      </c>
    </row>
    <row r="19" spans="1:22" x14ac:dyDescent="0.35">
      <c r="A19" s="105" t="s">
        <v>95</v>
      </c>
      <c r="B19" s="151">
        <f>SUMIFS(UA_HUB_SQL_7!$G:$G,UA_HUB_SQL_7!$B:$B,'Pg2'!$T6)/SUMIFS(UA_HUB_SQL_7!$F:$F,UA_HUB_SQL_7!$B:$B,'Pg2'!$T6)</f>
        <v>0</v>
      </c>
      <c r="C19" s="107"/>
      <c r="D19" s="107"/>
      <c r="E19" s="107"/>
      <c r="F19" s="50"/>
      <c r="H19" s="105" t="s">
        <v>95</v>
      </c>
      <c r="I19" s="74">
        <f>SUMIFS(UA_HUB_SQL_7!M:M,UA_HUB_SQL_7!B:B,RANK!H19)/SUMIFS(UA_HUB_SQL_7!L:L,UA_HUB_SQL_7!B:B,RANK!H19)</f>
        <v>0</v>
      </c>
      <c r="J19" s="107" t="str">
        <f>IFERROR(SUMIFS(OA_SQL_2!$P:$P,OA_SQL_2!$A:$A,RANK!$H$19,OA_SQL_2!$B:$B,"DL")/SUMIFS(OA_SQL_2!$N:$N,OA_SQL_2!$A:$A,RANK!$H$19,OA_SQL_2!$B:$B,"DL"),"-")</f>
        <v>-</v>
      </c>
      <c r="K19" s="107"/>
      <c r="L19" s="107"/>
      <c r="M19" s="50">
        <f t="shared" ref="M19:M24" si="1">RANK(I19,I19:K19,0)</f>
        <v>1</v>
      </c>
      <c r="N19" s="50"/>
      <c r="O19" s="105" t="s">
        <v>96</v>
      </c>
      <c r="P19" s="74" t="e">
        <f>SUMIFS(UA_HUB_SQL_7!T:T,UA_HUB_SQL_7!O:O,O19)/SUMIFS(UA_HUB_SQL_7!S:S,UA_HUB_SQL_7!O:O,O19)</f>
        <v>#DIV/0!</v>
      </c>
      <c r="Q19" s="107" t="str">
        <f>IFERROR(SUMIFS(OA_SQL_2!$L:$L,OA_SQL_2!$A:$A,PAGE_1_old!O19,OA_SQL_2!$B:$B,"DL")/SUMIFS(OA_SQL_2!$J:$J,OA_SQL_2!$A:$A,PAGE_1_old!O19,OA_SQL_2!$B:$B,"DL"),"-")</f>
        <v>-</v>
      </c>
      <c r="R19" s="107" t="str">
        <f>IFERROR(SUMIFS(OA_SQL_2!$L:$L,OA_SQL_2!$A:$A,PAGE_1_old!O19,OA_SQL_2!$B:$B,"AA")/SUMIFS(OA_SQL_2!$J:$J,OA_SQL_2!$A:$A,PAGE_1_old!O19,OA_SQL_2!$B:$B,"AA"),"-")</f>
        <v>-</v>
      </c>
      <c r="S19" s="107"/>
      <c r="T19" s="50" t="e">
        <f>RANK(P19,P19:R19,0)</f>
        <v>#DIV/0!</v>
      </c>
    </row>
    <row r="20" spans="1:22" x14ac:dyDescent="0.35">
      <c r="A20" s="105" t="s">
        <v>96</v>
      </c>
      <c r="B20" s="151">
        <f>SUMIFS(UA_HUB_SQL_7!$G:$G,UA_HUB_SQL_7!$B:$B,'Pg2'!$T7)/SUMIFS(UA_HUB_SQL_7!$F:$F,UA_HUB_SQL_7!$B:$B,'Pg2'!$T7)</f>
        <v>0</v>
      </c>
      <c r="C20" s="107">
        <f>1-(SUMIFS(OA_SQL_2!$L:$L,OA_SQL_2!$B:$B,"DL",OA_SQL_2!$A:$A,'Pg2'!$T7)/SUMIFS(OA_SQL_2!$J:$J,OA_SQL_2!$B:$B,"DL",OA_SQL_2!$A:$A,'Pg2'!$T7))</f>
        <v>0</v>
      </c>
      <c r="D20" s="107">
        <f>1-(SUMIFS(OA_SQL_2!$L:$L,OA_SQL_2!$B:$B,"AA",OA_SQL_2!$A:$A,'Pg2'!$T7)/SUMIFS(OA_SQL_2!$J:$J,OA_SQL_2!$B:$B,"AA",OA_SQL_2!$A:$A,'Pg2'!$T7))</f>
        <v>0</v>
      </c>
      <c r="E20" s="107"/>
      <c r="F20" s="50">
        <f>RANK(B20,B20:D20,1)</f>
        <v>1</v>
      </c>
      <c r="H20" s="105" t="s">
        <v>96</v>
      </c>
      <c r="I20" s="74">
        <f>SUMIFS(UA_HUB_SQL_7!M:M,UA_HUB_SQL_7!B:B,RANK!H20)/SUMIFS(UA_HUB_SQL_7!L:L,UA_HUB_SQL_7!B:B,RANK!H20)</f>
        <v>9.0090090090090089E-3</v>
      </c>
      <c r="J20" s="107">
        <f>IFERROR(SUMIFS(OA_SQL_2!P:P,OA_SQL_2!A:A,RANK!H20,OA_SQL_2!B:B,"DL")/SUMIFS(OA_SQL_2!N:N,OA_SQL_2!A:A,RANK!H20,OA_SQL_2!B:B,"DL"),"-")</f>
        <v>0.99212598425196852</v>
      </c>
      <c r="K20" s="107">
        <f>IFERROR(SUMIFS(OA_SQL_2!P:P,OA_SQL_2!A:A,RANK!H20,OA_SQL_2!B:B,"AA")/SUMIFS(OA_SQL_2!N:N,OA_SQL_2!A:A,RANK!H20,OA_SQL_2!B:B,"AA"),"-")</f>
        <v>0.97014925373134331</v>
      </c>
      <c r="L20" s="107"/>
      <c r="M20" s="50">
        <f t="shared" si="1"/>
        <v>3</v>
      </c>
      <c r="N20" s="50"/>
      <c r="O20" s="105" t="s">
        <v>98</v>
      </c>
      <c r="P20" s="74" t="e">
        <f>SUMIFS(UA_HUB_SQL_7!T:T,UA_HUB_SQL_7!O:O,O20)/SUMIFS(UA_HUB_SQL_7!S:S,UA_HUB_SQL_7!O:O,O20)</f>
        <v>#DIV/0!</v>
      </c>
      <c r="Q20" s="107" t="str">
        <f>IFERROR(SUMIFS(OA_SQL_2!$L:$L,OA_SQL_2!$A:$A,PAGE_1_old!O20,OA_SQL_2!$B:$B,"DL")/SUMIFS(OA_SQL_2!$J:$J,OA_SQL_2!$A:$A,PAGE_1_old!O20,OA_SQL_2!$B:$B,"DL"),"-")</f>
        <v>-</v>
      </c>
      <c r="R20" s="107" t="str">
        <f>IFERROR(SUMIFS(OA_SQL_2!$L:$L,OA_SQL_2!$A:$A,PAGE_1_old!O20,OA_SQL_2!$B:$B,"AA")/SUMIFS(OA_SQL_2!$J:$J,OA_SQL_2!$A:$A,PAGE_1_old!O20,OA_SQL_2!$B:$B,"AA"),"-")</f>
        <v>-</v>
      </c>
      <c r="S20" s="107"/>
      <c r="T20" s="50" t="e">
        <f>RANK(P20,P20:R20,0)</f>
        <v>#DIV/0!</v>
      </c>
    </row>
    <row r="21" spans="1:22" x14ac:dyDescent="0.35">
      <c r="A21" s="106" t="s">
        <v>98</v>
      </c>
      <c r="B21" s="151">
        <f>SUMIFS(UA_HUB_SQL_7!$G:$G,UA_HUB_SQL_7!$B:$B,'Pg2'!$T8)/SUMIFS(UA_HUB_SQL_7!$F:$F,UA_HUB_SQL_7!$B:$B,'Pg2'!$T8)</f>
        <v>0</v>
      </c>
      <c r="C21" s="107">
        <f>1-(SUMIFS(OA_SQL_2!$L:$L,OA_SQL_2!$B:$B,"DL",OA_SQL_2!$A:$A,'Pg2'!$T8)/SUMIFS(OA_SQL_2!$J:$J,OA_SQL_2!$B:$B,"DL",OA_SQL_2!$A:$A,'Pg2'!$T8))</f>
        <v>0</v>
      </c>
      <c r="D21" s="107">
        <f>1-(SUMIFS(OA_SQL_2!$L:$L,OA_SQL_2!$B:$B,"AA",OA_SQL_2!$A:$A,'Pg2'!$T8)/SUMIFS(OA_SQL_2!$J:$J,OA_SQL_2!$B:$B,"AA",OA_SQL_2!$A:$A,'Pg2'!$T8))</f>
        <v>1.0309278350515427E-2</v>
      </c>
      <c r="E21" s="107"/>
      <c r="F21" s="50">
        <f t="shared" ref="F21:F24" si="2">RANK(B21,B21:D21,1)</f>
        <v>1</v>
      </c>
      <c r="H21" s="106" t="s">
        <v>98</v>
      </c>
      <c r="I21" s="74">
        <f>SUMIFS(UA_HUB_SQL_7!M:M,UA_HUB_SQL_7!B:B,RANK!H21)/SUMIFS(UA_HUB_SQL_7!L:L,UA_HUB_SQL_7!B:B,RANK!H21)</f>
        <v>7.6923076923076927E-3</v>
      </c>
      <c r="J21" s="107">
        <f>IFERROR(SUMIFS(OA_SQL_2!P:P,OA_SQL_2!A:A,RANK!H21,OA_SQL_2!B:B,"DL")/SUMIFS(OA_SQL_2!N:N,OA_SQL_2!A:A,RANK!H21,OA_SQL_2!B:B,"DL"),"-")</f>
        <v>1</v>
      </c>
      <c r="K21" s="107">
        <f>IFERROR(SUMIFS(OA_SQL_2!P:P,OA_SQL_2!A:A,RANK!H21,OA_SQL_2!B:B,"AA")/SUMIFS(OA_SQL_2!N:N,OA_SQL_2!A:A,RANK!H21,OA_SQL_2!B:B,"AA"),"-")</f>
        <v>0.89175257731958768</v>
      </c>
      <c r="L21" s="107"/>
      <c r="M21" s="50">
        <f t="shared" si="1"/>
        <v>3</v>
      </c>
      <c r="N21" s="50"/>
      <c r="O21" s="106" t="s">
        <v>99</v>
      </c>
      <c r="P21" s="74" t="e">
        <f>SUMIFS(UA_HUB_SQL_7!T:T,UA_HUB_SQL_7!O:O,O21)/SUMIFS(UA_HUB_SQL_7!S:S,UA_HUB_SQL_7!O:O,O21)</f>
        <v>#DIV/0!</v>
      </c>
      <c r="Q21" s="107"/>
      <c r="R21" s="107">
        <f>IFERROR(SUMIFS(OA_SQL_2!$L:$L,OA_SQL_2!$A:$A,O21,OA_SQL_2!$B:$B,"AA")/SUMIFS(OA_SQL_2!$J:$J,OA_SQL_2!$A:$A,O21,OA_SQL_2!$B:$B,"AA"),"-")</f>
        <v>1</v>
      </c>
      <c r="S21" s="107"/>
      <c r="T21" s="50" t="e">
        <f>RANK(P21,P21:R21,0)</f>
        <v>#DIV/0!</v>
      </c>
    </row>
    <row r="22" spans="1:22" x14ac:dyDescent="0.35">
      <c r="A22" s="106" t="s">
        <v>99</v>
      </c>
      <c r="B22" s="151">
        <f>SUMIFS(UA_HUB_SQL_7!$G:$G,UA_HUB_SQL_7!$B:$B,'Pg2'!$T9)/SUMIFS(UA_HUB_SQL_7!$F:$F,UA_HUB_SQL_7!$B:$B,'Pg2'!$T9)</f>
        <v>0</v>
      </c>
      <c r="C22" s="107" t="s">
        <v>38</v>
      </c>
      <c r="D22" s="107">
        <f>1-(SUMIFS(OA_SQL_2!$L:$L,OA_SQL_2!$B:$B,"AA",OA_SQL_2!$A:$A,'Pg2'!$T9)/SUMIFS(OA_SQL_2!$J:$J,OA_SQL_2!$B:$B,"AA",OA_SQL_2!$A:$A,'Pg2'!$T9))</f>
        <v>0</v>
      </c>
      <c r="E22" s="107"/>
      <c r="F22" s="50">
        <f t="shared" si="2"/>
        <v>1</v>
      </c>
      <c r="H22" s="106" t="s">
        <v>99</v>
      </c>
      <c r="I22" s="74">
        <f>SUMIFS(UA_HUB_SQL_7!M:M,UA_HUB_SQL_7!B:B,RANK!H22)/SUMIFS(UA_HUB_SQL_7!L:L,UA_HUB_SQL_7!B:B,RANK!H22)</f>
        <v>1.0582010582010581E-2</v>
      </c>
      <c r="J22" s="107"/>
      <c r="K22" s="107">
        <f>IFERROR(SUMIFS(OA_SQL_2!P:P,OA_SQL_2!A:A,RANK!H22,OA_SQL_2!B:B,"AA")/SUMIFS(OA_SQL_2!N:N,OA_SQL_2!A:A,RANK!H22,OA_SQL_2!B:B,"AA"),"-")</f>
        <v>1</v>
      </c>
      <c r="L22" s="107"/>
      <c r="M22" s="50">
        <f t="shared" si="1"/>
        <v>2</v>
      </c>
      <c r="N22" s="50"/>
      <c r="O22" s="106" t="s">
        <v>101</v>
      </c>
      <c r="P22" s="74" t="e">
        <f>SUMIFS(UA_HUB_SQL_7!T:T,UA_HUB_SQL_7!O:O,O22)/SUMIFS(UA_HUB_SQL_7!S:S,UA_HUB_SQL_7!O:O,O22)</f>
        <v>#DIV/0!</v>
      </c>
      <c r="Q22" s="107" t="str">
        <f>IFERROR(SUMIFS(OA_SQL_2!$L:$L,OA_SQL_2!$A:$A,PAGE_1_old!O22,OA_SQL_2!$B:$B,"DL")/SUMIFS(OA_SQL_2!$J:$J,OA_SQL_2!$A:$A,PAGE_1_old!O22,OA_SQL_2!$B:$B,"DL"),"-")</f>
        <v>-</v>
      </c>
      <c r="R22" s="107" t="str">
        <f>IFERROR(SUMIFS(OA_SQL_2!$L:$L,OA_SQL_2!$A:$A,PAGE_1_old!O22,OA_SQL_2!$B:$B,"AA")/SUMIFS(OA_SQL_2!$J:$J,OA_SQL_2!$A:$A,PAGE_1_old!O22,OA_SQL_2!$B:$B,"AA"),"-")</f>
        <v>-</v>
      </c>
      <c r="S22" s="107"/>
      <c r="T22" s="50" t="e">
        <f>RANK(P22,P22:R22,0)</f>
        <v>#DIV/0!</v>
      </c>
    </row>
    <row r="23" spans="1:22" x14ac:dyDescent="0.35">
      <c r="A23" s="105" t="s">
        <v>101</v>
      </c>
      <c r="B23" s="151">
        <f>SUMIFS(UA_HUB_SQL_7!$G:$G,UA_HUB_SQL_7!$B:$B,'Pg2'!$T10)/SUMIFS(UA_HUB_SQL_7!$F:$F,UA_HUB_SQL_7!$B:$B,'Pg2'!$T10)</f>
        <v>0</v>
      </c>
      <c r="C23" s="107">
        <f>1-(SUMIFS(OA_SQL_2!$L:$L,OA_SQL_2!$B:$B,"DL",OA_SQL_2!$A:$A,'Pg2'!$T10)/SUMIFS(OA_SQL_2!$J:$J,OA_SQL_2!$B:$B,"DL",OA_SQL_2!$A:$A,'Pg2'!$T10))</f>
        <v>0</v>
      </c>
      <c r="D23" s="107">
        <f>1-(SUMIFS(OA_SQL_2!$L:$L,OA_SQL_2!$B:$B,"AA",OA_SQL_2!$A:$A,'Pg2'!$T10)/SUMIFS(OA_SQL_2!$J:$J,OA_SQL_2!$B:$B,"AA",OA_SQL_2!$A:$A,'Pg2'!$T10))</f>
        <v>0</v>
      </c>
      <c r="E23" s="107"/>
      <c r="F23" s="50">
        <f t="shared" si="2"/>
        <v>1</v>
      </c>
      <c r="H23" s="105" t="s">
        <v>101</v>
      </c>
      <c r="I23" s="74">
        <f>SUMIFS(UA_HUB_SQL_7!M:M,UA_HUB_SQL_7!B:B,RANK!H23)/SUMIFS(UA_HUB_SQL_7!L:L,UA_HUB_SQL_7!B:B,RANK!H23)</f>
        <v>0</v>
      </c>
      <c r="J23" s="107">
        <f>IFERROR(SUMIFS(OA_SQL_2!P:P,OA_SQL_2!A:A,RANK!H23,OA_SQL_2!B:B,"DL")/SUMIFS(OA_SQL_2!N:N,OA_SQL_2!A:A,RANK!H23,OA_SQL_2!B:B,"DL"),"-")</f>
        <v>1</v>
      </c>
      <c r="K23" s="107">
        <f>IFERROR(SUMIFS(OA_SQL_2!P:P,OA_SQL_2!A:A,RANK!H23,OA_SQL_2!B:B,"AA")/SUMIFS(OA_SQL_2!N:N,OA_SQL_2!A:A,RANK!H23,OA_SQL_2!B:B,"AA"),"-")</f>
        <v>1</v>
      </c>
      <c r="L23" s="107"/>
      <c r="M23" s="50">
        <f t="shared" si="1"/>
        <v>3</v>
      </c>
      <c r="N23" s="50"/>
      <c r="O23" s="105" t="s">
        <v>102</v>
      </c>
      <c r="P23" s="74" t="e">
        <f>SUMIFS(UA_HUB_SQL_7!T:T,UA_HUB_SQL_7!O:O,O23)/SUMIFS(UA_HUB_SQL_7!S:S,UA_HUB_SQL_7!O:O,O23)</f>
        <v>#DIV/0!</v>
      </c>
      <c r="Q23" s="107"/>
      <c r="R23" s="107">
        <f>IFERROR(SUMIFS(OA_SQL_2!$L:$L,OA_SQL_2!$A:$A,O23,OA_SQL_2!$B:$B,"AA")/SUMIFS(OA_SQL_2!$J:$J,OA_SQL_2!$A:$A,O23,OA_SQL_2!$B:$B,"AA"),"-")</f>
        <v>1</v>
      </c>
      <c r="S23" s="107"/>
      <c r="T23" s="50" t="e">
        <f>RANK(P23,P23:R23,0)</f>
        <v>#DIV/0!</v>
      </c>
    </row>
    <row r="24" spans="1:22" x14ac:dyDescent="0.35">
      <c r="A24" s="106" t="s">
        <v>102</v>
      </c>
      <c r="B24" s="151">
        <f>SUMIFS(UA_HUB_SQL_7!$G:$G,UA_HUB_SQL_7!$B:$B,'Pg2'!$T11)/SUMIFS(UA_HUB_SQL_7!$F:$F,UA_HUB_SQL_7!$B:$B,'Pg2'!$T11)</f>
        <v>0</v>
      </c>
      <c r="C24" s="107"/>
      <c r="D24" s="107">
        <f>1-(SUMIFS(OA_SQL_2!$L:$L,OA_SQL_2!$B:$B,"AA",OA_SQL_2!$A:$A,'Pg2'!$T11)/SUMIFS(OA_SQL_2!$J:$J,OA_SQL_2!$B:$B,"AA",OA_SQL_2!$A:$A,'Pg2'!$T11))</f>
        <v>0</v>
      </c>
      <c r="E24" s="107"/>
      <c r="F24" s="50">
        <f t="shared" si="2"/>
        <v>1</v>
      </c>
      <c r="H24" s="106" t="s">
        <v>102</v>
      </c>
      <c r="I24" s="74">
        <f>SUMIFS(UA_HUB_SQL_7!M:M,UA_HUB_SQL_7!B:B,RANK!H24)/SUMIFS(UA_HUB_SQL_7!L:L,UA_HUB_SQL_7!B:B,RANK!H24)</f>
        <v>7.5471698113207548E-3</v>
      </c>
      <c r="J24" s="107"/>
      <c r="K24" s="107">
        <f>IFERROR(SUMIFS(OA_SQL_2!P:P,OA_SQL_2!A:A,RANK!H24,OA_SQL_2!B:B,"AA")/SUMIFS(OA_SQL_2!N:N,OA_SQL_2!A:A,RANK!H24,OA_SQL_2!B:B,"AA"),"-")</f>
        <v>0.99176954732510292</v>
      </c>
      <c r="L24" s="107"/>
      <c r="M24" s="50">
        <f t="shared" si="1"/>
        <v>2</v>
      </c>
      <c r="N24" s="50"/>
      <c r="O24" s="106" t="s">
        <v>103</v>
      </c>
      <c r="P24" s="74" t="e">
        <f>SUMIFS(UA_HUB_SQL_7!T:T,UA_HUB_SQL_7!O:O,O24)/SUMIFS(UA_HUB_SQL_7!S:S,UA_HUB_SQL_7!O:O,O24)</f>
        <v>#DIV/0!</v>
      </c>
      <c r="Q24" s="107"/>
      <c r="R24" s="107"/>
      <c r="S24" s="107" t="str">
        <f ca="1">IFERROR(SUMIFS(OA_SQL_2!Y:Y,OA_SQL_2!N:N,RANK!O25,OA_SQL_2!O:O,RANK!S18)/SUMIFS(OA_SQL_2!W:W,OA_SQL_2!N:N,RANK!O25,OA_SQL_2!O:O,RANK!S18),"-")</f>
        <v>-</v>
      </c>
      <c r="T24" s="50" t="e">
        <f>RANK(P24,P24:S24,0)</f>
        <v>#DIV/0!</v>
      </c>
    </row>
    <row r="25" spans="1:22" x14ac:dyDescent="0.35">
      <c r="A25" s="105" t="s">
        <v>103</v>
      </c>
      <c r="B25" s="151">
        <f>SUMIFS(UA_HUB_SQL_7!$G:$G,UA_HUB_SQL_7!$B:$B,'Pg2'!$T12)/SUMIFS(UA_HUB_SQL_7!$F:$F,UA_HUB_SQL_7!$B:$B,'Pg2'!$T12)</f>
        <v>3.2258064516129031E-2</v>
      </c>
      <c r="C25" s="107"/>
      <c r="D25" s="107"/>
      <c r="E25" s="107">
        <f>1-(SUMIFS(OA_SQL_2!$L:$L,OA_SQL_2!$B:$B,"AS",OA_SQL_2!$A:$A,'Pg2'!$T12)/SUMIFS(OA_SQL_2!$J:$J,OA_SQL_2!$B:$B,"AS",OA_SQL_2!$A:$A,'Pg2'!$T12))</f>
        <v>0.26470588235294112</v>
      </c>
      <c r="F25" s="50">
        <f>RANK(B25,B25:E25,1)</f>
        <v>1</v>
      </c>
      <c r="H25" s="105" t="s">
        <v>103</v>
      </c>
      <c r="I25" s="74">
        <f>SUMIFS(UA_HUB_SQL_7!M:M,UA_HUB_SQL_7!B:B,RANK!H25)/SUMIFS(UA_HUB_SQL_7!L:L,UA_HUB_SQL_7!B:B,RANK!H25)</f>
        <v>0</v>
      </c>
      <c r="J25" s="107"/>
      <c r="K25" s="107"/>
      <c r="L25" s="107">
        <f>IFERROR(SUMIFS(OA_SQL_2!P:P,OA_SQL_2!A:A,RANK!H25,OA_SQL_2!B:B,RANK!L18)/SUMIFS(OA_SQL_2!N:N,OA_SQL_2!A:A,RANK!H25,OA_SQL_2!B:B,RANK!L18),"-")</f>
        <v>1</v>
      </c>
      <c r="M25" s="50">
        <f>RANK(I25,I25:L25,0)</f>
        <v>2</v>
      </c>
      <c r="N25" s="50"/>
      <c r="O25" s="105" t="s">
        <v>66</v>
      </c>
      <c r="P25" s="74" t="e">
        <f>SUMIFS(UA_HUB_SQL_7!T:T,UA_HUB_SQL_7!O:O,O25)/SUMIFS(UA_HUB_SQL_7!S:S,UA_HUB_SQL_7!O:O,O25)</f>
        <v>#DIV/0!</v>
      </c>
      <c r="Q25" s="107">
        <f>IFERROR(SUMIFS(OA_SQL_2!$L:$L,OA_SQL_2!$A:$A,O25,OA_SQL_2!$B:$B,"DL")/SUMIFS(OA_SQL_2!$J:$J,OA_SQL_2!$A:$A,O25,OA_SQL_2!$B:$B,"DL"),"-")</f>
        <v>0.99893842887473461</v>
      </c>
      <c r="R25" s="107">
        <f>IFERROR(SUMIFS(OA_SQL_2!$L:$L,OA_SQL_2!$A:$A,O25,OA_SQL_2!$B:$B,"AA")/SUMIFS(OA_SQL_2!$J:$J,OA_SQL_2!$A:$A,O25,OA_SQL_2!$B:$B,"AA"),"-")</f>
        <v>0.98606713109563016</v>
      </c>
      <c r="S25" s="107" t="str">
        <f ca="1">IFERROR(SUMIFS(OA_SQL_2!Y:Y,OA_SQL_2!N:N,RANK!O26,OA_SQL_2!O:O,RANK!S18)/SUMIFS(OA_SQL_2!W:W,OA_SQL_2!N:N,RANK!O26,OA_SQL_2!O:O,RANK!S18),"-")</f>
        <v>-</v>
      </c>
      <c r="T25" s="50" t="e">
        <f>RANK(P25,P25:S25,0)</f>
        <v>#DIV/0!</v>
      </c>
    </row>
    <row r="26" spans="1:22" x14ac:dyDescent="0.35">
      <c r="A26" s="105" t="s">
        <v>66</v>
      </c>
      <c r="B26" s="151">
        <f>SUMIFS(UA_HUB_SQL_7!$G:$G,UA_HUB_SQL_7!$B:$B,'Pg2'!$T13)/SUMIFS(UA_HUB_SQL_7!$F:$F,UA_HUB_SQL_7!$B:$B,'Pg2'!$T13)</f>
        <v>1.1201629327902239E-2</v>
      </c>
      <c r="C26" s="107">
        <f>1-(SUMIFS(OA_SQL_2!$L:$L,OA_SQL_2!$B:$B,"DL",OA_SQL_2!$A:$A,'Pg2'!$T13)/SUMIFS(OA_SQL_2!$J:$J,OA_SQL_2!$B:$B,"DL",OA_SQL_2!$A:$A,'Pg2'!$T13))</f>
        <v>1.0615711252653925E-3</v>
      </c>
      <c r="D26" s="107">
        <f>1-(SUMIFS(OA_SQL_2!$L:$L,OA_SQL_2!$B:$B,"AA",OA_SQL_2!$A:$A,'Pg2'!$T13)/SUMIFS(OA_SQL_2!$J:$J,OA_SQL_2!$B:$B,"AA",OA_SQL_2!$A:$A,'Pg2'!$T13))</f>
        <v>1.3932868904369844E-2</v>
      </c>
      <c r="E26" s="107">
        <f>1-(SUMIFS(OA_SQL_2!$L:$L,OA_SQL_2!$B:$B,"AS",OA_SQL_2!$A:$A,'Pg2'!$T13)/SUMIFS(OA_SQL_2!$J:$J,OA_SQL_2!$B:$B,"AS",OA_SQL_2!$A:$A,'Pg2'!$T13))</f>
        <v>4.3333333333333335E-2</v>
      </c>
      <c r="F26" s="50">
        <f>RANK(B26,B26:E26,1)</f>
        <v>2</v>
      </c>
      <c r="H26" s="105" t="s">
        <v>66</v>
      </c>
      <c r="I26" s="74">
        <f>SUMIFS(UA_HUB_SQL_7!M:M,UA_HUB_SQL_7!B:B,RANK!H26)/SUMIFS(UA_HUB_SQL_7!L:L,UA_HUB_SQL_7!B:B,RANK!H26)</f>
        <v>1.1566771819137749E-2</v>
      </c>
      <c r="J26" s="107">
        <f>IFERROR(SUMIFS(OA_SQL_2!P:P,OA_SQL_2!A:A,RANK!H26,OA_SQL_2!B:B,"DL")/SUMIFS(OA_SQL_2!N:N,OA_SQL_2!A:A,RANK!H26,OA_SQL_2!B:B,"DL"),"-")</f>
        <v>0.99893390191897657</v>
      </c>
      <c r="K26" s="107">
        <f>IFERROR(SUMIFS(OA_SQL_2!P:P,OA_SQL_2!A:A,RANK!H26,OA_SQL_2!B:B,"AA")/SUMIFS(OA_SQL_2!N:N,OA_SQL_2!A:A,RANK!H26,OA_SQL_2!B:B,"AA"),"-")</f>
        <v>0.9857605177993527</v>
      </c>
      <c r="L26" s="107">
        <f>IFERROR(SUMIFS(OA_SQL_2!P:P,OA_SQL_2!A:A,RANK!H26,OA_SQL_2!B:B,RANK!L18)/SUMIFS(OA_SQL_2!N:N,OA_SQL_2!A:A,RANK!H26,OA_SQL_2!B:B,RANK!L18),"-")</f>
        <v>0.99663299663299665</v>
      </c>
      <c r="M26" s="50">
        <f>RANK(I26,I26:L26,0)</f>
        <v>4</v>
      </c>
      <c r="N26" s="50"/>
      <c r="O26" s="105" t="s">
        <v>95</v>
      </c>
      <c r="P26" s="74" t="e">
        <f>SUMIFS(UA_HUB_SQL_7!T:T,UA_HUB_SQL_7!O:O,O26)/SUMIFS(UA_HUB_SQL_7!S:S,UA_HUB_SQL_7!O:O,O26)</f>
        <v>#DIV/0!</v>
      </c>
      <c r="Q26" s="107" t="str">
        <f>IFERROR(SUMIFS(OA_SQL_2!$L:$L,OA_SQL_2!$A:$A,PAGE_1_old!O18,OA_SQL_2!$B:$B,"DL")/SUMIFS(OA_SQL_2!$J:$J,OA_SQL_2!$A:$A,PAGE_1_old!O18,OA_SQL_2!$B:$B,"DL"),"-")</f>
        <v>-</v>
      </c>
      <c r="R26" s="107"/>
      <c r="S26" s="107"/>
      <c r="T26" s="50"/>
    </row>
    <row r="27" spans="1:22" x14ac:dyDescent="0.35">
      <c r="A27" s="194" t="s">
        <v>140</v>
      </c>
      <c r="B27" s="151">
        <f>SUMIFS(UA_Line!$G:$G,UA_Line!$B:$B,"Line Int")/SUMIFS(UA_Line!$F:$F,UA_Line!$B:$B,"Line Int")</f>
        <v>0</v>
      </c>
      <c r="C27" s="151">
        <f>1-(SUMIFS(OA_Line!$F:$F,OA_Line!$B:$B,"DL",OA_Line!$A:$A,"Line Int")/SUMIFS(OA_Line!$D:$D,OA_Line!$B:$B,"DL",OA_Line!$A:$A,"Line Int"))</f>
        <v>0</v>
      </c>
      <c r="D27" s="151">
        <f>1-(SUMIFS(OA_Line!$F:$F,OA_Line!$B:$B,"AA",OA_Line!$A:$A,"Line Int")/SUMIFS(OA_Line!$D:$D,OA_Line!$B:$B,"AA",OA_Line!$A:$A,"Line Int"))</f>
        <v>0</v>
      </c>
      <c r="F27">
        <f>RANK(B27,B27:D27,1)</f>
        <v>1</v>
      </c>
    </row>
    <row r="28" spans="1:22" x14ac:dyDescent="0.35">
      <c r="A28" s="194" t="s">
        <v>141</v>
      </c>
      <c r="B28" s="151">
        <f>SUMIFS(UA_Line!$G:$G,UA_Line!$B:$B,"Line Dom")/SUMIFS(UA_Line!$F:$F,UA_Line!$B:$B,"Line Dom")</f>
        <v>1.1891891891891892E-2</v>
      </c>
      <c r="C28" s="151">
        <f>1-(SUMIFS(OA_Line!$F:$F,OA_Line!$B:$B,"DL",OA_Line!$A:$A,"Line Dom")/SUMIFS(OA_Line!$D:$D,OA_Line!$B:$B,"DL",OA_Line!$A:$A,"Line Dom"))</f>
        <v>1.1947431302270495E-3</v>
      </c>
      <c r="D28" s="151">
        <f>1-(SUMIFS(OA_Line!$F:$F,OA_Line!$B:$B,"AA",OA_Line!$A:$A,"Line Dom")/SUMIFS(OA_Line!$D:$D,OA_Line!$B:$B,"AA",OA_Line!$A:$A,"Line Dom"))</f>
        <v>1.6224188790560423E-2</v>
      </c>
      <c r="F28">
        <f>RANK(B28,B28:D28,1)</f>
        <v>2</v>
      </c>
    </row>
  </sheetData>
  <sortState xmlns:xlrd2="http://schemas.microsoft.com/office/spreadsheetml/2017/richdata2" ref="O19:T26">
    <sortCondition ref="T23"/>
  </sortState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1555AE61-260C-455D-B59C-CAC1C1108CB1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B8:B15</xm:sqref>
        </x14:conditionalFormatting>
        <x14:conditionalFormatting xmlns:xm="http://schemas.microsoft.com/office/excel/2006/main">
          <x14:cfRule type="iconSet" priority="7" id="{FBA5A912-C442-4712-B968-93E96C27954C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I8:I17</xm:sqref>
        </x14:conditionalFormatting>
        <x14:conditionalFormatting xmlns:xm="http://schemas.microsoft.com/office/excel/2006/main">
          <x14:cfRule type="iconSet" priority="5" id="{3FC805BA-C6A0-4596-A2F3-E096E9948592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I19:I26</xm:sqref>
        </x14:conditionalFormatting>
        <x14:conditionalFormatting xmlns:xm="http://schemas.microsoft.com/office/excel/2006/main">
          <x14:cfRule type="iconSet" priority="2" id="{592866FA-1C82-481C-B534-E7C5EC42BAE9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P8:P15</xm:sqref>
        </x14:conditionalFormatting>
        <x14:conditionalFormatting xmlns:xm="http://schemas.microsoft.com/office/excel/2006/main">
          <x14:cfRule type="iconSet" priority="1" id="{002BD541-799A-482E-9A6E-F122EAFE43A3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P19:P26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>
    <tabColor theme="4" tint="0.39997558519241921"/>
  </sheetPr>
  <dimension ref="A1:O30"/>
  <sheetViews>
    <sheetView workbookViewId="0">
      <selection activeCell="H24" sqref="H24"/>
    </sheetView>
  </sheetViews>
  <sheetFormatPr defaultRowHeight="14.5" x14ac:dyDescent="0.35"/>
  <cols>
    <col min="11" max="11" width="23.1796875" bestFit="1" customWidth="1"/>
  </cols>
  <sheetData>
    <row r="1" spans="1:15" x14ac:dyDescent="0.35">
      <c r="A1" s="275" t="s">
        <v>14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</row>
    <row r="2" spans="1:15" x14ac:dyDescent="0.35">
      <c r="B2" t="s">
        <v>76</v>
      </c>
      <c r="C2" t="s">
        <v>78</v>
      </c>
      <c r="D2" t="s">
        <v>80</v>
      </c>
      <c r="E2" t="s">
        <v>82</v>
      </c>
      <c r="F2" t="s">
        <v>84</v>
      </c>
      <c r="G2" t="s">
        <v>86</v>
      </c>
      <c r="H2" t="s">
        <v>88</v>
      </c>
      <c r="I2" t="s">
        <v>90</v>
      </c>
      <c r="J2" t="s">
        <v>112</v>
      </c>
      <c r="K2" t="s">
        <v>145</v>
      </c>
      <c r="L2" t="s">
        <v>27</v>
      </c>
    </row>
    <row r="3" spans="1:15" x14ac:dyDescent="0.35">
      <c r="A3" t="s">
        <v>76</v>
      </c>
      <c r="B3">
        <f>SUMIFS(CNXL_SQL_2!$F:$F,CNXL_SQL_2!$A:$A,ES_MATRIX!$A3,CNXL_SQL_2!$E:$E,ES_MATRIX!$B$2)</f>
        <v>0</v>
      </c>
      <c r="C3">
        <f>SUMIFS(CNXL_SQL_2!$F:$F,CNXL_SQL_2!$A:$A,ES_MATRIX!$A3,CNXL_SQL_2!$E:$E,ES_MATRIX!$C$2)</f>
        <v>0</v>
      </c>
      <c r="D3">
        <f>SUMIFS(CNXL_SQL_2!$F:$F,CNXL_SQL_2!$A:$A,ES_MATRIX!$A3,CNXL_SQL_2!$E:$E,ES_MATRIX!$D$2)</f>
        <v>0</v>
      </c>
      <c r="E3">
        <f>SUMIFS(CNXL_SQL_2!$F:$F,CNXL_SQL_2!$A:$A,ES_MATRIX!$A3,CNXL_SQL_2!$E:$E,ES_MATRIX!$E$2)</f>
        <v>0</v>
      </c>
      <c r="F3">
        <f>SUMIFS(CNXL_SQL_2!$F:$F,CNXL_SQL_2!$A:$A,ES_MATRIX!$A3,CNXL_SQL_2!$E:$E,ES_MATRIX!$F$2)</f>
        <v>0</v>
      </c>
      <c r="G3">
        <f>SUMIFS(CNXL_SQL_2!$F:$F,CNXL_SQL_2!$A:$A,ES_MATRIX!$A3,CNXL_SQL_2!$E:$E,ES_MATRIX!$G$2)</f>
        <v>0</v>
      </c>
      <c r="H3">
        <f>SUMIFS(CNXL_SQL_2!$F:$F,CNXL_SQL_2!$A:$A,ES_MATRIX!$A3,CNXL_SQL_2!$E:$E,ES_MATRIX!$H$2)</f>
        <v>0</v>
      </c>
      <c r="I3">
        <f>SUMIFS(CNXL_SQL_2!$F:$F,CNXL_SQL_2!$A:$A,ES_MATRIX!$A3,CNXL_SQL_2!$E:$E,ES_MATRIX!$I$2)</f>
        <v>0</v>
      </c>
      <c r="J3">
        <f>SUMIFS(CNXL_SQL_2!$F:$F,CNXL_SQL_2!$A:$A,ES_MATRIX!$A3,CNXL_SQL_2!$E:$E,ES_MATRIX!$J$2)</f>
        <v>0</v>
      </c>
      <c r="K3" s="1" t="str">
        <f t="shared" ref="K3:K10" si="0">CONCATENATE(IF(B3&gt;0,CONCATENATE($B$2,"-",B3," "),""),IF(C3&gt;0,CONCATENATE($C$2,"-",C3," "),""),IF(D3&gt;0,CONCATENATE($D$2,"-",D3," "),""),IF(E3&gt;0,CONCATENATE($E$2,"-",E3," "),""),IF(F3&gt;0,CONCATENATE($F$2,"-",F3," "),""),IF(G3&gt;0,CONCATENATE($G$2,"-",G3," "),""),IF(H3&gt;0,CONCATENATE($H$2,"-",H3," "),""),IF(I3&gt;0,CONCATENATE($I$2,"-",I3),""),IF(J3&gt;0,CONCATENATE($J$2,"-",J3),""))</f>
        <v/>
      </c>
      <c r="L3">
        <f t="shared" ref="L3:L10" si="1">SUM(B3:J3)</f>
        <v>0</v>
      </c>
    </row>
    <row r="4" spans="1:15" x14ac:dyDescent="0.35">
      <c r="A4" t="s">
        <v>78</v>
      </c>
      <c r="B4">
        <f>SUMIFS(CNXL_SQL_2!$F:$F,CNXL_SQL_2!$A:$A,ES_MATRIX!$A4,CNXL_SQL_2!$E:$E,ES_MATRIX!$B$2)</f>
        <v>0</v>
      </c>
      <c r="C4">
        <f>SUMIFS(CNXL_SQL_2!$F:$F,CNXL_SQL_2!$A:$A,ES_MATRIX!$A4,CNXL_SQL_2!$E:$E,ES_MATRIX!$C$2)</f>
        <v>0</v>
      </c>
      <c r="D4">
        <f>SUMIFS(CNXL_SQL_2!$F:$F,CNXL_SQL_2!$A:$A,ES_MATRIX!$A4,CNXL_SQL_2!$E:$E,ES_MATRIX!$D$2)</f>
        <v>0</v>
      </c>
      <c r="E4">
        <f>SUMIFS(CNXL_SQL_2!$F:$F,CNXL_SQL_2!$A:$A,ES_MATRIX!$A4,CNXL_SQL_2!$E:$E,ES_MATRIX!$E$2)</f>
        <v>0</v>
      </c>
      <c r="F4">
        <f>SUMIFS(CNXL_SQL_2!$F:$F,CNXL_SQL_2!$A:$A,ES_MATRIX!$A4,CNXL_SQL_2!$E:$E,ES_MATRIX!$F$2)</f>
        <v>0</v>
      </c>
      <c r="G4">
        <f>SUMIFS(CNXL_SQL_2!$F:$F,CNXL_SQL_2!$A:$A,ES_MATRIX!$A4,CNXL_SQL_2!$E:$E,ES_MATRIX!$G$2)</f>
        <v>0</v>
      </c>
      <c r="H4">
        <f>SUMIFS(CNXL_SQL_2!$F:$F,CNXL_SQL_2!$A:$A,ES_MATRIX!$A4,CNXL_SQL_2!$E:$E,ES_MATRIX!$H$2)</f>
        <v>0</v>
      </c>
      <c r="I4">
        <f>SUMIFS(CNXL_SQL_2!$F:$F,CNXL_SQL_2!$A:$A,ES_MATRIX!$A4,CNXL_SQL_2!$E:$E,ES_MATRIX!$I$2)</f>
        <v>0</v>
      </c>
      <c r="J4">
        <f>SUMIFS(CNXL_SQL_2!$F:$F,CNXL_SQL_2!$A:$A,ES_MATRIX!$A4,CNXL_SQL_2!$E:$E,ES_MATRIX!$J$2)</f>
        <v>0</v>
      </c>
      <c r="K4" s="1" t="str">
        <f t="shared" si="0"/>
        <v/>
      </c>
      <c r="L4">
        <f t="shared" si="1"/>
        <v>0</v>
      </c>
    </row>
    <row r="5" spans="1:15" x14ac:dyDescent="0.35">
      <c r="A5" t="s">
        <v>80</v>
      </c>
      <c r="B5">
        <f>SUMIFS(CNXL_SQL_2!$F:$F,CNXL_SQL_2!$A:$A,ES_MATRIX!$A5,CNXL_SQL_2!$E:$E,ES_MATRIX!$B$2)</f>
        <v>0</v>
      </c>
      <c r="C5">
        <f>SUMIFS(CNXL_SQL_2!$F:$F,CNXL_SQL_2!$A:$A,ES_MATRIX!$A5,CNXL_SQL_2!$E:$E,ES_MATRIX!$C$2)</f>
        <v>0</v>
      </c>
      <c r="D5">
        <f>SUMIFS(CNXL_SQL_2!$F:$F,CNXL_SQL_2!$A:$A,ES_MATRIX!$A5,CNXL_SQL_2!$E:$E,ES_MATRIX!$D$2)</f>
        <v>0</v>
      </c>
      <c r="E5">
        <f>SUMIFS(CNXL_SQL_2!$F:$F,CNXL_SQL_2!$A:$A,ES_MATRIX!$A5,CNXL_SQL_2!$E:$E,ES_MATRIX!$E$2)</f>
        <v>0</v>
      </c>
      <c r="F5">
        <f>SUMIFS(CNXL_SQL_2!$F:$F,CNXL_SQL_2!$A:$A,ES_MATRIX!$A5,CNXL_SQL_2!$E:$E,ES_MATRIX!$F$2)</f>
        <v>0</v>
      </c>
      <c r="G5">
        <f>SUMIFS(CNXL_SQL_2!$F:$F,CNXL_SQL_2!$A:$A,ES_MATRIX!$A5,CNXL_SQL_2!$E:$E,ES_MATRIX!$G$2)</f>
        <v>0</v>
      </c>
      <c r="H5">
        <f>SUMIFS(CNXL_SQL_2!$F:$F,CNXL_SQL_2!$A:$A,ES_MATRIX!$A5,CNXL_SQL_2!$E:$E,ES_MATRIX!$H$2)</f>
        <v>0</v>
      </c>
      <c r="I5">
        <f>SUMIFS(CNXL_SQL_2!$F:$F,CNXL_SQL_2!$A:$A,ES_MATRIX!$A5,CNXL_SQL_2!$E:$E,ES_MATRIX!$I$2)</f>
        <v>0</v>
      </c>
      <c r="J5">
        <f>SUMIFS(CNXL_SQL_2!$F:$F,CNXL_SQL_2!$A:$A,ES_MATRIX!$A5,CNXL_SQL_2!$E:$E,ES_MATRIX!$J$2)</f>
        <v>0</v>
      </c>
      <c r="K5" s="1" t="str">
        <f t="shared" si="0"/>
        <v/>
      </c>
      <c r="L5">
        <f t="shared" si="1"/>
        <v>0</v>
      </c>
    </row>
    <row r="6" spans="1:15" x14ac:dyDescent="0.35">
      <c r="A6" t="s">
        <v>82</v>
      </c>
      <c r="B6">
        <f>SUMIFS(CNXL_SQL_2!$F:$F,CNXL_SQL_2!$A:$A,ES_MATRIX!$A6,CNXL_SQL_2!$E:$E,ES_MATRIX!$B$2)</f>
        <v>0</v>
      </c>
      <c r="C6">
        <f>SUMIFS(CNXL_SQL_2!$F:$F,CNXL_SQL_2!$A:$A,ES_MATRIX!$A6,CNXL_SQL_2!$E:$E,ES_MATRIX!$C$2)</f>
        <v>0</v>
      </c>
      <c r="D6">
        <f>SUMIFS(CNXL_SQL_2!$F:$F,CNXL_SQL_2!$A:$A,ES_MATRIX!$A6,CNXL_SQL_2!$E:$E,ES_MATRIX!$D$2)</f>
        <v>0</v>
      </c>
      <c r="E6">
        <f>SUMIFS(CNXL_SQL_2!$F:$F,CNXL_SQL_2!$A:$A,ES_MATRIX!$A6,CNXL_SQL_2!$E:$E,ES_MATRIX!$E$2)</f>
        <v>0</v>
      </c>
      <c r="F6">
        <f>SUMIFS(CNXL_SQL_2!$F:$F,CNXL_SQL_2!$A:$A,ES_MATRIX!$A6,CNXL_SQL_2!$E:$E,ES_MATRIX!$F$2)</f>
        <v>0</v>
      </c>
      <c r="G6">
        <f>SUMIFS(CNXL_SQL_2!$F:$F,CNXL_SQL_2!$A:$A,ES_MATRIX!$A6,CNXL_SQL_2!$E:$E,ES_MATRIX!$G$2)</f>
        <v>0</v>
      </c>
      <c r="H6">
        <f>SUMIFS(CNXL_SQL_2!$F:$F,CNXL_SQL_2!$A:$A,ES_MATRIX!$A6,CNXL_SQL_2!$E:$E,ES_MATRIX!$H$2)</f>
        <v>0</v>
      </c>
      <c r="I6">
        <f>SUMIFS(CNXL_SQL_2!$F:$F,CNXL_SQL_2!$A:$A,ES_MATRIX!$A6,CNXL_SQL_2!$E:$E,ES_MATRIX!$I$2)</f>
        <v>0</v>
      </c>
      <c r="J6">
        <f>SUMIFS(CNXL_SQL_2!$F:$F,CNXL_SQL_2!$A:$A,ES_MATRIX!$A6,CNXL_SQL_2!$E:$E,ES_MATRIX!$J$2)</f>
        <v>0</v>
      </c>
      <c r="K6" s="1" t="str">
        <f t="shared" si="0"/>
        <v/>
      </c>
      <c r="L6">
        <f t="shared" si="1"/>
        <v>0</v>
      </c>
    </row>
    <row r="7" spans="1:15" x14ac:dyDescent="0.35">
      <c r="A7" t="s">
        <v>84</v>
      </c>
      <c r="B7">
        <f>SUMIFS(CNXL_SQL_2!$F:$F,CNXL_SQL_2!$A:$A,ES_MATRIX!$A7,CNXL_SQL_2!$E:$E,ES_MATRIX!$B$2)</f>
        <v>0</v>
      </c>
      <c r="C7">
        <f>SUMIFS(CNXL_SQL_2!$F:$F,CNXL_SQL_2!$A:$A,ES_MATRIX!$A7,CNXL_SQL_2!$E:$E,ES_MATRIX!$C$2)</f>
        <v>0</v>
      </c>
      <c r="D7">
        <f>SUMIFS(CNXL_SQL_2!$F:$F,CNXL_SQL_2!$A:$A,ES_MATRIX!$A7,CNXL_SQL_2!$E:$E,ES_MATRIX!$D$2)</f>
        <v>0</v>
      </c>
      <c r="E7">
        <f>SUMIFS(CNXL_SQL_2!$F:$F,CNXL_SQL_2!$A:$A,ES_MATRIX!$A7,CNXL_SQL_2!$E:$E,ES_MATRIX!$E$2)</f>
        <v>0</v>
      </c>
      <c r="F7">
        <f>SUMIFS(CNXL_SQL_2!$F:$F,CNXL_SQL_2!$A:$A,ES_MATRIX!$A7,CNXL_SQL_2!$E:$E,ES_MATRIX!$F$2)</f>
        <v>0</v>
      </c>
      <c r="G7">
        <f>SUMIFS(CNXL_SQL_2!$F:$F,CNXL_SQL_2!$A:$A,ES_MATRIX!$A7,CNXL_SQL_2!$E:$E,ES_MATRIX!$G$2)</f>
        <v>0</v>
      </c>
      <c r="H7">
        <f>SUMIFS(CNXL_SQL_2!$F:$F,CNXL_SQL_2!$A:$A,ES_MATRIX!$A7,CNXL_SQL_2!$E:$E,ES_MATRIX!$H$2)</f>
        <v>0</v>
      </c>
      <c r="I7">
        <f>SUMIFS(CNXL_SQL_2!$F:$F,CNXL_SQL_2!$A:$A,ES_MATRIX!$A7,CNXL_SQL_2!$E:$E,ES_MATRIX!$I$2)</f>
        <v>0</v>
      </c>
      <c r="J7">
        <f>SUMIFS(CNXL_SQL_2!$F:$F,CNXL_SQL_2!$A:$A,ES_MATRIX!$A7,CNXL_SQL_2!$E:$E,ES_MATRIX!$J$2)</f>
        <v>0</v>
      </c>
      <c r="K7" s="1" t="str">
        <f t="shared" si="0"/>
        <v/>
      </c>
      <c r="L7">
        <f t="shared" si="1"/>
        <v>0</v>
      </c>
    </row>
    <row r="8" spans="1:15" x14ac:dyDescent="0.35">
      <c r="A8" t="s">
        <v>86</v>
      </c>
      <c r="B8">
        <f>SUMIFS(CNXL_SQL_2!$F:$F,CNXL_SQL_2!$A:$A,ES_MATRIX!$A8,CNXL_SQL_2!$E:$E,ES_MATRIX!$B$2)</f>
        <v>0</v>
      </c>
      <c r="C8">
        <f>SUMIFS(CNXL_SQL_2!$F:$F,CNXL_SQL_2!$A:$A,ES_MATRIX!$A8,CNXL_SQL_2!$E:$E,ES_MATRIX!$C$2)</f>
        <v>0</v>
      </c>
      <c r="D8">
        <f>SUMIFS(CNXL_SQL_2!$F:$F,CNXL_SQL_2!$A:$A,ES_MATRIX!$A8,CNXL_SQL_2!$E:$E,ES_MATRIX!$D$2)</f>
        <v>0</v>
      </c>
      <c r="E8">
        <f>SUMIFS(CNXL_SQL_2!$F:$F,CNXL_SQL_2!$A:$A,ES_MATRIX!$A8,CNXL_SQL_2!$E:$E,ES_MATRIX!$E$2)</f>
        <v>0</v>
      </c>
      <c r="F8">
        <f>SUMIFS(CNXL_SQL_2!$F:$F,CNXL_SQL_2!$A:$A,ES_MATRIX!$A8,CNXL_SQL_2!$E:$E,ES_MATRIX!$F$2)</f>
        <v>0</v>
      </c>
      <c r="G8">
        <f>SUMIFS(CNXL_SQL_2!$F:$F,CNXL_SQL_2!$A:$A,ES_MATRIX!$A8,CNXL_SQL_2!$E:$E,ES_MATRIX!$G$2)</f>
        <v>0</v>
      </c>
      <c r="H8">
        <f>SUMIFS(CNXL_SQL_2!$F:$F,CNXL_SQL_2!$A:$A,ES_MATRIX!$A8,CNXL_SQL_2!$E:$E,ES_MATRIX!$H$2)</f>
        <v>0</v>
      </c>
      <c r="I8">
        <f>SUMIFS(CNXL_SQL_2!$F:$F,CNXL_SQL_2!$A:$A,ES_MATRIX!$A8,CNXL_SQL_2!$E:$E,ES_MATRIX!$I$2)</f>
        <v>0</v>
      </c>
      <c r="J8">
        <f>SUMIFS(CNXL_SQL_2!$F:$F,CNXL_SQL_2!$A:$A,ES_MATRIX!$A8,CNXL_SQL_2!$E:$E,ES_MATRIX!$J$2)</f>
        <v>0</v>
      </c>
      <c r="K8" s="1" t="str">
        <f t="shared" si="0"/>
        <v/>
      </c>
      <c r="L8">
        <f t="shared" si="1"/>
        <v>0</v>
      </c>
    </row>
    <row r="9" spans="1:15" x14ac:dyDescent="0.35">
      <c r="A9" t="s">
        <v>88</v>
      </c>
      <c r="B9">
        <f>SUMIFS(CNXL_SQL_2!$F:$F,CNXL_SQL_2!$A:$A,ES_MATRIX!$A9,CNXL_SQL_2!$E:$E,ES_MATRIX!$B$2)</f>
        <v>0</v>
      </c>
      <c r="C9">
        <f>SUMIFS(CNXL_SQL_2!$F:$F,CNXL_SQL_2!$A:$A,ES_MATRIX!$A9,CNXL_SQL_2!$E:$E,ES_MATRIX!$C$2)</f>
        <v>0</v>
      </c>
      <c r="D9">
        <f>SUMIFS(CNXL_SQL_2!$F:$F,CNXL_SQL_2!$A:$A,ES_MATRIX!$A9,CNXL_SQL_2!$E:$E,ES_MATRIX!$D$2)</f>
        <v>0</v>
      </c>
      <c r="E9">
        <f>SUMIFS(CNXL_SQL_2!$F:$F,CNXL_SQL_2!$A:$A,ES_MATRIX!$A9,CNXL_SQL_2!$E:$E,ES_MATRIX!$E$2)</f>
        <v>0</v>
      </c>
      <c r="F9">
        <f>SUMIFS(CNXL_SQL_2!$F:$F,CNXL_SQL_2!$A:$A,ES_MATRIX!$A9,CNXL_SQL_2!$E:$E,ES_MATRIX!$F$2)</f>
        <v>0</v>
      </c>
      <c r="G9">
        <f>SUMIFS(CNXL_SQL_2!$F:$F,CNXL_SQL_2!$A:$A,ES_MATRIX!$A9,CNXL_SQL_2!$E:$E,ES_MATRIX!$G$2)</f>
        <v>0</v>
      </c>
      <c r="H9">
        <f>SUMIFS(CNXL_SQL_2!$F:$F,CNXL_SQL_2!$A:$A,ES_MATRIX!$A9,CNXL_SQL_2!$E:$E,ES_MATRIX!$H$2)</f>
        <v>0</v>
      </c>
      <c r="I9">
        <f>SUMIFS(CNXL_SQL_2!$F:$F,CNXL_SQL_2!$A:$A,ES_MATRIX!$A9,CNXL_SQL_2!$E:$E,ES_MATRIX!$I$2)</f>
        <v>0</v>
      </c>
      <c r="J9">
        <f>SUMIFS(CNXL_SQL_2!$F:$F,CNXL_SQL_2!$A:$A,ES_MATRIX!$A9,CNXL_SQL_2!$E:$E,ES_MATRIX!$J$2)</f>
        <v>0</v>
      </c>
      <c r="K9" s="1" t="str">
        <f t="shared" si="0"/>
        <v/>
      </c>
      <c r="L9">
        <f t="shared" si="1"/>
        <v>0</v>
      </c>
    </row>
    <row r="10" spans="1:15" x14ac:dyDescent="0.35">
      <c r="A10" t="s">
        <v>90</v>
      </c>
      <c r="B10">
        <f>SUMIFS(CNXL_SQL_2!$F:$F,CNXL_SQL_2!$A:$A,ES_MATRIX!$A10,CNXL_SQL_2!$E:$E,ES_MATRIX!$B$2)</f>
        <v>0</v>
      </c>
      <c r="C10">
        <f>SUMIFS(CNXL_SQL_2!$F:$F,CNXL_SQL_2!$A:$A,ES_MATRIX!$A10,CNXL_SQL_2!$E:$E,ES_MATRIX!$C$2)</f>
        <v>0</v>
      </c>
      <c r="D10">
        <f>SUMIFS(CNXL_SQL_2!$F:$F,CNXL_SQL_2!$A:$A,ES_MATRIX!$A10,CNXL_SQL_2!$E:$E,ES_MATRIX!$D$2)</f>
        <v>0</v>
      </c>
      <c r="E10">
        <f>SUMIFS(CNXL_SQL_2!$F:$F,CNXL_SQL_2!$A:$A,ES_MATRIX!$A10,CNXL_SQL_2!$E:$E,ES_MATRIX!$E$2)</f>
        <v>0</v>
      </c>
      <c r="F10">
        <f>SUMIFS(CNXL_SQL_2!$F:$F,CNXL_SQL_2!$A:$A,ES_MATRIX!$A10,CNXL_SQL_2!$E:$E,ES_MATRIX!$F$2)</f>
        <v>0</v>
      </c>
      <c r="G10">
        <f>SUMIFS(CNXL_SQL_2!$F:$F,CNXL_SQL_2!$A:$A,ES_MATRIX!$A10,CNXL_SQL_2!$E:$E,ES_MATRIX!$G$2)</f>
        <v>0</v>
      </c>
      <c r="H10">
        <f>SUMIFS(CNXL_SQL_2!$F:$F,CNXL_SQL_2!$A:$A,ES_MATRIX!$A10,CNXL_SQL_2!$E:$E,ES_MATRIX!$H$2)</f>
        <v>0</v>
      </c>
      <c r="I10">
        <f>SUMIFS(CNXL_SQL_2!$F:$F,CNXL_SQL_2!$A:$A,ES_MATRIX!$A10,CNXL_SQL_2!$E:$E,ES_MATRIX!$I$2)</f>
        <v>0</v>
      </c>
      <c r="J10">
        <f>SUMIFS(CNXL_SQL_2!$F:$F,CNXL_SQL_2!$A:$A,ES_MATRIX!$A10,CNXL_SQL_2!$E:$E,ES_MATRIX!$J$2)</f>
        <v>0</v>
      </c>
      <c r="K10" s="1" t="str">
        <f t="shared" si="0"/>
        <v/>
      </c>
      <c r="L10">
        <f t="shared" si="1"/>
        <v>0</v>
      </c>
    </row>
    <row r="11" spans="1:15" ht="15" thickBot="1" x14ac:dyDescent="0.4"/>
    <row r="12" spans="1:15" ht="15" thickBot="1" x14ac:dyDescent="0.4">
      <c r="A12" s="283" t="s">
        <v>48</v>
      </c>
      <c r="B12" s="284"/>
      <c r="C12" s="284"/>
      <c r="D12" s="284"/>
      <c r="E12" s="284"/>
      <c r="F12" s="284"/>
      <c r="G12" s="284"/>
      <c r="H12" s="284"/>
      <c r="I12" s="284"/>
      <c r="J12" s="284"/>
      <c r="K12" s="284"/>
      <c r="L12" s="284"/>
      <c r="M12" s="284"/>
      <c r="N12" s="284"/>
      <c r="O12" s="284"/>
    </row>
    <row r="13" spans="1:15" x14ac:dyDescent="0.35">
      <c r="B13" t="s">
        <v>76</v>
      </c>
      <c r="C13" t="s">
        <v>78</v>
      </c>
      <c r="D13" t="s">
        <v>80</v>
      </c>
      <c r="E13" t="s">
        <v>82</v>
      </c>
      <c r="F13" t="s">
        <v>84</v>
      </c>
      <c r="G13" t="s">
        <v>86</v>
      </c>
      <c r="H13" t="s">
        <v>88</v>
      </c>
      <c r="I13" t="s">
        <v>90</v>
      </c>
      <c r="J13" t="s">
        <v>112</v>
      </c>
      <c r="K13" t="s">
        <v>145</v>
      </c>
      <c r="L13" t="s">
        <v>27</v>
      </c>
    </row>
    <row r="14" spans="1:15" x14ac:dyDescent="0.35">
      <c r="A14" t="s">
        <v>76</v>
      </c>
      <c r="B14">
        <f>SUMIFS(RES_CNXL_SQL_3!$F:$F,RES_CNXL_SQL_3!$A:$A,ES_MATRIX!$A14,RES_CNXL_SQL_3!$E:$E,ES_MATRIX!$B$2)</f>
        <v>0</v>
      </c>
      <c r="C14">
        <f>SUMIFS(RES_CNXL_SQL_3!$F:$F,RES_CNXL_SQL_3!$A:$A,ES_MATRIX!$A14,RES_CNXL_SQL_3!$E:$E,ES_MATRIX!$C$2)</f>
        <v>0</v>
      </c>
      <c r="D14">
        <f>SUMIFS(RES_CNXL_SQL_3!$F:$F,RES_CNXL_SQL_3!$A:$A,ES_MATRIX!$A14,RES_CNXL_SQL_3!$E:$E,ES_MATRIX!$D$2)</f>
        <v>0</v>
      </c>
      <c r="E14">
        <f>SUMIFS(RES_CNXL_SQL_3!$F:$F,RES_CNXL_SQL_3!$A:$A,ES_MATRIX!$A14,RES_CNXL_SQL_3!$E:$E,ES_MATRIX!$E$2)</f>
        <v>0</v>
      </c>
      <c r="F14">
        <f>SUMIFS(RES_CNXL_SQL_3!$F:$F,RES_CNXL_SQL_3!$A:$A,ES_MATRIX!$A14,RES_CNXL_SQL_3!$E:$E,ES_MATRIX!$F$2)</f>
        <v>0</v>
      </c>
      <c r="G14">
        <f>SUMIFS(RES_CNXL_SQL_3!$F:$F,RES_CNXL_SQL_3!$A:$A,ES_MATRIX!$A14,RES_CNXL_SQL_3!$E:$E,ES_MATRIX!$G$2)</f>
        <v>0</v>
      </c>
      <c r="H14">
        <f>SUMIFS(RES_CNXL_SQL_3!$F:$F,RES_CNXL_SQL_3!$A:$A,ES_MATRIX!$A14,RES_CNXL_SQL_3!$E:$E,ES_MATRIX!$H$2)</f>
        <v>0</v>
      </c>
      <c r="I14">
        <f>SUMIFS(RES_CNXL_SQL_3!$F:$F,RES_CNXL_SQL_3!$A:$A,ES_MATRIX!$A14,RES_CNXL_SQL_3!$E:$E,ES_MATRIX!$I$2)</f>
        <v>0</v>
      </c>
      <c r="J14">
        <f>SUMIFS(RES_CNXL_SQL_3!$F:$F,RES_CNXL_SQL_3!$A:$A,ES_MATRIX!$A14,RES_CNXL_SQL_3!$E:$E,ES_MATRIX!$J$13)</f>
        <v>0</v>
      </c>
      <c r="K14" s="1" t="str">
        <f t="shared" ref="K14:K21" si="2">CONCATENATE(IF(B14&gt;0,CONCATENATE($B$2,"-",B14," "),""),IF(C14&gt;0,CONCATENATE($C$2,"-",C14," "),""),IF(D14&gt;0,CONCATENATE($D$2,"-",D14," "),""),IF(E14&gt;0,CONCATENATE($E$2,"-",E14," "),""),IF(F14&gt;0,CONCATENATE($F$2,"-",F14," "),""),IF(G14&gt;0,CONCATENATE($G$2,"-",G14," "),""),IF(H14&gt;0,CONCATENATE($H$2,"-",H14," "),""),IF(I14&gt;0,CONCATENATE($I$2,"-",I14),""),IF(J14&gt;0,CONCATENATE($J$2,"-",J14),""))</f>
        <v/>
      </c>
      <c r="L14">
        <f>SUM(B14:J14)</f>
        <v>0</v>
      </c>
    </row>
    <row r="15" spans="1:15" x14ac:dyDescent="0.35">
      <c r="A15" t="s">
        <v>78</v>
      </c>
      <c r="B15">
        <f>SUMIFS(RES_CNXL_SQL_3!$F:$F,RES_CNXL_SQL_3!$A:$A,ES_MATRIX!$A15,RES_CNXL_SQL_3!$E:$E,ES_MATRIX!$B$2)</f>
        <v>0</v>
      </c>
      <c r="C15">
        <f>SUMIFS(RES_CNXL_SQL_3!$F:$F,RES_CNXL_SQL_3!$A:$A,ES_MATRIX!$A15,RES_CNXL_SQL_3!$E:$E,ES_MATRIX!$C$2)</f>
        <v>0</v>
      </c>
      <c r="D15">
        <f>SUMIFS(RES_CNXL_SQL_3!$F:$F,RES_CNXL_SQL_3!$A:$A,ES_MATRIX!$A15,RES_CNXL_SQL_3!$E:$E,ES_MATRIX!$D$2)</f>
        <v>0</v>
      </c>
      <c r="E15">
        <f>SUMIFS(RES_CNXL_SQL_3!$F:$F,RES_CNXL_SQL_3!$A:$A,ES_MATRIX!$A15,RES_CNXL_SQL_3!$E:$E,ES_MATRIX!$E$2)</f>
        <v>0</v>
      </c>
      <c r="F15">
        <f>SUMIFS(RES_CNXL_SQL_3!$F:$F,RES_CNXL_SQL_3!$A:$A,ES_MATRIX!$A15,RES_CNXL_SQL_3!$E:$E,ES_MATRIX!$F$2)</f>
        <v>0</v>
      </c>
      <c r="G15">
        <f>SUMIFS(RES_CNXL_SQL_3!$F:$F,RES_CNXL_SQL_3!$A:$A,ES_MATRIX!$A15,RES_CNXL_SQL_3!$E:$E,ES_MATRIX!$G$2)</f>
        <v>0</v>
      </c>
      <c r="H15">
        <f>SUMIFS(RES_CNXL_SQL_3!$F:$F,RES_CNXL_SQL_3!$A:$A,ES_MATRIX!$A15,RES_CNXL_SQL_3!$E:$E,ES_MATRIX!$H$2)</f>
        <v>0</v>
      </c>
      <c r="I15">
        <f>SUMIFS(RES_CNXL_SQL_3!$F:$F,RES_CNXL_SQL_3!$A:$A,ES_MATRIX!$A15,RES_CNXL_SQL_3!$E:$E,ES_MATRIX!$I$2)</f>
        <v>0</v>
      </c>
      <c r="J15">
        <f>SUMIFS(RES_CNXL_SQL_3!$F:$F,RES_CNXL_SQL_3!$A:$A,ES_MATRIX!$A15,RES_CNXL_SQL_3!$E:$E,ES_MATRIX!$J$13)</f>
        <v>0</v>
      </c>
      <c r="K15" s="1" t="str">
        <f t="shared" si="2"/>
        <v/>
      </c>
      <c r="L15">
        <f>SUM(B15:J15)</f>
        <v>0</v>
      </c>
    </row>
    <row r="16" spans="1:15" x14ac:dyDescent="0.35">
      <c r="A16" t="s">
        <v>80</v>
      </c>
      <c r="B16">
        <f>SUMIFS(RES_CNXL_SQL_3!$F:$F,RES_CNXL_SQL_3!$A:$A,ES_MATRIX!$A16,RES_CNXL_SQL_3!$E:$E,ES_MATRIX!$B$2)</f>
        <v>0</v>
      </c>
      <c r="C16">
        <f>SUMIFS(RES_CNXL_SQL_3!$F:$F,RES_CNXL_SQL_3!$A:$A,ES_MATRIX!$A16,RES_CNXL_SQL_3!$E:$E,ES_MATRIX!$C$2)</f>
        <v>0</v>
      </c>
      <c r="D16">
        <f>SUMIFS(RES_CNXL_SQL_3!$F:$F,RES_CNXL_SQL_3!$A:$A,ES_MATRIX!$A16,RES_CNXL_SQL_3!$E:$E,ES_MATRIX!$D$2)</f>
        <v>0</v>
      </c>
      <c r="E16">
        <f>SUMIFS(RES_CNXL_SQL_3!$F:$F,RES_CNXL_SQL_3!$A:$A,ES_MATRIX!$A16,RES_CNXL_SQL_3!$E:$E,ES_MATRIX!$E$2)</f>
        <v>0</v>
      </c>
      <c r="F16">
        <f>SUMIFS(RES_CNXL_SQL_3!$F:$F,RES_CNXL_SQL_3!$A:$A,ES_MATRIX!$A16,RES_CNXL_SQL_3!$E:$E,ES_MATRIX!$F$2)</f>
        <v>0</v>
      </c>
      <c r="G16">
        <f>SUMIFS(RES_CNXL_SQL_3!$F:$F,RES_CNXL_SQL_3!$A:$A,ES_MATRIX!$A16,RES_CNXL_SQL_3!$E:$E,ES_MATRIX!$G$2)</f>
        <v>0</v>
      </c>
      <c r="H16">
        <f>SUMIFS(RES_CNXL_SQL_3!$F:$F,RES_CNXL_SQL_3!$A:$A,ES_MATRIX!$A16,RES_CNXL_SQL_3!$E:$E,ES_MATRIX!$H$2)</f>
        <v>0</v>
      </c>
      <c r="I16">
        <f>SUMIFS(RES_CNXL_SQL_3!$F:$F,RES_CNXL_SQL_3!$A:$A,ES_MATRIX!$A16,RES_CNXL_SQL_3!$E:$E,ES_MATRIX!$I$2)</f>
        <v>0</v>
      </c>
      <c r="J16">
        <f>SUMIFS(RES_CNXL_SQL_3!$F:$F,RES_CNXL_SQL_3!$A:$A,ES_MATRIX!$A16,RES_CNXL_SQL_3!$E:$E,ES_MATRIX!$J$13)</f>
        <v>0</v>
      </c>
      <c r="K16" s="1" t="str">
        <f t="shared" si="2"/>
        <v/>
      </c>
      <c r="L16">
        <f>SUM(B16:J16)</f>
        <v>0</v>
      </c>
    </row>
    <row r="17" spans="1:12" x14ac:dyDescent="0.35">
      <c r="A17" t="s">
        <v>82</v>
      </c>
      <c r="B17">
        <f>SUMIFS(RES_CNXL_SQL_3!$F:$F,RES_CNXL_SQL_3!$A:$A,ES_MATRIX!$A17,RES_CNXL_SQL_3!$E:$E,ES_MATRIX!$B$2)</f>
        <v>0</v>
      </c>
      <c r="C17">
        <f>SUMIFS(RES_CNXL_SQL_3!$F:$F,RES_CNXL_SQL_3!$A:$A,ES_MATRIX!$A17,RES_CNXL_SQL_3!$E:$E,ES_MATRIX!$C$2)</f>
        <v>0</v>
      </c>
      <c r="D17">
        <f>SUMIFS(RES_CNXL_SQL_3!$F:$F,RES_CNXL_SQL_3!$A:$A,ES_MATRIX!$A17,RES_CNXL_SQL_3!$E:$E,ES_MATRIX!$D$2)</f>
        <v>0</v>
      </c>
      <c r="E17">
        <f>SUMIFS(RES_CNXL_SQL_3!$F:$F,RES_CNXL_SQL_3!$A:$A,ES_MATRIX!$A17,RES_CNXL_SQL_3!$E:$E,ES_MATRIX!$E$2)</f>
        <v>0</v>
      </c>
      <c r="F17">
        <f>SUMIFS(RES_CNXL_SQL_3!$F:$F,RES_CNXL_SQL_3!$A:$A,ES_MATRIX!$A17,RES_CNXL_SQL_3!$E:$E,ES_MATRIX!$F$2)</f>
        <v>0</v>
      </c>
      <c r="G17">
        <f>SUMIFS(RES_CNXL_SQL_3!$F:$F,RES_CNXL_SQL_3!$A:$A,ES_MATRIX!$A17,RES_CNXL_SQL_3!$E:$E,ES_MATRIX!$G$2)</f>
        <v>0</v>
      </c>
      <c r="H17">
        <f>SUMIFS(RES_CNXL_SQL_3!$F:$F,RES_CNXL_SQL_3!$A:$A,ES_MATRIX!$A17,RES_CNXL_SQL_3!$E:$E,ES_MATRIX!$H$2)</f>
        <v>0</v>
      </c>
      <c r="I17">
        <f>SUMIFS(RES_CNXL_SQL_3!$F:$F,RES_CNXL_SQL_3!$A:$A,ES_MATRIX!$A17,RES_CNXL_SQL_3!$E:$E,ES_MATRIX!$I$2)</f>
        <v>0</v>
      </c>
      <c r="J17">
        <f>SUMIFS(RES_CNXL_SQL_3!$F:$F,RES_CNXL_SQL_3!$A:$A,ES_MATRIX!$A17,RES_CNXL_SQL_3!$E:$E,ES_MATRIX!$J$13)</f>
        <v>0</v>
      </c>
      <c r="K17" s="1" t="str">
        <f t="shared" si="2"/>
        <v/>
      </c>
      <c r="L17">
        <f t="shared" ref="L17" si="3">SUM(B17:J17)</f>
        <v>0</v>
      </c>
    </row>
    <row r="18" spans="1:12" x14ac:dyDescent="0.35">
      <c r="A18" t="s">
        <v>84</v>
      </c>
      <c r="B18">
        <f>SUMIFS(RES_CNXL_SQL_3!$F:$F,RES_CNXL_SQL_3!$A:$A,ES_MATRIX!$A18,RES_CNXL_SQL_3!$E:$E,ES_MATRIX!$B$2)</f>
        <v>0</v>
      </c>
      <c r="C18">
        <f>SUMIFS(RES_CNXL_SQL_3!$F:$F,RES_CNXL_SQL_3!$A:$A,ES_MATRIX!$A18,RES_CNXL_SQL_3!$E:$E,ES_MATRIX!$C$2)</f>
        <v>0</v>
      </c>
      <c r="D18">
        <f>SUMIFS(RES_CNXL_SQL_3!$F:$F,RES_CNXL_SQL_3!$A:$A,ES_MATRIX!$A18,RES_CNXL_SQL_3!$E:$E,ES_MATRIX!$D$2)</f>
        <v>0</v>
      </c>
      <c r="E18">
        <f>SUMIFS(RES_CNXL_SQL_3!$F:$F,RES_CNXL_SQL_3!$A:$A,ES_MATRIX!$A18,RES_CNXL_SQL_3!$E:$E,ES_MATRIX!$E$2)</f>
        <v>0</v>
      </c>
      <c r="F18">
        <f>SUMIFS(RES_CNXL_SQL_3!$F:$F,RES_CNXL_SQL_3!$A:$A,ES_MATRIX!$A18,RES_CNXL_SQL_3!$E:$E,ES_MATRIX!$F$2)</f>
        <v>0</v>
      </c>
      <c r="G18">
        <f>SUMIFS(RES_CNXL_SQL_3!$F:$F,RES_CNXL_SQL_3!$A:$A,ES_MATRIX!$A18,RES_CNXL_SQL_3!$E:$E,ES_MATRIX!$G$2)</f>
        <v>0</v>
      </c>
      <c r="H18">
        <f>SUMIFS(RES_CNXL_SQL_3!$F:$F,RES_CNXL_SQL_3!$A:$A,ES_MATRIX!$A18,RES_CNXL_SQL_3!$E:$E,ES_MATRIX!$H$2)</f>
        <v>0</v>
      </c>
      <c r="I18">
        <f>SUMIFS(RES_CNXL_SQL_3!$F:$F,RES_CNXL_SQL_3!$A:$A,ES_MATRIX!$A18,RES_CNXL_SQL_3!$E:$E,ES_MATRIX!$I$2)</f>
        <v>0</v>
      </c>
      <c r="J18">
        <f>SUMIFS(RES_CNXL_SQL_3!$F:$F,RES_CNXL_SQL_3!$A:$A,ES_MATRIX!$A18,RES_CNXL_SQL_3!$E:$E,ES_MATRIX!$J$13)</f>
        <v>0</v>
      </c>
      <c r="K18" s="1" t="str">
        <f t="shared" si="2"/>
        <v/>
      </c>
      <c r="L18">
        <f>SUM(B18:J18)</f>
        <v>0</v>
      </c>
    </row>
    <row r="19" spans="1:12" x14ac:dyDescent="0.35">
      <c r="A19" t="s">
        <v>86</v>
      </c>
      <c r="B19">
        <f>SUMIFS(RES_CNXL_SQL_3!$F:$F,RES_CNXL_SQL_3!$A:$A,ES_MATRIX!$A19,RES_CNXL_SQL_3!$E:$E,ES_MATRIX!$B$2)</f>
        <v>0</v>
      </c>
      <c r="C19">
        <f>SUMIFS(RES_CNXL_SQL_3!$F:$F,RES_CNXL_SQL_3!$A:$A,ES_MATRIX!$A19,RES_CNXL_SQL_3!$E:$E,ES_MATRIX!$C$2)</f>
        <v>0</v>
      </c>
      <c r="D19">
        <f>SUMIFS(RES_CNXL_SQL_3!$F:$F,RES_CNXL_SQL_3!$A:$A,ES_MATRIX!$A19,RES_CNXL_SQL_3!$E:$E,ES_MATRIX!$D$2)</f>
        <v>0</v>
      </c>
      <c r="E19">
        <f>SUMIFS(RES_CNXL_SQL_3!$F:$F,RES_CNXL_SQL_3!$A:$A,ES_MATRIX!$A19,RES_CNXL_SQL_3!$E:$E,ES_MATRIX!$E$2)</f>
        <v>0</v>
      </c>
      <c r="F19">
        <f>SUMIFS(RES_CNXL_SQL_3!$F:$F,RES_CNXL_SQL_3!$A:$A,ES_MATRIX!$A19,RES_CNXL_SQL_3!$E:$E,ES_MATRIX!$F$2)</f>
        <v>0</v>
      </c>
      <c r="G19">
        <f>SUMIFS(RES_CNXL_SQL_3!$F:$F,RES_CNXL_SQL_3!$A:$A,ES_MATRIX!$A19,RES_CNXL_SQL_3!$E:$E,ES_MATRIX!$G$2)</f>
        <v>0</v>
      </c>
      <c r="H19">
        <f>SUMIFS(RES_CNXL_SQL_3!$F:$F,RES_CNXL_SQL_3!$A:$A,ES_MATRIX!$A19,RES_CNXL_SQL_3!$E:$E,ES_MATRIX!$H$2)</f>
        <v>0</v>
      </c>
      <c r="I19">
        <f>SUMIFS(RES_CNXL_SQL_3!$F:$F,RES_CNXL_SQL_3!$A:$A,ES_MATRIX!$A19,RES_CNXL_SQL_3!$E:$E,ES_MATRIX!$I$2)</f>
        <v>0</v>
      </c>
      <c r="J19">
        <f>SUMIFS(RES_CNXL_SQL_3!$F:$F,RES_CNXL_SQL_3!$A:$A,ES_MATRIX!$A19,RES_CNXL_SQL_3!$E:$E,ES_MATRIX!$J$13)</f>
        <v>0</v>
      </c>
      <c r="K19" s="1" t="str">
        <f t="shared" si="2"/>
        <v/>
      </c>
      <c r="L19">
        <f>SUM(B19:J19)</f>
        <v>0</v>
      </c>
    </row>
    <row r="20" spans="1:12" x14ac:dyDescent="0.35">
      <c r="A20" t="s">
        <v>88</v>
      </c>
      <c r="B20">
        <f>SUMIFS(RES_CNXL_SQL_3!$F:$F,RES_CNXL_SQL_3!$A:$A,ES_MATRIX!$A20,RES_CNXL_SQL_3!$E:$E,ES_MATRIX!$B$2)</f>
        <v>0</v>
      </c>
      <c r="C20">
        <f>SUMIFS(RES_CNXL_SQL_3!$F:$F,RES_CNXL_SQL_3!$A:$A,ES_MATRIX!$A20,RES_CNXL_SQL_3!$E:$E,ES_MATRIX!$C$2)</f>
        <v>0</v>
      </c>
      <c r="D20">
        <f>SUMIFS(RES_CNXL_SQL_3!$F:$F,RES_CNXL_SQL_3!$A:$A,ES_MATRIX!$A20,RES_CNXL_SQL_3!$E:$E,ES_MATRIX!$D$2)</f>
        <v>0</v>
      </c>
      <c r="E20">
        <f>SUMIFS(RES_CNXL_SQL_3!$F:$F,RES_CNXL_SQL_3!$A:$A,ES_MATRIX!$A20,RES_CNXL_SQL_3!$E:$E,ES_MATRIX!$E$2)</f>
        <v>0</v>
      </c>
      <c r="F20">
        <f>SUMIFS(RES_CNXL_SQL_3!$F:$F,RES_CNXL_SQL_3!$A:$A,ES_MATRIX!$A20,RES_CNXL_SQL_3!$E:$E,ES_MATRIX!$F$2)</f>
        <v>0</v>
      </c>
      <c r="G20">
        <f>SUMIFS(RES_CNXL_SQL_3!$F:$F,RES_CNXL_SQL_3!$A:$A,ES_MATRIX!$A20,RES_CNXL_SQL_3!$E:$E,ES_MATRIX!$G$2)</f>
        <v>0</v>
      </c>
      <c r="H20">
        <f>SUMIFS(RES_CNXL_SQL_3!$F:$F,RES_CNXL_SQL_3!$A:$A,ES_MATRIX!$A20,RES_CNXL_SQL_3!$E:$E,ES_MATRIX!$H$2)</f>
        <v>0</v>
      </c>
      <c r="I20">
        <f>SUMIFS(RES_CNXL_SQL_3!$F:$F,RES_CNXL_SQL_3!$A:$A,ES_MATRIX!$A20,RES_CNXL_SQL_3!$E:$E,ES_MATRIX!$I$2)</f>
        <v>0</v>
      </c>
      <c r="J20">
        <f>SUMIFS(RES_CNXL_SQL_3!$F:$F,RES_CNXL_SQL_3!$A:$A,ES_MATRIX!$A20,RES_CNXL_SQL_3!$E:$E,ES_MATRIX!$J$13)</f>
        <v>0</v>
      </c>
      <c r="K20" s="1" t="str">
        <f t="shared" si="2"/>
        <v/>
      </c>
      <c r="L20">
        <f>SUM(B20:J20)</f>
        <v>0</v>
      </c>
    </row>
    <row r="21" spans="1:12" x14ac:dyDescent="0.35">
      <c r="A21" t="s">
        <v>90</v>
      </c>
      <c r="B21">
        <f>SUMIFS(RES_CNXL_SQL_3!$F:$F,RES_CNXL_SQL_3!$A:$A,ES_MATRIX!$A21,RES_CNXL_SQL_3!$E:$E,ES_MATRIX!$B$2)</f>
        <v>0</v>
      </c>
      <c r="C21">
        <f>SUMIFS(RES_CNXL_SQL_3!$F:$F,RES_CNXL_SQL_3!$A:$A,ES_MATRIX!$A21,RES_CNXL_SQL_3!$E:$E,ES_MATRIX!$C$2)</f>
        <v>0</v>
      </c>
      <c r="D21">
        <f>SUMIFS(RES_CNXL_SQL_3!$F:$F,RES_CNXL_SQL_3!$A:$A,ES_MATRIX!$A21,RES_CNXL_SQL_3!$E:$E,ES_MATRIX!$D$2)</f>
        <v>0</v>
      </c>
      <c r="E21">
        <f>SUMIFS(RES_CNXL_SQL_3!$F:$F,RES_CNXL_SQL_3!$A:$A,ES_MATRIX!$A21,RES_CNXL_SQL_3!$E:$E,ES_MATRIX!$E$2)</f>
        <v>0</v>
      </c>
      <c r="F21">
        <f>SUMIFS(RES_CNXL_SQL_3!$F:$F,RES_CNXL_SQL_3!$A:$A,ES_MATRIX!$A21,RES_CNXL_SQL_3!$E:$E,ES_MATRIX!$F$2)</f>
        <v>0</v>
      </c>
      <c r="G21">
        <f>SUMIFS(RES_CNXL_SQL_3!$F:$F,RES_CNXL_SQL_3!$A:$A,ES_MATRIX!$A21,RES_CNXL_SQL_3!$E:$E,ES_MATRIX!$G$2)</f>
        <v>0</v>
      </c>
      <c r="H21">
        <f>SUMIFS(RES_CNXL_SQL_3!$F:$F,RES_CNXL_SQL_3!$A:$A,ES_MATRIX!$A21,RES_CNXL_SQL_3!$E:$E,ES_MATRIX!$H$2)</f>
        <v>0</v>
      </c>
      <c r="I21">
        <f>SUMIFS(RES_CNXL_SQL_3!$F:$F,RES_CNXL_SQL_3!$A:$A,ES_MATRIX!$A21,RES_CNXL_SQL_3!$E:$E,ES_MATRIX!$I$2)</f>
        <v>0</v>
      </c>
      <c r="J21">
        <f>SUMIFS(RES_CNXL_SQL_3!$F:$F,RES_CNXL_SQL_3!$A:$A,ES_MATRIX!$A21,RES_CNXL_SQL_3!$E:$E,ES_MATRIX!$J$13)</f>
        <v>0</v>
      </c>
      <c r="K21" s="1" t="str">
        <f t="shared" si="2"/>
        <v/>
      </c>
      <c r="L21">
        <f>SUM(B21:J21)</f>
        <v>0</v>
      </c>
    </row>
    <row r="24" spans="1:12" x14ac:dyDescent="0.35">
      <c r="A24" s="308" t="s">
        <v>142</v>
      </c>
      <c r="B24" s="308"/>
      <c r="E24" s="309" t="s">
        <v>157</v>
      </c>
      <c r="F24" s="309"/>
    </row>
    <row r="25" spans="1:12" x14ac:dyDescent="0.35">
      <c r="A25" t="s">
        <v>78</v>
      </c>
      <c r="B25" t="str">
        <f>IF((SUMIFS(CNXL_SQL_2!$F:$F,CNXL_SQL_2!$E:$E,'Pg2'!$T22))=0,"",SUMIFS(CNXL_SQL_2!$F:$F,CNXL_SQL_2!$E:$E,'Pg2'!$T22))</f>
        <v/>
      </c>
      <c r="E25" t="s">
        <v>78</v>
      </c>
      <c r="F25" t="str">
        <f ca="1">IF((SUMIF(RES_CNXL_SQL_3!$F:$F,RES_CNXL_SQL_3!$E:$E,'Pg2'!$T22))=0,"",SUMIF(RES_CNXL_SQL_3!$F:$F,RES_CNXL_SQL_3!$E:$E,'Pg2'!$T22))</f>
        <v/>
      </c>
    </row>
    <row r="26" spans="1:12" x14ac:dyDescent="0.35">
      <c r="A26" t="s">
        <v>82</v>
      </c>
      <c r="B26" t="str">
        <f>IF((SUMIFS(CNXL_SQL_2!$F:$F,CNXL_SQL_2!$E:$E,'Pg2'!$T23))=0,"",SUMIFS(CNXL_SQL_2!$F:$F,CNXL_SQL_2!$E:$E,'Pg2'!$T23))</f>
        <v/>
      </c>
      <c r="E26" t="s">
        <v>82</v>
      </c>
      <c r="F26" t="str">
        <f ca="1">IF((SUMIF(RES_CNXL_SQL_3!$F:$F,RES_CNXL_SQL_3!$E:$E,'Pg2'!$T23))=0,"",SUMIF(RES_CNXL_SQL_3!$F:$F,RES_CNXL_SQL_3!$E:$E,'Pg2'!$T23))</f>
        <v/>
      </c>
    </row>
    <row r="27" spans="1:12" x14ac:dyDescent="0.35">
      <c r="A27" t="s">
        <v>84</v>
      </c>
      <c r="B27" t="str">
        <f>IF((SUMIFS(CNXL_SQL_2!$F:$F,CNXL_SQL_2!$E:$E,'Pg2'!$T24))=0,"",SUMIFS(CNXL_SQL_2!$F:$F,CNXL_SQL_2!$E:$E,'Pg2'!$T24))</f>
        <v/>
      </c>
      <c r="E27" t="s">
        <v>84</v>
      </c>
      <c r="F27" t="str">
        <f ca="1">IF((SUMIF(RES_CNXL_SQL_3!$F:$F,RES_CNXL_SQL_3!$E:$E,'Pg2'!$T24))=0,"",SUMIF(RES_CNXL_SQL_3!$F:$F,RES_CNXL_SQL_3!$E:$E,'Pg2'!$T24))</f>
        <v/>
      </c>
    </row>
    <row r="28" spans="1:12" x14ac:dyDescent="0.35">
      <c r="A28" t="s">
        <v>86</v>
      </c>
      <c r="B28" t="str">
        <f>IF((SUMIFS(CNXL_SQL_2!$F:$F,CNXL_SQL_2!$E:$E,'Pg2'!$T25))=0,"",SUMIFS(CNXL_SQL_2!$F:$F,CNXL_SQL_2!$E:$E,'Pg2'!$T25))</f>
        <v/>
      </c>
      <c r="E28" t="s">
        <v>86</v>
      </c>
      <c r="F28" t="str">
        <f ca="1">IF((SUMIF(RES_CNXL_SQL_3!$F:$F,RES_CNXL_SQL_3!$E:$E,'Pg2'!$T25))=0,"",SUMIF(RES_CNXL_SQL_3!$F:$F,RES_CNXL_SQL_3!$E:$E,'Pg2'!$T25))</f>
        <v/>
      </c>
    </row>
    <row r="29" spans="1:12" x14ac:dyDescent="0.35">
      <c r="A29" t="s">
        <v>88</v>
      </c>
      <c r="B29" t="str">
        <f>IF((SUMIFS(CNXL_SQL_2!$F:$F,CNXL_SQL_2!$E:$E,'Pg2'!$T26))=0,"",SUMIFS(CNXL_SQL_2!$F:$F,CNXL_SQL_2!$E:$E,'Pg2'!$T26))</f>
        <v/>
      </c>
      <c r="E29" t="s">
        <v>88</v>
      </c>
      <c r="F29" t="str">
        <f ca="1">IF((SUMIF(RES_CNXL_SQL_3!$F:$F,RES_CNXL_SQL_3!$E:$E,'Pg2'!$T26))=0,"",SUMIF(RES_CNXL_SQL_3!$F:$F,RES_CNXL_SQL_3!$E:$E,'Pg2'!$T26))</f>
        <v/>
      </c>
    </row>
    <row r="30" spans="1:12" x14ac:dyDescent="0.35">
      <c r="A30" t="s">
        <v>90</v>
      </c>
      <c r="B30" t="str">
        <f>IF((SUMIFS(CNXL_SQL_2!$F:$F,CNXL_SQL_2!$E:$E,'Pg2'!$T27))=0,"",SUMIFS(CNXL_SQL_2!$F:$F,CNXL_SQL_2!$E:$E,'Pg2'!$T27))</f>
        <v/>
      </c>
      <c r="E30" t="s">
        <v>90</v>
      </c>
      <c r="F30" t="str">
        <f ca="1">IF((SUMIF(RES_CNXL_SQL_3!$F:$F,RES_CNXL_SQL_3!$E:$E,'Pg2'!$T27))=0,"",SUMIF(RES_CNXL_SQL_3!$F:$F,RES_CNXL_SQL_3!$E:$E,'Pg2'!$T27))</f>
        <v/>
      </c>
    </row>
  </sheetData>
  <mergeCells count="4">
    <mergeCell ref="A12:O12"/>
    <mergeCell ref="A1:O1"/>
    <mergeCell ref="A24:B24"/>
    <mergeCell ref="E24:F24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theme="4" tint="0.59999389629810485"/>
  </sheetPr>
  <dimension ref="A1:O22"/>
  <sheetViews>
    <sheetView workbookViewId="0">
      <selection activeCell="G5" sqref="G5"/>
    </sheetView>
  </sheetViews>
  <sheetFormatPr defaultRowHeight="14.5" x14ac:dyDescent="0.35"/>
  <cols>
    <col min="5" max="5" width="10.453125" bestFit="1" customWidth="1"/>
    <col min="6" max="6" width="12" bestFit="1" customWidth="1"/>
    <col min="7" max="7" width="12" customWidth="1"/>
  </cols>
  <sheetData>
    <row r="1" spans="1:15" x14ac:dyDescent="0.35">
      <c r="A1" t="s">
        <v>158</v>
      </c>
      <c r="B1" s="53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</row>
    <row r="2" spans="1:15" x14ac:dyDescent="0.35">
      <c r="A2" t="s">
        <v>165</v>
      </c>
      <c r="B2">
        <v>1</v>
      </c>
      <c r="C2" s="125">
        <v>0.64036121099999999</v>
      </c>
      <c r="D2" s="125">
        <v>0.59110518499999998</v>
      </c>
      <c r="E2" s="125">
        <v>0.95381673499999997</v>
      </c>
      <c r="F2" s="125">
        <v>0.88</v>
      </c>
      <c r="G2" s="125">
        <v>0.99810472500000003</v>
      </c>
      <c r="H2" s="55"/>
      <c r="J2" s="49"/>
      <c r="K2" s="117"/>
      <c r="L2" t="s">
        <v>166</v>
      </c>
      <c r="O2" t="s">
        <v>167</v>
      </c>
    </row>
    <row r="3" spans="1:15" x14ac:dyDescent="0.35">
      <c r="A3" t="s">
        <v>165</v>
      </c>
      <c r="B3">
        <v>2</v>
      </c>
      <c r="C3" s="125">
        <v>0.70146715699999995</v>
      </c>
      <c r="D3" s="125">
        <v>0.62912314700000005</v>
      </c>
      <c r="E3" s="125">
        <v>0.96197095399999999</v>
      </c>
      <c r="F3" s="125">
        <v>0.88</v>
      </c>
      <c r="G3" s="125">
        <v>0.99835622199999996</v>
      </c>
      <c r="H3" s="55"/>
      <c r="J3" s="49"/>
      <c r="O3" t="s">
        <v>168</v>
      </c>
    </row>
    <row r="4" spans="1:15" x14ac:dyDescent="0.35">
      <c r="A4" t="s">
        <v>165</v>
      </c>
      <c r="B4">
        <v>3</v>
      </c>
      <c r="C4" s="53">
        <v>0.74388220000000005</v>
      </c>
      <c r="D4" s="53">
        <v>0.67392152599999999</v>
      </c>
      <c r="E4" s="53">
        <v>0.96560512899999995</v>
      </c>
      <c r="F4" s="125">
        <v>0.88</v>
      </c>
      <c r="G4" s="125">
        <v>0.997242356</v>
      </c>
      <c r="H4" s="55"/>
      <c r="J4" s="49"/>
      <c r="O4" t="s">
        <v>169</v>
      </c>
    </row>
    <row r="5" spans="1:15" x14ac:dyDescent="0.35">
      <c r="A5" s="117" t="s">
        <v>170</v>
      </c>
      <c r="B5" s="117">
        <v>4</v>
      </c>
      <c r="C5" s="118">
        <v>0.75549999999999995</v>
      </c>
      <c r="D5" s="118">
        <v>0.65059999999999996</v>
      </c>
      <c r="E5" s="118">
        <v>0.98109999999999997</v>
      </c>
      <c r="F5" s="119">
        <v>0.87039804263999998</v>
      </c>
      <c r="G5" s="119">
        <v>0.99831964887000002</v>
      </c>
      <c r="H5" s="120"/>
      <c r="J5" s="49"/>
      <c r="O5" t="s">
        <v>159</v>
      </c>
    </row>
    <row r="6" spans="1:15" x14ac:dyDescent="0.35">
      <c r="A6" s="117" t="s">
        <v>170</v>
      </c>
      <c r="B6" s="117">
        <v>5</v>
      </c>
      <c r="C6" s="118">
        <v>0.73650000000000004</v>
      </c>
      <c r="D6" s="118">
        <v>0.65039999999999998</v>
      </c>
      <c r="E6" s="118">
        <v>0.98229999999999995</v>
      </c>
      <c r="F6" s="119">
        <v>0.8605451838899999</v>
      </c>
      <c r="G6" s="119">
        <v>0.99843060721999999</v>
      </c>
      <c r="H6" s="120"/>
      <c r="J6" s="49"/>
    </row>
    <row r="7" spans="1:15" x14ac:dyDescent="0.35">
      <c r="A7" s="117" t="s">
        <v>170</v>
      </c>
      <c r="B7" s="117">
        <v>6</v>
      </c>
      <c r="C7" s="118">
        <v>0.71020000000000005</v>
      </c>
      <c r="D7" s="118">
        <v>0.60980000000000001</v>
      </c>
      <c r="E7" s="118">
        <v>0.97809999999999997</v>
      </c>
      <c r="F7" s="119">
        <v>0.85896548628999991</v>
      </c>
      <c r="G7" s="119">
        <v>0.99805699895</v>
      </c>
      <c r="H7" s="120"/>
      <c r="J7" s="49"/>
    </row>
    <row r="8" spans="1:15" x14ac:dyDescent="0.35">
      <c r="A8" s="117" t="s">
        <v>170</v>
      </c>
      <c r="B8" s="117">
        <v>7</v>
      </c>
      <c r="C8" s="118">
        <v>0.69979999999999998</v>
      </c>
      <c r="D8" s="118">
        <v>0.62160000000000004</v>
      </c>
      <c r="E8" s="118">
        <v>0.97019999999999995</v>
      </c>
      <c r="F8" s="119">
        <v>0.85824183129000009</v>
      </c>
      <c r="G8" s="119">
        <v>0.99735776297000001</v>
      </c>
      <c r="H8" s="120"/>
      <c r="J8" s="49"/>
      <c r="O8" t="s">
        <v>171</v>
      </c>
    </row>
    <row r="9" spans="1:15" x14ac:dyDescent="0.35">
      <c r="A9" s="117" t="s">
        <v>170</v>
      </c>
      <c r="B9" s="117">
        <v>8</v>
      </c>
      <c r="C9" s="118">
        <v>0.67679999999999996</v>
      </c>
      <c r="D9" s="118">
        <v>0.60370000000000001</v>
      </c>
      <c r="E9" s="118">
        <v>0.97489999999999999</v>
      </c>
      <c r="F9" s="119">
        <v>0.86700285557000001</v>
      </c>
      <c r="G9" s="119">
        <v>0.99777271282000002</v>
      </c>
      <c r="H9" s="120"/>
      <c r="J9" s="49"/>
      <c r="O9" t="s">
        <v>172</v>
      </c>
    </row>
    <row r="10" spans="1:15" x14ac:dyDescent="0.35">
      <c r="A10" s="117" t="s">
        <v>170</v>
      </c>
      <c r="B10" s="117">
        <v>9</v>
      </c>
      <c r="C10" s="118">
        <v>0.7631</v>
      </c>
      <c r="D10" s="118">
        <v>0.66120000000000001</v>
      </c>
      <c r="E10" s="118">
        <v>0.98619999999999997</v>
      </c>
      <c r="F10" s="119">
        <v>0.91544995185</v>
      </c>
      <c r="G10" s="121">
        <v>0.99877524597</v>
      </c>
      <c r="H10" s="120"/>
      <c r="J10" s="49"/>
      <c r="O10" t="s">
        <v>173</v>
      </c>
    </row>
    <row r="11" spans="1:15" x14ac:dyDescent="0.35">
      <c r="A11" s="117" t="s">
        <v>170</v>
      </c>
      <c r="B11" s="117">
        <v>10</v>
      </c>
      <c r="C11" s="118">
        <v>0.77349999999999997</v>
      </c>
      <c r="D11" s="118">
        <v>0.65939999999999999</v>
      </c>
      <c r="E11" s="118">
        <v>0.98870000000000002</v>
      </c>
      <c r="F11" s="119">
        <v>0.9223559296099999</v>
      </c>
      <c r="G11" s="119">
        <v>0.99899838599000002</v>
      </c>
      <c r="H11" s="120"/>
      <c r="J11" s="49"/>
      <c r="O11" t="s">
        <v>174</v>
      </c>
    </row>
    <row r="12" spans="1:15" x14ac:dyDescent="0.35">
      <c r="A12" s="117" t="s">
        <v>170</v>
      </c>
      <c r="B12" s="117">
        <v>11</v>
      </c>
      <c r="C12" s="118">
        <v>0.76939999999999997</v>
      </c>
      <c r="D12" s="118">
        <v>0.65620000000000001</v>
      </c>
      <c r="E12" s="118">
        <v>0.99209999999999998</v>
      </c>
      <c r="F12" s="119">
        <v>0.87021021980000002</v>
      </c>
      <c r="G12" s="119">
        <v>0.99929796030999996</v>
      </c>
      <c r="H12" s="120"/>
      <c r="J12" s="49"/>
      <c r="O12" t="s">
        <v>175</v>
      </c>
    </row>
    <row r="13" spans="1:15" x14ac:dyDescent="0.35">
      <c r="A13" s="117" t="s">
        <v>170</v>
      </c>
      <c r="B13" s="117">
        <v>12</v>
      </c>
      <c r="C13" s="118">
        <v>0.64219999999999999</v>
      </c>
      <c r="D13" s="118">
        <v>0.5766</v>
      </c>
      <c r="E13" s="118">
        <v>0.97009999999999996</v>
      </c>
      <c r="F13" s="119">
        <v>0.7736160581599999</v>
      </c>
      <c r="G13" s="119">
        <v>0.99734315588</v>
      </c>
      <c r="H13" s="120"/>
      <c r="J13" s="49"/>
    </row>
    <row r="14" spans="1:15" x14ac:dyDescent="0.35">
      <c r="C14" s="54"/>
      <c r="D14" s="54"/>
      <c r="E14" s="54"/>
      <c r="F14" s="54"/>
      <c r="G14" s="54"/>
      <c r="O14" t="s">
        <v>176</v>
      </c>
    </row>
    <row r="15" spans="1:15" x14ac:dyDescent="0.35">
      <c r="C15" s="49"/>
      <c r="D15" s="49"/>
      <c r="E15" s="122"/>
      <c r="F15" s="49"/>
      <c r="G15" s="122"/>
    </row>
    <row r="16" spans="1:15" x14ac:dyDescent="0.35">
      <c r="B16" s="53"/>
      <c r="C16" s="49"/>
      <c r="D16" s="49"/>
      <c r="E16" s="122"/>
      <c r="F16" s="49"/>
      <c r="G16" s="122"/>
      <c r="O16" t="s">
        <v>177</v>
      </c>
    </row>
    <row r="17" spans="2:15" x14ac:dyDescent="0.35">
      <c r="B17" s="53"/>
      <c r="O17" t="s">
        <v>177</v>
      </c>
    </row>
    <row r="18" spans="2:15" x14ac:dyDescent="0.35">
      <c r="B18" s="53"/>
      <c r="O18" t="s">
        <v>178</v>
      </c>
    </row>
    <row r="19" spans="2:15" x14ac:dyDescent="0.35">
      <c r="O19" t="s">
        <v>179</v>
      </c>
    </row>
    <row r="20" spans="2:15" x14ac:dyDescent="0.35">
      <c r="O20" t="s">
        <v>180</v>
      </c>
    </row>
    <row r="22" spans="2:15" x14ac:dyDescent="0.35">
      <c r="O22" t="s">
        <v>181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AF2"/>
  <sheetViews>
    <sheetView zoomScale="89" zoomScaleNormal="89" workbookViewId="0">
      <selection activeCell="B2" sqref="B2:AF2"/>
    </sheetView>
  </sheetViews>
  <sheetFormatPr defaultRowHeight="14.5" x14ac:dyDescent="0.35"/>
  <cols>
    <col min="1" max="1" width="12.7265625" bestFit="1" customWidth="1"/>
    <col min="2" max="2" width="15.26953125" bestFit="1" customWidth="1"/>
    <col min="3" max="3" width="10" bestFit="1" customWidth="1"/>
    <col min="4" max="4" width="15.453125" bestFit="1" customWidth="1"/>
    <col min="5" max="5" width="21.1796875" customWidth="1"/>
    <col min="6" max="6" width="20.26953125" customWidth="1"/>
    <col min="8" max="8" width="7.81640625" bestFit="1" customWidth="1"/>
    <col min="9" max="9" width="20" bestFit="1" customWidth="1"/>
    <col min="10" max="10" width="20.7265625" bestFit="1" customWidth="1"/>
    <col min="12" max="12" width="20" bestFit="1" customWidth="1"/>
    <col min="13" max="13" width="20.7265625" bestFit="1" customWidth="1"/>
    <col min="14" max="14" width="25.81640625" customWidth="1"/>
    <col min="15" max="15" width="24.453125" customWidth="1"/>
    <col min="21" max="21" width="26.54296875" bestFit="1" customWidth="1"/>
    <col min="22" max="22" width="27.26953125" bestFit="1" customWidth="1"/>
    <col min="23" max="23" width="27" customWidth="1"/>
    <col min="24" max="24" width="24.1796875" bestFit="1" customWidth="1"/>
    <col min="28" max="28" width="22.54296875" customWidth="1"/>
    <col min="30" max="30" width="14.453125" customWidth="1"/>
    <col min="31" max="31" width="15.81640625" customWidth="1"/>
    <col min="32" max="32" width="14.81640625" customWidth="1"/>
  </cols>
  <sheetData>
    <row r="1" spans="1:32" x14ac:dyDescent="0.35">
      <c r="A1" t="s">
        <v>182</v>
      </c>
      <c r="B1" t="s">
        <v>183</v>
      </c>
      <c r="C1" t="s">
        <v>184</v>
      </c>
      <c r="D1" t="s">
        <v>185</v>
      </c>
      <c r="E1" t="s">
        <v>186</v>
      </c>
      <c r="F1" t="s">
        <v>187</v>
      </c>
      <c r="G1" t="s">
        <v>188</v>
      </c>
      <c r="H1" t="s">
        <v>189</v>
      </c>
      <c r="I1" t="s">
        <v>190</v>
      </c>
      <c r="J1" t="s">
        <v>190</v>
      </c>
      <c r="K1" t="s">
        <v>191</v>
      </c>
      <c r="L1" t="s">
        <v>192</v>
      </c>
      <c r="M1" t="s">
        <v>193</v>
      </c>
      <c r="N1" t="s">
        <v>194</v>
      </c>
      <c r="O1" t="s">
        <v>195</v>
      </c>
      <c r="P1" t="s">
        <v>196</v>
      </c>
      <c r="Q1" t="s">
        <v>197</v>
      </c>
      <c r="R1" t="s">
        <v>198</v>
      </c>
      <c r="S1" t="s">
        <v>198</v>
      </c>
      <c r="T1" t="s">
        <v>199</v>
      </c>
      <c r="U1" t="s">
        <v>200</v>
      </c>
      <c r="V1" t="s">
        <v>201</v>
      </c>
      <c r="W1" t="s">
        <v>202</v>
      </c>
      <c r="X1" t="s">
        <v>203</v>
      </c>
      <c r="Y1" t="s">
        <v>204</v>
      </c>
      <c r="Z1" t="s">
        <v>205</v>
      </c>
      <c r="AA1" t="s">
        <v>206</v>
      </c>
      <c r="AB1" t="s">
        <v>206</v>
      </c>
      <c r="AC1" t="s">
        <v>207</v>
      </c>
      <c r="AD1" t="s">
        <v>208</v>
      </c>
      <c r="AE1" t="s">
        <v>209</v>
      </c>
      <c r="AF1" t="s">
        <v>210</v>
      </c>
    </row>
    <row r="2" spans="1:32" x14ac:dyDescent="0.35">
      <c r="A2" t="s">
        <v>112</v>
      </c>
      <c r="B2">
        <v>2025</v>
      </c>
      <c r="C2">
        <v>11</v>
      </c>
      <c r="D2" t="s">
        <v>170</v>
      </c>
      <c r="E2">
        <v>9835</v>
      </c>
      <c r="F2">
        <v>93</v>
      </c>
      <c r="G2">
        <v>7286</v>
      </c>
      <c r="H2">
        <v>7555</v>
      </c>
      <c r="I2">
        <v>6535</v>
      </c>
      <c r="J2">
        <v>7983</v>
      </c>
      <c r="K2">
        <v>1599</v>
      </c>
      <c r="L2">
        <v>1411</v>
      </c>
      <c r="M2">
        <v>1</v>
      </c>
      <c r="N2">
        <v>1973</v>
      </c>
      <c r="O2">
        <v>13</v>
      </c>
      <c r="P2">
        <v>1492</v>
      </c>
      <c r="Q2">
        <v>1539</v>
      </c>
      <c r="R2">
        <v>1321</v>
      </c>
      <c r="S2">
        <v>1593</v>
      </c>
      <c r="T2">
        <v>312</v>
      </c>
      <c r="U2">
        <v>268</v>
      </c>
      <c r="V2">
        <v>0</v>
      </c>
      <c r="W2">
        <v>1902</v>
      </c>
      <c r="X2">
        <v>1896</v>
      </c>
      <c r="Y2">
        <v>1440</v>
      </c>
      <c r="Z2">
        <v>1487</v>
      </c>
      <c r="AA2">
        <v>1300</v>
      </c>
      <c r="AB2">
        <v>1300</v>
      </c>
      <c r="AC2">
        <v>9835</v>
      </c>
      <c r="AD2">
        <v>9832</v>
      </c>
      <c r="AE2">
        <v>1973</v>
      </c>
      <c r="AF2">
        <v>1971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3"/>
  <dimension ref="A1:V10"/>
  <sheetViews>
    <sheetView workbookViewId="0">
      <selection activeCell="C4" sqref="C4"/>
    </sheetView>
  </sheetViews>
  <sheetFormatPr defaultRowHeight="14.5" x14ac:dyDescent="0.35"/>
  <sheetData>
    <row r="1" spans="1:22" x14ac:dyDescent="0.35">
      <c r="A1" t="s">
        <v>182</v>
      </c>
      <c r="B1" t="s">
        <v>183</v>
      </c>
      <c r="C1" t="s">
        <v>184</v>
      </c>
      <c r="D1" t="s">
        <v>185</v>
      </c>
      <c r="E1" t="s">
        <v>186</v>
      </c>
      <c r="F1" t="s">
        <v>187</v>
      </c>
      <c r="G1" t="s">
        <v>188</v>
      </c>
      <c r="H1" t="s">
        <v>189</v>
      </c>
      <c r="I1" t="s">
        <v>190</v>
      </c>
      <c r="J1" t="s">
        <v>211</v>
      </c>
      <c r="K1" t="s">
        <v>191</v>
      </c>
      <c r="L1" t="s">
        <v>192</v>
      </c>
      <c r="M1" t="s">
        <v>193</v>
      </c>
    </row>
    <row r="2" spans="1:22" x14ac:dyDescent="0.35">
      <c r="A2" s="3" t="s">
        <v>112</v>
      </c>
      <c r="B2" s="3">
        <v>2025</v>
      </c>
      <c r="C2">
        <v>11</v>
      </c>
      <c r="D2" s="3" t="s">
        <v>170</v>
      </c>
      <c r="E2" s="3">
        <v>13910</v>
      </c>
      <c r="F2" s="3">
        <v>200</v>
      </c>
      <c r="G2" s="3">
        <v>9991</v>
      </c>
      <c r="H2" s="3">
        <v>10386</v>
      </c>
      <c r="I2" s="3">
        <v>8868</v>
      </c>
      <c r="J2" s="3">
        <v>10939</v>
      </c>
      <c r="K2" s="3">
        <v>1599</v>
      </c>
      <c r="L2" s="3">
        <v>1411</v>
      </c>
      <c r="M2" s="3">
        <v>1</v>
      </c>
      <c r="N2" s="3"/>
      <c r="O2" s="3"/>
      <c r="P2" s="3"/>
      <c r="Q2" s="3"/>
      <c r="R2" s="3"/>
      <c r="S2" s="3"/>
      <c r="T2" s="3"/>
      <c r="U2" s="3"/>
      <c r="V2" s="3"/>
    </row>
    <row r="3" spans="1:22" x14ac:dyDescent="0.35">
      <c r="M3" s="3"/>
      <c r="N3" s="3"/>
      <c r="O3" s="3"/>
      <c r="P3" s="3"/>
      <c r="Q3" s="3"/>
      <c r="R3" s="3"/>
      <c r="S3" s="3"/>
      <c r="T3" s="3"/>
      <c r="U3" s="3"/>
      <c r="V3" s="3"/>
    </row>
    <row r="5" spans="1:22" x14ac:dyDescent="0.35">
      <c r="M5" s="3"/>
      <c r="N5" s="3"/>
      <c r="O5" s="3"/>
      <c r="P5" s="3"/>
      <c r="Q5" s="3"/>
      <c r="R5" s="3"/>
      <c r="S5" s="3"/>
      <c r="T5" s="3"/>
      <c r="U5" s="3"/>
      <c r="V5" s="3"/>
    </row>
    <row r="7" spans="1:22" x14ac:dyDescent="0.35">
      <c r="M7" s="3"/>
      <c r="N7" s="3"/>
      <c r="O7" s="3"/>
      <c r="P7" s="3"/>
      <c r="Q7" s="3"/>
      <c r="R7" s="3"/>
      <c r="S7" s="3"/>
      <c r="T7" s="3"/>
      <c r="U7" s="3"/>
      <c r="V7" s="3"/>
    </row>
    <row r="8" spans="1:22" x14ac:dyDescent="0.35">
      <c r="M8" s="3"/>
      <c r="N8" s="3"/>
      <c r="O8" s="3"/>
      <c r="P8" s="3"/>
      <c r="Q8" s="3"/>
      <c r="R8" s="3"/>
      <c r="S8" s="3"/>
      <c r="T8" s="3"/>
      <c r="U8" s="3"/>
      <c r="V8" s="3"/>
    </row>
    <row r="10" spans="1:22" x14ac:dyDescent="0.35">
      <c r="M10" s="3"/>
      <c r="N10" s="3"/>
      <c r="O10" s="3"/>
      <c r="P10" s="3"/>
      <c r="Q10" s="3"/>
      <c r="R10" s="3"/>
      <c r="S10" s="3"/>
      <c r="T10" s="3"/>
      <c r="U10" s="3"/>
      <c r="V10" s="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4"/>
  <dimension ref="A1:W10"/>
  <sheetViews>
    <sheetView workbookViewId="0">
      <selection sqref="A1:W10"/>
    </sheetView>
  </sheetViews>
  <sheetFormatPr defaultRowHeight="14.5" x14ac:dyDescent="0.35"/>
  <sheetData>
    <row r="1" spans="1:23" x14ac:dyDescent="0.35">
      <c r="A1" t="s">
        <v>182</v>
      </c>
      <c r="B1" t="s">
        <v>183</v>
      </c>
      <c r="C1" t="s">
        <v>184</v>
      </c>
      <c r="D1" t="s">
        <v>185</v>
      </c>
      <c r="E1" t="s">
        <v>186</v>
      </c>
      <c r="F1" t="s">
        <v>212</v>
      </c>
      <c r="G1" t="s">
        <v>188</v>
      </c>
      <c r="H1" t="s">
        <v>189</v>
      </c>
      <c r="I1" t="s">
        <v>190</v>
      </c>
      <c r="J1" t="s">
        <v>211</v>
      </c>
      <c r="K1" t="s">
        <v>191</v>
      </c>
      <c r="L1" t="s">
        <v>192</v>
      </c>
      <c r="M1" t="s">
        <v>193</v>
      </c>
    </row>
    <row r="2" spans="1:23" x14ac:dyDescent="0.35">
      <c r="A2" t="s">
        <v>112</v>
      </c>
      <c r="B2" s="3">
        <v>2019</v>
      </c>
      <c r="C2">
        <v>11</v>
      </c>
      <c r="D2" t="s">
        <v>170</v>
      </c>
      <c r="E2" s="3">
        <v>82782</v>
      </c>
      <c r="F2" s="3">
        <v>1789</v>
      </c>
      <c r="G2" s="3">
        <v>60156</v>
      </c>
      <c r="H2" s="3">
        <v>60557</v>
      </c>
      <c r="I2" s="3">
        <v>55299</v>
      </c>
      <c r="J2" s="3">
        <v>65688</v>
      </c>
      <c r="K2" s="3">
        <v>13712</v>
      </c>
      <c r="L2" s="3">
        <v>11767</v>
      </c>
      <c r="M2">
        <v>173</v>
      </c>
      <c r="N2" s="3"/>
      <c r="O2" s="3"/>
      <c r="P2" s="3"/>
      <c r="Q2" s="3"/>
      <c r="R2" s="3"/>
      <c r="S2" s="3"/>
      <c r="T2" s="3"/>
      <c r="U2" s="3"/>
      <c r="V2" s="3"/>
      <c r="W2" s="3"/>
    </row>
    <row r="3" spans="1:23" x14ac:dyDescent="0.35">
      <c r="N3" s="3"/>
      <c r="O3" s="3"/>
      <c r="P3" s="3"/>
      <c r="Q3" s="3"/>
      <c r="R3" s="3"/>
      <c r="S3" s="3"/>
      <c r="T3" s="3"/>
      <c r="U3" s="3"/>
      <c r="V3" s="3"/>
      <c r="W3" s="3"/>
    </row>
    <row r="5" spans="1:23" x14ac:dyDescent="0.35">
      <c r="N5" s="3"/>
      <c r="O5" s="3"/>
      <c r="P5" s="3"/>
      <c r="Q5" s="3"/>
      <c r="R5" s="3"/>
      <c r="S5" s="3"/>
      <c r="T5" s="3"/>
      <c r="U5" s="3"/>
      <c r="V5" s="3"/>
      <c r="W5" s="3"/>
    </row>
    <row r="7" spans="1:23" x14ac:dyDescent="0.35">
      <c r="N7" s="3"/>
      <c r="O7" s="3"/>
      <c r="P7" s="3"/>
      <c r="Q7" s="3"/>
      <c r="R7" s="3"/>
      <c r="S7" s="3"/>
      <c r="T7" s="3"/>
      <c r="U7" s="3"/>
      <c r="V7" s="3"/>
      <c r="W7" s="3"/>
    </row>
    <row r="8" spans="1:23" x14ac:dyDescent="0.35">
      <c r="N8" s="3"/>
      <c r="O8" s="3"/>
      <c r="P8" s="3"/>
      <c r="Q8" s="3"/>
      <c r="R8" s="3"/>
      <c r="S8" s="3"/>
      <c r="T8" s="3"/>
      <c r="U8" s="3"/>
      <c r="V8" s="3"/>
      <c r="W8" s="3"/>
    </row>
    <row r="10" spans="1:23" x14ac:dyDescent="0.35">
      <c r="N10" s="3"/>
      <c r="O10" s="3"/>
      <c r="P10" s="3"/>
      <c r="Q10" s="3"/>
      <c r="R10" s="3"/>
      <c r="S10" s="3"/>
      <c r="T10" s="3"/>
      <c r="U10" s="3"/>
      <c r="V10" s="3"/>
      <c r="W10" s="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T8"/>
  <sheetViews>
    <sheetView workbookViewId="0">
      <selection activeCell="Q2" sqref="Q2"/>
    </sheetView>
  </sheetViews>
  <sheetFormatPr defaultRowHeight="14.5" x14ac:dyDescent="0.35"/>
  <cols>
    <col min="2" max="2" width="8.7265625" bestFit="1" customWidth="1"/>
    <col min="3" max="3" width="12.453125" bestFit="1" customWidth="1"/>
    <col min="4" max="4" width="9.26953125" bestFit="1" customWidth="1"/>
    <col min="5" max="5" width="15.453125" bestFit="1" customWidth="1"/>
    <col min="6" max="6" width="10.26953125" bestFit="1" customWidth="1"/>
    <col min="7" max="7" width="16.1796875" bestFit="1" customWidth="1"/>
    <col min="8" max="8" width="10.26953125" bestFit="1" customWidth="1"/>
    <col min="9" max="9" width="20" bestFit="1" customWidth="1"/>
    <col min="10" max="10" width="14.81640625" bestFit="1" customWidth="1"/>
    <col min="11" max="11" width="20.7265625" bestFit="1" customWidth="1"/>
    <col min="12" max="12" width="14.7265625" bestFit="1" customWidth="1"/>
    <col min="13" max="13" width="26.54296875" bestFit="1" customWidth="1"/>
    <col min="14" max="14" width="21.453125" bestFit="1" customWidth="1"/>
    <col min="15" max="15" width="27.26953125" bestFit="1" customWidth="1"/>
    <col min="16" max="16" width="13.1796875" customWidth="1"/>
    <col min="17" max="17" width="17" customWidth="1"/>
    <col min="19" max="19" width="16.7265625" customWidth="1"/>
  </cols>
  <sheetData>
    <row r="1" spans="1:20" ht="15" thickBot="1" x14ac:dyDescent="0.4">
      <c r="A1" s="178" t="s">
        <v>182</v>
      </c>
      <c r="B1" s="178" t="s">
        <v>213</v>
      </c>
      <c r="C1" s="178" t="s">
        <v>184</v>
      </c>
      <c r="D1" s="178" t="s">
        <v>185</v>
      </c>
      <c r="E1" s="178" t="s">
        <v>214</v>
      </c>
      <c r="F1" s="178" t="s">
        <v>215</v>
      </c>
      <c r="G1" s="178" t="s">
        <v>216</v>
      </c>
      <c r="H1" s="178" t="s">
        <v>217</v>
      </c>
      <c r="I1" s="178" t="s">
        <v>218</v>
      </c>
      <c r="J1" s="178" t="s">
        <v>219</v>
      </c>
      <c r="K1" s="178" t="s">
        <v>220</v>
      </c>
      <c r="L1" s="178" t="s">
        <v>221</v>
      </c>
      <c r="M1" s="178" t="s">
        <v>222</v>
      </c>
      <c r="N1" s="178" t="s">
        <v>223</v>
      </c>
      <c r="O1" s="178" t="s">
        <v>224</v>
      </c>
      <c r="P1" s="178" t="s">
        <v>225</v>
      </c>
      <c r="Q1" s="178" t="s">
        <v>226</v>
      </c>
      <c r="R1" s="178" t="s">
        <v>227</v>
      </c>
      <c r="S1" s="178" t="s">
        <v>228</v>
      </c>
    </row>
    <row r="2" spans="1:20" ht="15" thickBot="1" x14ac:dyDescent="0.4">
      <c r="A2" s="183" t="s">
        <v>113</v>
      </c>
      <c r="B2" s="183">
        <v>2025</v>
      </c>
      <c r="C2" s="184">
        <v>11</v>
      </c>
      <c r="D2" s="183" t="s">
        <v>170</v>
      </c>
      <c r="E2" s="183">
        <v>14166</v>
      </c>
      <c r="F2" s="183">
        <v>10811</v>
      </c>
      <c r="G2" s="183">
        <v>14074</v>
      </c>
      <c r="H2" s="183">
        <v>10152</v>
      </c>
      <c r="I2" s="183">
        <v>11841</v>
      </c>
      <c r="J2" s="183">
        <v>2827</v>
      </c>
      <c r="K2" s="183">
        <v>2231</v>
      </c>
      <c r="L2" s="183">
        <v>2790</v>
      </c>
      <c r="M2" s="183">
        <v>2119</v>
      </c>
      <c r="N2" s="183">
        <v>2410</v>
      </c>
      <c r="O2" s="183">
        <v>2759</v>
      </c>
      <c r="P2" s="183">
        <v>2042</v>
      </c>
      <c r="Q2" s="183">
        <v>2713</v>
      </c>
      <c r="R2" s="183">
        <v>1954</v>
      </c>
      <c r="S2" s="183">
        <v>2183</v>
      </c>
    </row>
    <row r="3" spans="1:20" ht="15" thickBot="1" x14ac:dyDescent="0.4">
      <c r="A3" s="185" t="s">
        <v>114</v>
      </c>
      <c r="B3" s="185">
        <v>2025</v>
      </c>
      <c r="C3" s="186">
        <v>11</v>
      </c>
      <c r="D3" s="185" t="s">
        <v>170</v>
      </c>
      <c r="E3" s="185">
        <v>8120</v>
      </c>
      <c r="F3" s="185">
        <v>6378</v>
      </c>
      <c r="G3" s="185">
        <v>8113</v>
      </c>
      <c r="H3" s="185">
        <v>6013</v>
      </c>
      <c r="I3" s="185">
        <v>6873</v>
      </c>
      <c r="J3" s="185">
        <v>1699</v>
      </c>
      <c r="K3" s="185">
        <v>1372</v>
      </c>
      <c r="L3" s="185">
        <v>1698</v>
      </c>
      <c r="M3" s="185">
        <v>1303</v>
      </c>
      <c r="N3" s="185">
        <v>1491</v>
      </c>
      <c r="O3" s="185">
        <v>1690</v>
      </c>
      <c r="P3" s="185">
        <v>1247</v>
      </c>
      <c r="Q3" s="185">
        <v>1687</v>
      </c>
      <c r="R3" s="185">
        <v>1163</v>
      </c>
      <c r="S3" s="185">
        <v>1293</v>
      </c>
    </row>
    <row r="6" spans="1:20" x14ac:dyDescent="0.35">
      <c r="T6" s="177"/>
    </row>
    <row r="7" spans="1:20" ht="15" thickBot="1" x14ac:dyDescent="0.4">
      <c r="T7" s="179"/>
    </row>
    <row r="8" spans="1:20" ht="15" thickBot="1" x14ac:dyDescent="0.4">
      <c r="A8" s="180"/>
      <c r="B8" s="181"/>
      <c r="C8" s="181"/>
      <c r="D8" s="182"/>
      <c r="E8" s="181"/>
      <c r="F8" s="181"/>
      <c r="G8" s="181"/>
      <c r="H8" s="181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7"/>
  <dimension ref="A1:F22"/>
  <sheetViews>
    <sheetView workbookViewId="0">
      <selection activeCell="E5" sqref="E5"/>
    </sheetView>
  </sheetViews>
  <sheetFormatPr defaultRowHeight="14.5" x14ac:dyDescent="0.35"/>
  <cols>
    <col min="2" max="2" width="9.54296875" bestFit="1" customWidth="1"/>
    <col min="4" max="4" width="30.7265625" bestFit="1" customWidth="1"/>
    <col min="5" max="5" width="15.453125" bestFit="1" customWidth="1"/>
  </cols>
  <sheetData>
    <row r="1" spans="1:6" x14ac:dyDescent="0.35">
      <c r="A1" t="s">
        <v>229</v>
      </c>
      <c r="B1" t="s">
        <v>230</v>
      </c>
      <c r="C1" t="s">
        <v>231</v>
      </c>
      <c r="D1" t="s">
        <v>232</v>
      </c>
      <c r="E1" t="s">
        <v>233</v>
      </c>
      <c r="F1" t="s">
        <v>234</v>
      </c>
    </row>
    <row r="2" spans="1:6" x14ac:dyDescent="0.35">
      <c r="A2" t="s">
        <v>88</v>
      </c>
      <c r="B2" s="52">
        <v>45966</v>
      </c>
      <c r="C2" t="s">
        <v>235</v>
      </c>
      <c r="D2" t="s">
        <v>77</v>
      </c>
      <c r="E2" t="s">
        <v>236</v>
      </c>
      <c r="F2">
        <v>3</v>
      </c>
    </row>
    <row r="3" spans="1:6" x14ac:dyDescent="0.35">
      <c r="A3" t="s">
        <v>78</v>
      </c>
      <c r="B3" s="52">
        <v>45966</v>
      </c>
      <c r="C3" t="s">
        <v>235</v>
      </c>
      <c r="D3" t="s">
        <v>77</v>
      </c>
      <c r="E3" t="s">
        <v>236</v>
      </c>
      <c r="F3">
        <v>5</v>
      </c>
    </row>
    <row r="4" spans="1:6" x14ac:dyDescent="0.35">
      <c r="A4" t="s">
        <v>82</v>
      </c>
      <c r="B4" s="52">
        <v>45966</v>
      </c>
      <c r="C4" t="s">
        <v>235</v>
      </c>
      <c r="D4" t="s">
        <v>77</v>
      </c>
      <c r="E4" t="s">
        <v>236</v>
      </c>
      <c r="F4">
        <v>4</v>
      </c>
    </row>
    <row r="5" spans="1:6" x14ac:dyDescent="0.35">
      <c r="A5" t="s">
        <v>86</v>
      </c>
      <c r="B5" s="52">
        <v>45966</v>
      </c>
      <c r="C5" t="s">
        <v>235</v>
      </c>
      <c r="D5" t="s">
        <v>77</v>
      </c>
      <c r="E5" t="s">
        <v>236</v>
      </c>
      <c r="F5">
        <v>1</v>
      </c>
    </row>
    <row r="6" spans="1:6" x14ac:dyDescent="0.35">
      <c r="B6" s="52"/>
    </row>
    <row r="7" spans="1:6" x14ac:dyDescent="0.35">
      <c r="B7" s="52"/>
    </row>
    <row r="8" spans="1:6" x14ac:dyDescent="0.35">
      <c r="B8" s="52"/>
    </row>
    <row r="9" spans="1:6" x14ac:dyDescent="0.35">
      <c r="B9" s="52"/>
    </row>
    <row r="10" spans="1:6" x14ac:dyDescent="0.35">
      <c r="B10" s="52"/>
    </row>
    <row r="11" spans="1:6" x14ac:dyDescent="0.35">
      <c r="B11" s="52"/>
    </row>
    <row r="12" spans="1:6" x14ac:dyDescent="0.35">
      <c r="B12" s="52"/>
    </row>
    <row r="13" spans="1:6" x14ac:dyDescent="0.35">
      <c r="B13" s="52"/>
    </row>
    <row r="14" spans="1:6" x14ac:dyDescent="0.35">
      <c r="B14" s="52"/>
    </row>
    <row r="15" spans="1:6" x14ac:dyDescent="0.35">
      <c r="B15" s="52"/>
    </row>
    <row r="16" spans="1:6" x14ac:dyDescent="0.35">
      <c r="B16" s="52"/>
    </row>
    <row r="17" spans="2:2" x14ac:dyDescent="0.35">
      <c r="B17" s="52"/>
    </row>
    <row r="18" spans="2:2" x14ac:dyDescent="0.35">
      <c r="B18" s="52"/>
    </row>
    <row r="19" spans="2:2" x14ac:dyDescent="0.35">
      <c r="B19" s="52"/>
    </row>
    <row r="20" spans="2:2" x14ac:dyDescent="0.35">
      <c r="B20" s="52"/>
    </row>
    <row r="21" spans="2:2" x14ac:dyDescent="0.35">
      <c r="B21" s="52"/>
    </row>
    <row r="22" spans="2:2" x14ac:dyDescent="0.35">
      <c r="B22" s="5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8"/>
  <dimension ref="A1:F17"/>
  <sheetViews>
    <sheetView workbookViewId="0">
      <selection activeCell="E8" sqref="E8"/>
    </sheetView>
  </sheetViews>
  <sheetFormatPr defaultRowHeight="14.5" x14ac:dyDescent="0.35"/>
  <cols>
    <col min="2" max="2" width="9.54296875" bestFit="1" customWidth="1"/>
    <col min="4" max="4" width="30.7265625" bestFit="1" customWidth="1"/>
    <col min="5" max="5" width="15.453125" bestFit="1" customWidth="1"/>
  </cols>
  <sheetData>
    <row r="1" spans="1:6" x14ac:dyDescent="0.35">
      <c r="A1" t="s">
        <v>229</v>
      </c>
      <c r="B1" t="s">
        <v>230</v>
      </c>
      <c r="C1" t="s">
        <v>231</v>
      </c>
      <c r="D1" t="s">
        <v>232</v>
      </c>
      <c r="E1" t="s">
        <v>233</v>
      </c>
      <c r="F1" t="s">
        <v>234</v>
      </c>
    </row>
    <row r="2" spans="1:6" x14ac:dyDescent="0.35">
      <c r="B2" s="52"/>
    </row>
    <row r="3" spans="1:6" x14ac:dyDescent="0.35">
      <c r="B3" s="52"/>
    </row>
    <row r="4" spans="1:6" x14ac:dyDescent="0.35">
      <c r="B4" s="52"/>
    </row>
    <row r="5" spans="1:6" x14ac:dyDescent="0.35">
      <c r="B5" s="52"/>
    </row>
    <row r="6" spans="1:6" x14ac:dyDescent="0.35">
      <c r="B6" s="52"/>
    </row>
    <row r="7" spans="1:6" x14ac:dyDescent="0.35">
      <c r="B7" s="52"/>
    </row>
    <row r="8" spans="1:6" x14ac:dyDescent="0.35">
      <c r="B8" s="52"/>
    </row>
    <row r="9" spans="1:6" x14ac:dyDescent="0.35">
      <c r="B9" s="52"/>
    </row>
    <row r="10" spans="1:6" x14ac:dyDescent="0.35">
      <c r="B10" s="52"/>
    </row>
    <row r="11" spans="1:6" x14ac:dyDescent="0.35">
      <c r="B11" s="52"/>
    </row>
    <row r="12" spans="1:6" x14ac:dyDescent="0.35">
      <c r="B12" s="52"/>
    </row>
    <row r="13" spans="1:6" x14ac:dyDescent="0.35">
      <c r="B13" s="52"/>
    </row>
    <row r="14" spans="1:6" x14ac:dyDescent="0.35">
      <c r="B14" s="52"/>
    </row>
    <row r="15" spans="1:6" x14ac:dyDescent="0.35">
      <c r="B15" s="52"/>
    </row>
    <row r="16" spans="1:6" x14ac:dyDescent="0.35">
      <c r="B16" s="52"/>
    </row>
    <row r="17" spans="2:2" x14ac:dyDescent="0.35">
      <c r="B17" s="5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9"/>
  <dimension ref="A1:E9"/>
  <sheetViews>
    <sheetView workbookViewId="0">
      <selection activeCell="A2" sqref="A2:A7"/>
    </sheetView>
  </sheetViews>
  <sheetFormatPr defaultRowHeight="14.5" x14ac:dyDescent="0.35"/>
  <cols>
    <col min="1" max="1" width="12.26953125" bestFit="1" customWidth="1"/>
    <col min="2" max="2" width="12.7265625" bestFit="1" customWidth="1"/>
    <col min="3" max="3" width="15.26953125" bestFit="1" customWidth="1"/>
    <col min="4" max="4" width="10" bestFit="1" customWidth="1"/>
    <col min="5" max="5" width="15.453125" bestFit="1" customWidth="1"/>
  </cols>
  <sheetData>
    <row r="1" spans="1:5" x14ac:dyDescent="0.35">
      <c r="A1" t="s">
        <v>229</v>
      </c>
      <c r="B1" t="s">
        <v>183</v>
      </c>
      <c r="C1" t="s">
        <v>184</v>
      </c>
      <c r="D1" t="s">
        <v>185</v>
      </c>
      <c r="E1" t="s">
        <v>186</v>
      </c>
    </row>
    <row r="2" spans="1:5" x14ac:dyDescent="0.35">
      <c r="A2" t="s">
        <v>82</v>
      </c>
      <c r="B2" s="3">
        <v>2025</v>
      </c>
      <c r="C2">
        <v>11</v>
      </c>
      <c r="D2" t="s">
        <v>170</v>
      </c>
      <c r="E2">
        <v>316</v>
      </c>
    </row>
    <row r="3" spans="1:5" x14ac:dyDescent="0.35">
      <c r="A3" t="s">
        <v>84</v>
      </c>
      <c r="B3" s="3">
        <v>2025</v>
      </c>
      <c r="C3">
        <v>11</v>
      </c>
      <c r="D3" t="s">
        <v>170</v>
      </c>
      <c r="E3">
        <v>237</v>
      </c>
    </row>
    <row r="4" spans="1:5" x14ac:dyDescent="0.35">
      <c r="A4" t="s">
        <v>88</v>
      </c>
      <c r="B4" s="3">
        <v>2025</v>
      </c>
      <c r="C4">
        <v>11</v>
      </c>
      <c r="D4" t="s">
        <v>170</v>
      </c>
      <c r="E4">
        <v>227</v>
      </c>
    </row>
    <row r="5" spans="1:5" x14ac:dyDescent="0.35">
      <c r="A5" t="s">
        <v>86</v>
      </c>
      <c r="B5" s="3">
        <v>2025</v>
      </c>
      <c r="C5">
        <v>11</v>
      </c>
      <c r="D5" t="s">
        <v>170</v>
      </c>
      <c r="E5">
        <v>221</v>
      </c>
    </row>
    <row r="6" spans="1:5" x14ac:dyDescent="0.35">
      <c r="A6" t="s">
        <v>78</v>
      </c>
      <c r="B6" s="3">
        <v>2025</v>
      </c>
      <c r="C6">
        <v>11</v>
      </c>
      <c r="D6" t="s">
        <v>170</v>
      </c>
      <c r="E6">
        <v>972</v>
      </c>
    </row>
    <row r="7" spans="1:5" x14ac:dyDescent="0.35">
      <c r="B7" s="3"/>
    </row>
    <row r="8" spans="1:5" x14ac:dyDescent="0.35">
      <c r="B8" s="3"/>
    </row>
    <row r="9" spans="1:5" x14ac:dyDescent="0.35">
      <c r="B9" s="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5"/>
  <dimension ref="A1:B3"/>
  <sheetViews>
    <sheetView workbookViewId="0">
      <selection sqref="A1:B3"/>
    </sheetView>
  </sheetViews>
  <sheetFormatPr defaultRowHeight="14.5" x14ac:dyDescent="0.35"/>
  <sheetData>
    <row r="1" spans="1:2" x14ac:dyDescent="0.35">
      <c r="A1" t="s">
        <v>237</v>
      </c>
      <c r="B1" t="s">
        <v>238</v>
      </c>
    </row>
    <row r="2" spans="1:2" x14ac:dyDescent="0.35">
      <c r="A2">
        <v>2019</v>
      </c>
      <c r="B2">
        <v>10</v>
      </c>
    </row>
    <row r="3" spans="1:2" x14ac:dyDescent="0.35">
      <c r="A3" t="s">
        <v>239</v>
      </c>
      <c r="B3">
        <v>18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1"/>
  <dimension ref="A1:B3"/>
  <sheetViews>
    <sheetView workbookViewId="0">
      <selection activeCell="B4" sqref="B4"/>
    </sheetView>
  </sheetViews>
  <sheetFormatPr defaultRowHeight="14.5" x14ac:dyDescent="0.35"/>
  <cols>
    <col min="1" max="1" width="11.26953125" bestFit="1" customWidth="1"/>
    <col min="2" max="2" width="11.7265625" bestFit="1" customWidth="1"/>
  </cols>
  <sheetData>
    <row r="1" spans="1:2" x14ac:dyDescent="0.35">
      <c r="A1" t="s">
        <v>237</v>
      </c>
      <c r="B1" t="s">
        <v>238</v>
      </c>
    </row>
    <row r="2" spans="1:2" x14ac:dyDescent="0.35">
      <c r="A2" t="s">
        <v>3</v>
      </c>
      <c r="B2">
        <v>9</v>
      </c>
    </row>
    <row r="3" spans="1:2" x14ac:dyDescent="0.35">
      <c r="A3" t="s">
        <v>240</v>
      </c>
      <c r="B3">
        <v>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2"/>
  <dimension ref="A1:Z33"/>
  <sheetViews>
    <sheetView zoomScale="85" zoomScaleNormal="85" workbookViewId="0">
      <selection activeCell="F13" sqref="F13"/>
    </sheetView>
  </sheetViews>
  <sheetFormatPr defaultRowHeight="14.5" x14ac:dyDescent="0.35"/>
  <cols>
    <col min="2" max="2" width="20.453125" customWidth="1"/>
    <col min="6" max="6" width="20.54296875" customWidth="1"/>
    <col min="7" max="7" width="22.81640625" customWidth="1"/>
    <col min="9" max="9" width="16.54296875" customWidth="1"/>
    <col min="10" max="10" width="15" customWidth="1"/>
    <col min="11" max="11" width="12" customWidth="1"/>
    <col min="12" max="12" width="19.1796875" bestFit="1" customWidth="1"/>
    <col min="13" max="13" width="19" bestFit="1" customWidth="1"/>
  </cols>
  <sheetData>
    <row r="1" spans="1:26" x14ac:dyDescent="0.35">
      <c r="A1" t="s">
        <v>241</v>
      </c>
      <c r="B1" t="s">
        <v>242</v>
      </c>
      <c r="C1" t="s">
        <v>243</v>
      </c>
      <c r="D1" t="s">
        <v>182</v>
      </c>
      <c r="E1" t="s">
        <v>185</v>
      </c>
      <c r="F1" t="s">
        <v>244</v>
      </c>
      <c r="G1" t="s">
        <v>245</v>
      </c>
      <c r="H1" t="s">
        <v>246</v>
      </c>
      <c r="I1" t="s">
        <v>247</v>
      </c>
      <c r="J1" t="s">
        <v>248</v>
      </c>
      <c r="K1" t="s">
        <v>249</v>
      </c>
      <c r="L1" t="s">
        <v>250</v>
      </c>
      <c r="M1" t="s">
        <v>251</v>
      </c>
      <c r="N1" t="s">
        <v>252</v>
      </c>
      <c r="O1" t="s">
        <v>253</v>
      </c>
      <c r="P1" t="s">
        <v>254</v>
      </c>
      <c r="Q1" t="s">
        <v>255</v>
      </c>
      <c r="R1" t="s">
        <v>256</v>
      </c>
      <c r="S1" t="s">
        <v>187</v>
      </c>
      <c r="T1" t="s">
        <v>257</v>
      </c>
      <c r="U1" t="s">
        <v>258</v>
      </c>
      <c r="V1" t="s">
        <v>259</v>
      </c>
      <c r="W1" t="s">
        <v>260</v>
      </c>
      <c r="X1" t="s">
        <v>261</v>
      </c>
      <c r="Y1" t="s">
        <v>262</v>
      </c>
    </row>
    <row r="2" spans="1:26" x14ac:dyDescent="0.35">
      <c r="A2" s="103" t="s">
        <v>263</v>
      </c>
      <c r="B2" t="s">
        <v>98</v>
      </c>
      <c r="C2" t="s">
        <v>264</v>
      </c>
      <c r="D2" t="s">
        <v>112</v>
      </c>
      <c r="E2" t="s">
        <v>170</v>
      </c>
      <c r="F2">
        <v>14</v>
      </c>
      <c r="G2">
        <v>0</v>
      </c>
      <c r="H2">
        <v>1</v>
      </c>
      <c r="I2">
        <v>5</v>
      </c>
      <c r="J2">
        <v>5</v>
      </c>
      <c r="K2">
        <v>5</v>
      </c>
      <c r="L2">
        <v>14</v>
      </c>
      <c r="M2">
        <v>0</v>
      </c>
      <c r="N2">
        <v>2</v>
      </c>
      <c r="O2">
        <v>3</v>
      </c>
      <c r="P2" s="3">
        <v>6</v>
      </c>
      <c r="Q2" s="3">
        <v>6</v>
      </c>
      <c r="R2" s="3">
        <v>63</v>
      </c>
      <c r="S2" s="3">
        <v>4</v>
      </c>
      <c r="T2" s="3">
        <v>14</v>
      </c>
      <c r="U2" s="3">
        <v>25</v>
      </c>
      <c r="V2" s="3">
        <v>26</v>
      </c>
      <c r="W2" s="3">
        <v>26</v>
      </c>
      <c r="X2" s="3">
        <v>14</v>
      </c>
      <c r="Y2" s="3">
        <v>63</v>
      </c>
    </row>
    <row r="3" spans="1:26" x14ac:dyDescent="0.35">
      <c r="A3" s="103" t="s">
        <v>263</v>
      </c>
      <c r="B3" t="s">
        <v>99</v>
      </c>
      <c r="C3" t="s">
        <v>60</v>
      </c>
      <c r="D3" t="s">
        <v>112</v>
      </c>
      <c r="E3" t="s">
        <v>170</v>
      </c>
      <c r="F3">
        <v>210</v>
      </c>
      <c r="G3">
        <v>0</v>
      </c>
      <c r="H3">
        <v>168</v>
      </c>
      <c r="I3">
        <v>187</v>
      </c>
      <c r="J3">
        <v>174</v>
      </c>
      <c r="K3">
        <v>180</v>
      </c>
      <c r="L3">
        <v>189</v>
      </c>
      <c r="M3">
        <v>2</v>
      </c>
      <c r="N3">
        <v>127</v>
      </c>
      <c r="O3">
        <v>146</v>
      </c>
      <c r="P3" s="3">
        <v>137</v>
      </c>
      <c r="Q3" s="3">
        <v>149</v>
      </c>
      <c r="R3" s="3">
        <v>1018</v>
      </c>
      <c r="S3" s="3">
        <v>2</v>
      </c>
      <c r="T3" s="3">
        <v>746</v>
      </c>
      <c r="U3" s="3">
        <v>865</v>
      </c>
      <c r="V3" s="3">
        <v>715</v>
      </c>
      <c r="W3" s="3">
        <v>777</v>
      </c>
      <c r="X3" s="3">
        <v>206</v>
      </c>
      <c r="Y3" s="3">
        <v>1017</v>
      </c>
    </row>
    <row r="4" spans="1:26" x14ac:dyDescent="0.35">
      <c r="A4" s="103" t="s">
        <v>263</v>
      </c>
      <c r="B4" t="s">
        <v>101</v>
      </c>
      <c r="C4" t="s">
        <v>61</v>
      </c>
      <c r="D4" t="s">
        <v>112</v>
      </c>
      <c r="E4" t="s">
        <v>170</v>
      </c>
      <c r="F4">
        <v>30</v>
      </c>
      <c r="G4">
        <v>0</v>
      </c>
      <c r="H4">
        <v>19</v>
      </c>
      <c r="I4">
        <v>27</v>
      </c>
      <c r="J4">
        <v>25</v>
      </c>
      <c r="K4">
        <v>26</v>
      </c>
      <c r="L4">
        <v>29</v>
      </c>
      <c r="M4">
        <v>0</v>
      </c>
      <c r="N4">
        <v>26</v>
      </c>
      <c r="O4">
        <v>28</v>
      </c>
      <c r="P4">
        <v>27</v>
      </c>
      <c r="Q4">
        <v>27</v>
      </c>
      <c r="R4">
        <v>153</v>
      </c>
      <c r="S4">
        <v>0</v>
      </c>
      <c r="T4">
        <v>98</v>
      </c>
      <c r="U4">
        <v>127</v>
      </c>
      <c r="V4">
        <v>122</v>
      </c>
      <c r="W4">
        <v>124</v>
      </c>
      <c r="X4">
        <v>30</v>
      </c>
      <c r="Y4">
        <v>153</v>
      </c>
    </row>
    <row r="5" spans="1:26" x14ac:dyDescent="0.35">
      <c r="A5" s="103" t="s">
        <v>263</v>
      </c>
      <c r="B5" t="s">
        <v>103</v>
      </c>
      <c r="C5" t="s">
        <v>64</v>
      </c>
      <c r="D5" t="s">
        <v>112</v>
      </c>
      <c r="E5" t="s">
        <v>170</v>
      </c>
      <c r="F5">
        <v>62</v>
      </c>
      <c r="G5">
        <v>2</v>
      </c>
      <c r="H5">
        <v>2</v>
      </c>
      <c r="I5">
        <v>8</v>
      </c>
      <c r="J5">
        <v>17</v>
      </c>
      <c r="K5">
        <v>18</v>
      </c>
      <c r="L5">
        <v>61</v>
      </c>
      <c r="M5">
        <v>0</v>
      </c>
      <c r="N5">
        <v>36</v>
      </c>
      <c r="O5">
        <v>46</v>
      </c>
      <c r="P5" s="3">
        <v>46</v>
      </c>
      <c r="Q5" s="3">
        <v>48</v>
      </c>
      <c r="R5" s="3">
        <v>310</v>
      </c>
      <c r="S5" s="3">
        <v>2</v>
      </c>
      <c r="T5" s="3">
        <v>144</v>
      </c>
      <c r="U5" s="3">
        <v>192</v>
      </c>
      <c r="V5" s="3">
        <v>177</v>
      </c>
      <c r="W5" s="3">
        <v>190</v>
      </c>
      <c r="X5" s="3">
        <v>62</v>
      </c>
      <c r="Y5" s="3">
        <v>311</v>
      </c>
    </row>
    <row r="6" spans="1:26" x14ac:dyDescent="0.35">
      <c r="A6" s="103" t="s">
        <v>263</v>
      </c>
      <c r="B6" t="s">
        <v>95</v>
      </c>
      <c r="C6" t="s">
        <v>57</v>
      </c>
      <c r="D6" t="s">
        <v>112</v>
      </c>
      <c r="E6" t="s">
        <v>170</v>
      </c>
      <c r="F6">
        <v>194</v>
      </c>
      <c r="G6">
        <v>0</v>
      </c>
      <c r="H6">
        <v>144</v>
      </c>
      <c r="I6">
        <v>173</v>
      </c>
      <c r="J6">
        <v>166</v>
      </c>
      <c r="K6">
        <v>175</v>
      </c>
      <c r="L6">
        <v>184</v>
      </c>
      <c r="M6">
        <v>0</v>
      </c>
      <c r="N6">
        <v>148</v>
      </c>
      <c r="O6">
        <v>175</v>
      </c>
      <c r="P6">
        <v>150</v>
      </c>
      <c r="Q6">
        <v>159</v>
      </c>
      <c r="R6">
        <v>970</v>
      </c>
      <c r="S6">
        <v>0</v>
      </c>
      <c r="T6">
        <v>769</v>
      </c>
      <c r="U6">
        <v>899</v>
      </c>
      <c r="V6">
        <v>809</v>
      </c>
      <c r="W6">
        <v>850</v>
      </c>
      <c r="X6">
        <v>194</v>
      </c>
      <c r="Y6">
        <v>970</v>
      </c>
    </row>
    <row r="7" spans="1:26" x14ac:dyDescent="0.35">
      <c r="A7" s="103" t="s">
        <v>263</v>
      </c>
      <c r="B7" t="s">
        <v>98</v>
      </c>
      <c r="C7" t="s">
        <v>265</v>
      </c>
      <c r="D7" t="s">
        <v>112</v>
      </c>
      <c r="E7" t="s">
        <v>170</v>
      </c>
      <c r="F7">
        <v>1</v>
      </c>
      <c r="G7">
        <v>0</v>
      </c>
      <c r="H7">
        <v>1</v>
      </c>
      <c r="I7">
        <v>1</v>
      </c>
      <c r="J7">
        <v>1</v>
      </c>
      <c r="K7">
        <v>1</v>
      </c>
      <c r="L7">
        <v>0</v>
      </c>
      <c r="M7">
        <v>0</v>
      </c>
      <c r="N7">
        <v>0</v>
      </c>
      <c r="O7">
        <v>0</v>
      </c>
      <c r="P7" s="3">
        <v>0</v>
      </c>
      <c r="Q7" s="3">
        <v>0</v>
      </c>
      <c r="R7" s="3">
        <v>2</v>
      </c>
      <c r="S7" s="3">
        <v>0</v>
      </c>
      <c r="T7" s="3">
        <v>2</v>
      </c>
      <c r="U7" s="3">
        <v>2</v>
      </c>
      <c r="V7" s="3">
        <v>2</v>
      </c>
      <c r="W7" s="3">
        <v>2</v>
      </c>
      <c r="X7" s="3">
        <v>1</v>
      </c>
      <c r="Y7" s="3">
        <v>2</v>
      </c>
      <c r="Z7" s="3"/>
    </row>
    <row r="8" spans="1:26" x14ac:dyDescent="0.35">
      <c r="A8" s="103" t="s">
        <v>263</v>
      </c>
      <c r="B8" t="s">
        <v>98</v>
      </c>
      <c r="C8" t="s">
        <v>59</v>
      </c>
      <c r="D8" t="s">
        <v>112</v>
      </c>
      <c r="E8" t="s">
        <v>170</v>
      </c>
      <c r="F8">
        <v>118</v>
      </c>
      <c r="G8">
        <v>0</v>
      </c>
      <c r="H8">
        <v>92</v>
      </c>
      <c r="I8">
        <v>102</v>
      </c>
      <c r="J8">
        <v>85</v>
      </c>
      <c r="K8">
        <v>93</v>
      </c>
      <c r="L8">
        <v>116</v>
      </c>
      <c r="M8">
        <v>1</v>
      </c>
      <c r="N8">
        <v>92</v>
      </c>
      <c r="O8">
        <v>101</v>
      </c>
      <c r="P8" s="3">
        <v>94</v>
      </c>
      <c r="Q8" s="3">
        <v>100</v>
      </c>
      <c r="R8" s="3">
        <v>608</v>
      </c>
      <c r="S8" s="3">
        <v>1</v>
      </c>
      <c r="T8" s="3">
        <v>457</v>
      </c>
      <c r="U8" s="3">
        <v>521</v>
      </c>
      <c r="V8" s="3">
        <v>441</v>
      </c>
      <c r="W8" s="3">
        <v>485</v>
      </c>
      <c r="X8" s="3">
        <v>117</v>
      </c>
      <c r="Y8" s="3">
        <v>609</v>
      </c>
    </row>
    <row r="9" spans="1:26" x14ac:dyDescent="0.35">
      <c r="A9" s="103" t="s">
        <v>263</v>
      </c>
      <c r="B9" t="s">
        <v>96</v>
      </c>
      <c r="C9" t="s">
        <v>58</v>
      </c>
      <c r="D9" t="s">
        <v>112</v>
      </c>
      <c r="E9" t="s">
        <v>170</v>
      </c>
      <c r="F9">
        <v>107</v>
      </c>
      <c r="G9">
        <v>0</v>
      </c>
      <c r="H9">
        <v>54</v>
      </c>
      <c r="I9">
        <v>69</v>
      </c>
      <c r="J9">
        <v>72</v>
      </c>
      <c r="K9">
        <v>74</v>
      </c>
      <c r="L9">
        <v>107</v>
      </c>
      <c r="M9">
        <v>1</v>
      </c>
      <c r="N9">
        <v>49</v>
      </c>
      <c r="O9">
        <v>59</v>
      </c>
      <c r="P9">
        <v>64</v>
      </c>
      <c r="Q9">
        <v>68</v>
      </c>
      <c r="R9">
        <v>506</v>
      </c>
      <c r="S9">
        <v>37</v>
      </c>
      <c r="T9">
        <v>251</v>
      </c>
      <c r="U9">
        <v>305</v>
      </c>
      <c r="V9">
        <v>306</v>
      </c>
      <c r="W9">
        <v>316</v>
      </c>
      <c r="X9">
        <v>107</v>
      </c>
      <c r="Y9">
        <v>505</v>
      </c>
      <c r="Z9" s="3"/>
    </row>
    <row r="10" spans="1:26" x14ac:dyDescent="0.35">
      <c r="A10" s="103" t="s">
        <v>263</v>
      </c>
      <c r="B10" t="s">
        <v>96</v>
      </c>
      <c r="C10" t="s">
        <v>266</v>
      </c>
      <c r="D10" t="s">
        <v>112</v>
      </c>
      <c r="E10" t="s">
        <v>170</v>
      </c>
      <c r="F10">
        <v>4</v>
      </c>
      <c r="G10">
        <v>0</v>
      </c>
      <c r="H10">
        <v>3</v>
      </c>
      <c r="I10">
        <v>4</v>
      </c>
      <c r="J10">
        <v>4</v>
      </c>
      <c r="K10">
        <v>4</v>
      </c>
      <c r="L10">
        <v>4</v>
      </c>
      <c r="M10">
        <v>0</v>
      </c>
      <c r="N10">
        <v>0</v>
      </c>
      <c r="O10">
        <v>1</v>
      </c>
      <c r="P10" s="3">
        <v>1</v>
      </c>
      <c r="Q10" s="3">
        <v>1</v>
      </c>
      <c r="R10" s="3">
        <v>20</v>
      </c>
      <c r="S10" s="3">
        <v>0</v>
      </c>
      <c r="T10" s="3">
        <v>11</v>
      </c>
      <c r="U10" s="3">
        <v>14</v>
      </c>
      <c r="V10" s="3">
        <v>14</v>
      </c>
      <c r="W10" s="3">
        <v>14</v>
      </c>
      <c r="X10" s="3">
        <v>4</v>
      </c>
      <c r="Y10" s="3">
        <v>20</v>
      </c>
      <c r="Z10" s="3"/>
    </row>
    <row r="11" spans="1:26" x14ac:dyDescent="0.35">
      <c r="A11" s="103" t="s">
        <v>263</v>
      </c>
      <c r="B11" t="s">
        <v>102</v>
      </c>
      <c r="C11" t="s">
        <v>62</v>
      </c>
      <c r="D11" t="s">
        <v>112</v>
      </c>
      <c r="E11" t="s">
        <v>170</v>
      </c>
      <c r="F11">
        <v>270</v>
      </c>
      <c r="G11">
        <v>0</v>
      </c>
      <c r="H11">
        <v>186</v>
      </c>
      <c r="I11">
        <v>223</v>
      </c>
      <c r="J11">
        <v>194</v>
      </c>
      <c r="K11">
        <v>214</v>
      </c>
      <c r="L11">
        <v>265</v>
      </c>
      <c r="M11">
        <v>2</v>
      </c>
      <c r="N11">
        <v>189</v>
      </c>
      <c r="O11">
        <v>224</v>
      </c>
      <c r="P11">
        <v>184</v>
      </c>
      <c r="Q11">
        <v>198</v>
      </c>
      <c r="R11">
        <v>1358</v>
      </c>
      <c r="S11">
        <v>2</v>
      </c>
      <c r="T11">
        <v>899</v>
      </c>
      <c r="U11">
        <v>1105</v>
      </c>
      <c r="V11">
        <v>913</v>
      </c>
      <c r="W11">
        <v>1010</v>
      </c>
      <c r="X11">
        <v>270</v>
      </c>
      <c r="Y11">
        <v>1358</v>
      </c>
    </row>
    <row r="12" spans="1:26" x14ac:dyDescent="0.35">
      <c r="A12" s="103" t="s">
        <v>263</v>
      </c>
      <c r="B12" t="s">
        <v>138</v>
      </c>
      <c r="C12" t="s">
        <v>138</v>
      </c>
      <c r="D12" t="s">
        <v>112</v>
      </c>
      <c r="E12" t="s">
        <v>170</v>
      </c>
      <c r="F12">
        <v>982</v>
      </c>
      <c r="G12">
        <v>11</v>
      </c>
      <c r="H12">
        <v>665</v>
      </c>
      <c r="I12">
        <v>789</v>
      </c>
      <c r="J12">
        <v>759</v>
      </c>
      <c r="K12">
        <v>759</v>
      </c>
      <c r="L12" s="110">
        <v>951</v>
      </c>
      <c r="M12" s="110">
        <v>11</v>
      </c>
      <c r="N12">
        <v>667</v>
      </c>
      <c r="O12">
        <v>779</v>
      </c>
      <c r="P12" s="3">
        <v>738</v>
      </c>
      <c r="Q12" s="3">
        <v>738</v>
      </c>
      <c r="R12" s="3">
        <v>4912</v>
      </c>
      <c r="S12" s="3">
        <v>49</v>
      </c>
      <c r="T12">
        <v>3364</v>
      </c>
      <c r="U12">
        <v>4014</v>
      </c>
      <c r="V12" s="3">
        <v>3803</v>
      </c>
      <c r="W12" s="3">
        <v>3803</v>
      </c>
      <c r="X12">
        <v>986</v>
      </c>
      <c r="Y12">
        <v>4923</v>
      </c>
    </row>
    <row r="13" spans="1:26" x14ac:dyDescent="0.35">
      <c r="A13" s="103"/>
      <c r="I13" s="3"/>
      <c r="L13" s="110"/>
      <c r="M13" s="110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x14ac:dyDescent="0.35">
      <c r="A14" s="103"/>
      <c r="L14" s="110"/>
      <c r="M14" s="110"/>
      <c r="N14" s="3"/>
      <c r="O14" s="3"/>
      <c r="P14" s="3"/>
      <c r="Q14" s="3"/>
      <c r="R14" s="3"/>
      <c r="S14" s="3"/>
      <c r="T14" s="3"/>
      <c r="U14" s="3"/>
      <c r="V14" s="3"/>
      <c r="W14" s="3"/>
      <c r="Y14" s="3"/>
      <c r="Z14" s="3"/>
    </row>
    <row r="15" spans="1:26" x14ac:dyDescent="0.35">
      <c r="A15" s="103"/>
      <c r="L15" s="110"/>
      <c r="M15" s="110"/>
      <c r="O15" s="3"/>
      <c r="R15" s="3"/>
      <c r="S15" s="3"/>
      <c r="T15" s="3"/>
      <c r="U15" s="3"/>
      <c r="V15" s="3"/>
      <c r="W15" s="3"/>
      <c r="Y15" s="3"/>
      <c r="Z15" s="3"/>
    </row>
    <row r="16" spans="1:26" x14ac:dyDescent="0.35">
      <c r="A16" s="103"/>
      <c r="L16" s="110"/>
      <c r="M16" s="110"/>
      <c r="P16" s="3"/>
      <c r="Q16" s="3"/>
      <c r="R16" s="3"/>
      <c r="S16" s="3"/>
      <c r="V16" s="3"/>
      <c r="W16" s="3"/>
    </row>
    <row r="17" spans="1:26" x14ac:dyDescent="0.35">
      <c r="A17" s="103"/>
      <c r="L17" s="110"/>
      <c r="M17" s="110"/>
      <c r="P17" s="3"/>
      <c r="Q17" s="3"/>
      <c r="R17" s="3"/>
      <c r="S17" s="3"/>
      <c r="V17" s="3"/>
      <c r="W17" s="3"/>
    </row>
    <row r="18" spans="1:26" x14ac:dyDescent="0.35">
      <c r="A18" s="103"/>
      <c r="L18" s="110"/>
      <c r="M18" s="110"/>
      <c r="N18" s="3"/>
      <c r="O18" s="3"/>
      <c r="P18" s="3"/>
      <c r="Q18" s="3"/>
      <c r="R18" s="3"/>
      <c r="S18" s="3"/>
      <c r="T18" s="3"/>
      <c r="U18" s="3"/>
      <c r="V18" s="3"/>
      <c r="W18" s="3"/>
      <c r="Y18" s="3"/>
      <c r="Z18" s="3"/>
    </row>
    <row r="19" spans="1:26" x14ac:dyDescent="0.35">
      <c r="A19" s="103"/>
      <c r="L19" s="109"/>
      <c r="M19" s="109"/>
      <c r="R19" s="3"/>
      <c r="S19" s="3"/>
      <c r="T19" s="3"/>
      <c r="U19" s="3"/>
      <c r="V19" s="3"/>
      <c r="W19" s="3"/>
      <c r="Z19" s="3"/>
    </row>
    <row r="20" spans="1:26" x14ac:dyDescent="0.35">
      <c r="A20" s="103"/>
      <c r="L20" s="110"/>
      <c r="M20" s="110"/>
      <c r="N20" s="3"/>
      <c r="O20" s="3"/>
      <c r="P20" s="3"/>
      <c r="Q20" s="3"/>
      <c r="R20" s="3"/>
      <c r="S20" s="3"/>
      <c r="T20" s="3"/>
      <c r="U20" s="3"/>
      <c r="V20" s="3"/>
      <c r="W20" s="3"/>
      <c r="Y20" s="3"/>
      <c r="Z20" s="3"/>
    </row>
    <row r="21" spans="1:26" x14ac:dyDescent="0.35">
      <c r="A21" s="103"/>
      <c r="L21" s="110"/>
      <c r="M21" s="110"/>
      <c r="P21" s="3"/>
      <c r="Q21" s="3"/>
      <c r="R21" s="3"/>
      <c r="S21" s="3"/>
      <c r="V21" s="3"/>
      <c r="W21" s="3"/>
    </row>
    <row r="24" spans="1:26" x14ac:dyDescent="0.35">
      <c r="A24" s="103"/>
    </row>
    <row r="25" spans="1:26" x14ac:dyDescent="0.35">
      <c r="A25" s="103"/>
      <c r="R25" s="3"/>
      <c r="S25" s="3"/>
      <c r="T25" s="3"/>
      <c r="U25" s="3"/>
      <c r="V25" s="3"/>
      <c r="W25" s="3"/>
      <c r="Y25" s="3"/>
    </row>
    <row r="26" spans="1:26" x14ac:dyDescent="0.35">
      <c r="A26" s="103"/>
      <c r="R26" s="3"/>
      <c r="S26" s="3"/>
      <c r="T26" s="3"/>
      <c r="U26" s="3"/>
      <c r="V26" s="3"/>
      <c r="W26" s="3"/>
      <c r="Y26" s="3"/>
    </row>
    <row r="27" spans="1:26" x14ac:dyDescent="0.35">
      <c r="A27" s="103"/>
    </row>
    <row r="28" spans="1:26" x14ac:dyDescent="0.35">
      <c r="A28" s="103"/>
      <c r="R28" s="3"/>
      <c r="S28" s="3"/>
      <c r="T28" s="3"/>
      <c r="U28" s="3"/>
      <c r="V28" s="3"/>
      <c r="W28" s="3"/>
      <c r="Y28" s="3"/>
    </row>
    <row r="29" spans="1:26" x14ac:dyDescent="0.35">
      <c r="A29" s="103"/>
      <c r="R29" s="3"/>
      <c r="S29" s="3"/>
      <c r="T29" s="3"/>
      <c r="U29" s="3"/>
      <c r="V29" s="3"/>
      <c r="W29" s="3"/>
      <c r="Y29" s="3"/>
    </row>
    <row r="30" spans="1:26" x14ac:dyDescent="0.35">
      <c r="A30" s="103"/>
      <c r="R30" s="3"/>
      <c r="S30" s="3"/>
      <c r="T30" s="3"/>
      <c r="U30" s="3"/>
      <c r="V30" s="3"/>
      <c r="W30" s="3"/>
      <c r="Y30" s="3"/>
    </row>
    <row r="31" spans="1:26" x14ac:dyDescent="0.35">
      <c r="A31" s="103"/>
      <c r="R31" s="3"/>
      <c r="S31" s="3"/>
      <c r="T31" s="3"/>
      <c r="U31" s="3"/>
      <c r="V31" s="3"/>
      <c r="W31" s="3"/>
      <c r="Y31" s="3"/>
    </row>
    <row r="32" spans="1:26" x14ac:dyDescent="0.35">
      <c r="A32" s="103"/>
    </row>
    <row r="33" spans="1:25" x14ac:dyDescent="0.35">
      <c r="A33" s="103"/>
      <c r="R33" s="3"/>
      <c r="S33" s="3"/>
      <c r="T33" s="3"/>
      <c r="U33" s="3"/>
      <c r="V33" s="3"/>
      <c r="W33" s="3"/>
      <c r="Y33" s="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B2"/>
  <sheetViews>
    <sheetView workbookViewId="0">
      <selection sqref="A1:A1048576"/>
    </sheetView>
  </sheetViews>
  <sheetFormatPr defaultRowHeight="14.5" x14ac:dyDescent="0.35"/>
  <sheetData>
    <row r="1" spans="1:2" x14ac:dyDescent="0.35">
      <c r="A1" t="s">
        <v>182</v>
      </c>
      <c r="B1" t="s">
        <v>267</v>
      </c>
    </row>
    <row r="2" spans="1:2" x14ac:dyDescent="0.35">
      <c r="A2" t="s">
        <v>268</v>
      </c>
      <c r="B2">
        <v>2.52143936637877E-2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C2"/>
  <sheetViews>
    <sheetView workbookViewId="0">
      <selection activeCell="A2" sqref="A2"/>
    </sheetView>
  </sheetViews>
  <sheetFormatPr defaultRowHeight="14.5" x14ac:dyDescent="0.35"/>
  <cols>
    <col min="1" max="1" width="20.26953125" bestFit="1" customWidth="1"/>
    <col min="2" max="2" width="20.453125" bestFit="1" customWidth="1"/>
    <col min="3" max="3" width="18.54296875" bestFit="1" customWidth="1"/>
  </cols>
  <sheetData>
    <row r="1" spans="1:3" x14ac:dyDescent="0.35">
      <c r="A1" t="s">
        <v>269</v>
      </c>
      <c r="B1" t="s">
        <v>270</v>
      </c>
      <c r="C1" t="s">
        <v>271</v>
      </c>
    </row>
    <row r="2" spans="1:3" x14ac:dyDescent="0.35">
      <c r="A2">
        <v>6.2725088200945203E-2</v>
      </c>
      <c r="B2" s="260">
        <v>6.9530671742118605E-2</v>
      </c>
      <c r="C2" s="260">
        <v>5.2787485438508898E-2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6"/>
  <dimension ref="A1:C3"/>
  <sheetViews>
    <sheetView workbookViewId="0">
      <selection sqref="A1:C3"/>
    </sheetView>
  </sheetViews>
  <sheetFormatPr defaultRowHeight="14.5" x14ac:dyDescent="0.35"/>
  <sheetData>
    <row r="1" spans="1:3" x14ac:dyDescent="0.35">
      <c r="A1" t="s">
        <v>237</v>
      </c>
      <c r="B1" t="s">
        <v>272</v>
      </c>
      <c r="C1" t="s">
        <v>273</v>
      </c>
    </row>
    <row r="2" spans="1:3" x14ac:dyDescent="0.35">
      <c r="A2">
        <v>2019</v>
      </c>
      <c r="B2">
        <v>1</v>
      </c>
      <c r="C2">
        <v>9</v>
      </c>
    </row>
    <row r="3" spans="1:3" x14ac:dyDescent="0.35">
      <c r="A3" t="s">
        <v>239</v>
      </c>
      <c r="B3">
        <v>4</v>
      </c>
      <c r="C3">
        <v>14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3"/>
  <dimension ref="A1:Q27"/>
  <sheetViews>
    <sheetView workbookViewId="0">
      <selection activeCell="J2" sqref="J2"/>
    </sheetView>
  </sheetViews>
  <sheetFormatPr defaultRowHeight="14.5" x14ac:dyDescent="0.35"/>
  <cols>
    <col min="1" max="1" width="13.54296875" bestFit="1" customWidth="1"/>
    <col min="4" max="4" width="12.453125" bestFit="1" customWidth="1"/>
    <col min="6" max="6" width="17.453125" bestFit="1" customWidth="1"/>
    <col min="7" max="7" width="11.1796875" bestFit="1" customWidth="1"/>
    <col min="8" max="8" width="16.1796875" customWidth="1"/>
    <col min="9" max="9" width="10.26953125" customWidth="1"/>
    <col min="10" max="10" width="20" bestFit="1" customWidth="1"/>
    <col min="11" max="11" width="14.81640625" bestFit="1" customWidth="1"/>
    <col min="12" max="12" width="20.7265625" bestFit="1" customWidth="1"/>
    <col min="13" max="13" width="14.7265625" bestFit="1" customWidth="1"/>
    <col min="14" max="14" width="26.54296875" bestFit="1" customWidth="1"/>
    <col min="15" max="15" width="21.453125" bestFit="1" customWidth="1"/>
    <col min="16" max="16" width="27.26953125" bestFit="1" customWidth="1"/>
    <col min="17" max="17" width="21.26953125" bestFit="1" customWidth="1"/>
  </cols>
  <sheetData>
    <row r="1" spans="1:17" x14ac:dyDescent="0.35">
      <c r="A1" t="s">
        <v>274</v>
      </c>
      <c r="B1" t="s">
        <v>275</v>
      </c>
      <c r="C1" t="s">
        <v>213</v>
      </c>
      <c r="D1" t="s">
        <v>184</v>
      </c>
      <c r="E1" t="s">
        <v>276</v>
      </c>
      <c r="F1" t="s">
        <v>214</v>
      </c>
      <c r="G1" t="s">
        <v>215</v>
      </c>
      <c r="H1" t="s">
        <v>216</v>
      </c>
      <c r="I1" t="s">
        <v>217</v>
      </c>
      <c r="J1" t="s">
        <v>219</v>
      </c>
      <c r="K1" t="s">
        <v>220</v>
      </c>
      <c r="L1" t="s">
        <v>221</v>
      </c>
      <c r="M1" t="s">
        <v>222</v>
      </c>
      <c r="N1" t="s">
        <v>224</v>
      </c>
      <c r="O1" t="s">
        <v>225</v>
      </c>
      <c r="P1" t="s">
        <v>226</v>
      </c>
      <c r="Q1" t="s">
        <v>227</v>
      </c>
    </row>
    <row r="2" spans="1:17" x14ac:dyDescent="0.35">
      <c r="A2" t="s">
        <v>98</v>
      </c>
      <c r="B2" t="s">
        <v>113</v>
      </c>
      <c r="C2">
        <v>2025</v>
      </c>
      <c r="D2">
        <v>11</v>
      </c>
      <c r="E2" t="s">
        <v>170</v>
      </c>
      <c r="F2">
        <v>900</v>
      </c>
      <c r="G2">
        <v>524</v>
      </c>
      <c r="H2">
        <v>877</v>
      </c>
      <c r="I2">
        <v>481</v>
      </c>
      <c r="J2">
        <v>194</v>
      </c>
      <c r="K2">
        <v>107</v>
      </c>
      <c r="L2">
        <v>192</v>
      </c>
      <c r="M2">
        <v>92</v>
      </c>
      <c r="N2">
        <v>194</v>
      </c>
      <c r="O2">
        <v>72</v>
      </c>
      <c r="P2">
        <v>173</v>
      </c>
      <c r="Q2">
        <v>62</v>
      </c>
    </row>
    <row r="3" spans="1:17" x14ac:dyDescent="0.35">
      <c r="A3" t="s">
        <v>102</v>
      </c>
      <c r="B3" t="s">
        <v>114</v>
      </c>
      <c r="C3">
        <v>2025</v>
      </c>
      <c r="D3">
        <v>11</v>
      </c>
      <c r="E3" t="s">
        <v>170</v>
      </c>
      <c r="F3">
        <v>20</v>
      </c>
      <c r="G3">
        <v>14</v>
      </c>
      <c r="H3">
        <v>20</v>
      </c>
      <c r="I3">
        <v>17</v>
      </c>
      <c r="J3">
        <v>4</v>
      </c>
      <c r="K3">
        <v>3</v>
      </c>
      <c r="L3">
        <v>4</v>
      </c>
      <c r="M3">
        <v>4</v>
      </c>
      <c r="N3">
        <v>4</v>
      </c>
      <c r="O3">
        <v>4</v>
      </c>
      <c r="P3">
        <v>4</v>
      </c>
      <c r="Q3">
        <v>4</v>
      </c>
    </row>
    <row r="4" spans="1:17" x14ac:dyDescent="0.35">
      <c r="A4" t="s">
        <v>96</v>
      </c>
      <c r="B4" t="s">
        <v>113</v>
      </c>
      <c r="C4">
        <v>2025</v>
      </c>
      <c r="D4">
        <v>11</v>
      </c>
      <c r="E4" t="s">
        <v>170</v>
      </c>
      <c r="F4">
        <v>617</v>
      </c>
      <c r="G4">
        <v>427</v>
      </c>
      <c r="H4">
        <v>612</v>
      </c>
      <c r="I4">
        <v>322</v>
      </c>
      <c r="J4">
        <v>134</v>
      </c>
      <c r="K4">
        <v>112</v>
      </c>
      <c r="L4">
        <v>134</v>
      </c>
      <c r="M4">
        <v>85</v>
      </c>
      <c r="N4">
        <v>134</v>
      </c>
      <c r="O4">
        <v>60</v>
      </c>
      <c r="P4">
        <v>130</v>
      </c>
      <c r="Q4">
        <v>42</v>
      </c>
    </row>
    <row r="5" spans="1:17" x14ac:dyDescent="0.35">
      <c r="A5" t="s">
        <v>92</v>
      </c>
      <c r="B5" t="s">
        <v>113</v>
      </c>
      <c r="C5">
        <v>2025</v>
      </c>
      <c r="D5">
        <v>11</v>
      </c>
      <c r="E5" t="s">
        <v>170</v>
      </c>
      <c r="F5">
        <v>9628</v>
      </c>
      <c r="G5">
        <v>7517</v>
      </c>
      <c r="H5">
        <v>9569</v>
      </c>
      <c r="I5">
        <v>7111</v>
      </c>
      <c r="J5">
        <v>1924</v>
      </c>
      <c r="K5">
        <v>1535</v>
      </c>
      <c r="L5">
        <v>1889</v>
      </c>
      <c r="M5">
        <v>1465</v>
      </c>
      <c r="N5">
        <v>1869</v>
      </c>
      <c r="O5">
        <v>1443</v>
      </c>
      <c r="P5">
        <v>1850</v>
      </c>
      <c r="Q5">
        <v>1381</v>
      </c>
    </row>
    <row r="6" spans="1:17" x14ac:dyDescent="0.35">
      <c r="A6" t="s">
        <v>96</v>
      </c>
      <c r="B6" t="s">
        <v>114</v>
      </c>
      <c r="C6">
        <v>2025</v>
      </c>
      <c r="D6">
        <v>11</v>
      </c>
      <c r="E6" t="s">
        <v>170</v>
      </c>
      <c r="F6">
        <v>1167</v>
      </c>
      <c r="G6">
        <v>818</v>
      </c>
      <c r="H6">
        <v>1164</v>
      </c>
      <c r="I6">
        <v>709</v>
      </c>
      <c r="J6">
        <v>254</v>
      </c>
      <c r="K6">
        <v>200</v>
      </c>
      <c r="L6">
        <v>254</v>
      </c>
      <c r="M6">
        <v>174</v>
      </c>
      <c r="N6">
        <v>254</v>
      </c>
      <c r="O6">
        <v>132</v>
      </c>
      <c r="P6">
        <v>252</v>
      </c>
      <c r="Q6">
        <v>104</v>
      </c>
    </row>
    <row r="7" spans="1:17" x14ac:dyDescent="0.35">
      <c r="A7" t="s">
        <v>95</v>
      </c>
      <c r="B7" t="s">
        <v>152</v>
      </c>
      <c r="C7">
        <v>2025</v>
      </c>
      <c r="D7">
        <v>11</v>
      </c>
      <c r="E7" t="s">
        <v>170</v>
      </c>
      <c r="F7">
        <v>5</v>
      </c>
      <c r="G7">
        <v>5</v>
      </c>
      <c r="H7">
        <v>5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0</v>
      </c>
    </row>
    <row r="8" spans="1:17" x14ac:dyDescent="0.35">
      <c r="A8" t="s">
        <v>102</v>
      </c>
      <c r="B8" t="s">
        <v>113</v>
      </c>
      <c r="C8">
        <v>2025</v>
      </c>
      <c r="D8">
        <v>11</v>
      </c>
      <c r="E8" t="s">
        <v>170</v>
      </c>
      <c r="F8">
        <v>1328</v>
      </c>
      <c r="G8">
        <v>968</v>
      </c>
      <c r="H8">
        <v>1324</v>
      </c>
      <c r="I8">
        <v>967</v>
      </c>
      <c r="J8">
        <v>250</v>
      </c>
      <c r="K8">
        <v>188</v>
      </c>
      <c r="L8">
        <v>250</v>
      </c>
      <c r="M8">
        <v>199</v>
      </c>
      <c r="N8">
        <v>243</v>
      </c>
      <c r="O8">
        <v>189</v>
      </c>
      <c r="P8">
        <v>241</v>
      </c>
      <c r="Q8">
        <v>193</v>
      </c>
    </row>
    <row r="9" spans="1:17" x14ac:dyDescent="0.35">
      <c r="A9" t="s">
        <v>95</v>
      </c>
      <c r="B9" t="s">
        <v>113</v>
      </c>
      <c r="C9">
        <v>2025</v>
      </c>
      <c r="D9">
        <v>11</v>
      </c>
      <c r="E9" t="s">
        <v>170</v>
      </c>
      <c r="F9">
        <v>15</v>
      </c>
      <c r="G9">
        <v>12</v>
      </c>
      <c r="H9">
        <v>15</v>
      </c>
      <c r="I9">
        <v>10</v>
      </c>
      <c r="J9">
        <v>2</v>
      </c>
      <c r="K9">
        <v>1</v>
      </c>
      <c r="L9">
        <v>2</v>
      </c>
      <c r="M9">
        <v>1</v>
      </c>
      <c r="N9">
        <v>2</v>
      </c>
      <c r="O9">
        <v>2</v>
      </c>
      <c r="P9">
        <v>2</v>
      </c>
      <c r="Q9">
        <v>2</v>
      </c>
    </row>
    <row r="10" spans="1:17" x14ac:dyDescent="0.35">
      <c r="A10" t="s">
        <v>92</v>
      </c>
      <c r="B10" t="s">
        <v>114</v>
      </c>
      <c r="C10">
        <v>2025</v>
      </c>
      <c r="D10">
        <v>11</v>
      </c>
      <c r="E10" t="s">
        <v>170</v>
      </c>
      <c r="F10">
        <v>6591</v>
      </c>
      <c r="G10">
        <v>5287</v>
      </c>
      <c r="H10">
        <v>6587</v>
      </c>
      <c r="I10">
        <v>5051</v>
      </c>
      <c r="J10">
        <v>1368</v>
      </c>
      <c r="K10">
        <v>1115</v>
      </c>
      <c r="L10">
        <v>1367</v>
      </c>
      <c r="M10">
        <v>1076</v>
      </c>
      <c r="N10">
        <v>1359</v>
      </c>
      <c r="O10">
        <v>1066</v>
      </c>
      <c r="P10">
        <v>1358</v>
      </c>
      <c r="Q10">
        <v>1017</v>
      </c>
    </row>
    <row r="11" spans="1:17" x14ac:dyDescent="0.35">
      <c r="A11" t="s">
        <v>101</v>
      </c>
      <c r="B11" t="s">
        <v>113</v>
      </c>
      <c r="C11">
        <v>2025</v>
      </c>
      <c r="D11">
        <v>11</v>
      </c>
      <c r="E11" t="s">
        <v>170</v>
      </c>
      <c r="F11">
        <v>163</v>
      </c>
      <c r="G11">
        <v>135</v>
      </c>
      <c r="H11">
        <v>163</v>
      </c>
      <c r="I11">
        <v>103</v>
      </c>
      <c r="J11">
        <v>31</v>
      </c>
      <c r="K11">
        <v>27</v>
      </c>
      <c r="L11">
        <v>31</v>
      </c>
      <c r="M11">
        <v>22</v>
      </c>
      <c r="N11">
        <v>30</v>
      </c>
      <c r="O11">
        <v>27</v>
      </c>
      <c r="P11">
        <v>30</v>
      </c>
      <c r="Q11">
        <v>27</v>
      </c>
    </row>
    <row r="12" spans="1:17" x14ac:dyDescent="0.35">
      <c r="A12" t="s">
        <v>101</v>
      </c>
      <c r="B12" t="s">
        <v>114</v>
      </c>
      <c r="C12">
        <v>2025</v>
      </c>
      <c r="D12">
        <v>11</v>
      </c>
      <c r="E12" t="s">
        <v>170</v>
      </c>
      <c r="F12">
        <v>139</v>
      </c>
      <c r="G12">
        <v>126</v>
      </c>
      <c r="H12">
        <v>139</v>
      </c>
      <c r="I12">
        <v>118</v>
      </c>
      <c r="J12">
        <v>29</v>
      </c>
      <c r="K12">
        <v>25</v>
      </c>
      <c r="L12">
        <v>29</v>
      </c>
      <c r="M12">
        <v>22</v>
      </c>
      <c r="N12">
        <v>29</v>
      </c>
      <c r="O12">
        <v>26</v>
      </c>
      <c r="P12">
        <v>29</v>
      </c>
      <c r="Q12">
        <v>25</v>
      </c>
    </row>
    <row r="13" spans="1:17" x14ac:dyDescent="0.35">
      <c r="A13" t="s">
        <v>103</v>
      </c>
      <c r="B13" t="s">
        <v>152</v>
      </c>
      <c r="C13">
        <v>2025</v>
      </c>
      <c r="D13">
        <v>11</v>
      </c>
      <c r="E13" t="s">
        <v>170</v>
      </c>
      <c r="F13">
        <v>169</v>
      </c>
      <c r="G13">
        <v>94</v>
      </c>
      <c r="H13">
        <v>156</v>
      </c>
      <c r="I13">
        <v>77</v>
      </c>
      <c r="J13">
        <v>34</v>
      </c>
      <c r="K13">
        <v>6</v>
      </c>
      <c r="L13">
        <v>25</v>
      </c>
      <c r="M13">
        <v>3</v>
      </c>
      <c r="N13">
        <v>34</v>
      </c>
      <c r="O13">
        <v>27</v>
      </c>
      <c r="P13">
        <v>34</v>
      </c>
      <c r="Q13">
        <v>26</v>
      </c>
    </row>
    <row r="14" spans="1:17" x14ac:dyDescent="0.35">
      <c r="A14" t="s">
        <v>92</v>
      </c>
      <c r="B14" t="s">
        <v>152</v>
      </c>
      <c r="C14">
        <v>2025</v>
      </c>
      <c r="D14">
        <v>11</v>
      </c>
      <c r="E14" t="s">
        <v>170</v>
      </c>
      <c r="F14">
        <v>2234</v>
      </c>
      <c r="G14">
        <v>1608</v>
      </c>
      <c r="H14">
        <v>2210</v>
      </c>
      <c r="I14">
        <v>1483</v>
      </c>
      <c r="J14">
        <v>437</v>
      </c>
      <c r="K14">
        <v>298</v>
      </c>
      <c r="L14">
        <v>422</v>
      </c>
      <c r="M14">
        <v>260</v>
      </c>
      <c r="N14">
        <v>432</v>
      </c>
      <c r="O14">
        <v>339</v>
      </c>
      <c r="P14">
        <v>429</v>
      </c>
      <c r="Q14">
        <v>324</v>
      </c>
    </row>
    <row r="15" spans="1:17" x14ac:dyDescent="0.35">
      <c r="A15" t="s">
        <v>101</v>
      </c>
      <c r="B15" t="s">
        <v>152</v>
      </c>
      <c r="C15">
        <v>2025</v>
      </c>
      <c r="D15">
        <v>11</v>
      </c>
      <c r="E15" t="s">
        <v>170</v>
      </c>
      <c r="F15">
        <v>152</v>
      </c>
      <c r="G15">
        <v>96</v>
      </c>
      <c r="H15">
        <v>149</v>
      </c>
      <c r="I15">
        <v>106</v>
      </c>
      <c r="J15">
        <v>28</v>
      </c>
      <c r="K15">
        <v>16</v>
      </c>
      <c r="L15">
        <v>25</v>
      </c>
      <c r="M15">
        <v>18</v>
      </c>
      <c r="N15">
        <v>27</v>
      </c>
      <c r="O15">
        <v>19</v>
      </c>
      <c r="P15">
        <v>27</v>
      </c>
      <c r="Q15">
        <v>24</v>
      </c>
    </row>
    <row r="16" spans="1:17" x14ac:dyDescent="0.35">
      <c r="A16" t="s">
        <v>103</v>
      </c>
      <c r="B16" t="s">
        <v>114</v>
      </c>
      <c r="C16">
        <v>2025</v>
      </c>
      <c r="D16">
        <v>11</v>
      </c>
      <c r="E16" t="s">
        <v>170</v>
      </c>
      <c r="F16">
        <v>12</v>
      </c>
      <c r="G16">
        <v>7</v>
      </c>
      <c r="H16">
        <v>12</v>
      </c>
      <c r="I16">
        <v>7</v>
      </c>
      <c r="J16">
        <v>2</v>
      </c>
      <c r="K16">
        <v>0</v>
      </c>
      <c r="L16">
        <v>2</v>
      </c>
      <c r="M16">
        <v>0</v>
      </c>
      <c r="N16">
        <v>2</v>
      </c>
      <c r="O16">
        <v>2</v>
      </c>
      <c r="P16">
        <v>2</v>
      </c>
      <c r="Q16">
        <v>1</v>
      </c>
    </row>
    <row r="17" spans="1:17" x14ac:dyDescent="0.35">
      <c r="A17" t="s">
        <v>98</v>
      </c>
      <c r="B17" t="s">
        <v>114</v>
      </c>
      <c r="C17">
        <v>2025</v>
      </c>
      <c r="D17">
        <v>11</v>
      </c>
      <c r="E17" t="s">
        <v>170</v>
      </c>
      <c r="F17">
        <v>191</v>
      </c>
      <c r="G17">
        <v>126</v>
      </c>
      <c r="H17">
        <v>191</v>
      </c>
      <c r="I17">
        <v>111</v>
      </c>
      <c r="J17">
        <v>42</v>
      </c>
      <c r="K17">
        <v>29</v>
      </c>
      <c r="L17">
        <v>42</v>
      </c>
      <c r="M17">
        <v>27</v>
      </c>
      <c r="N17">
        <v>42</v>
      </c>
      <c r="O17">
        <v>17</v>
      </c>
      <c r="P17">
        <v>42</v>
      </c>
      <c r="Q17">
        <v>12</v>
      </c>
    </row>
    <row r="18" spans="1:17" x14ac:dyDescent="0.35">
      <c r="A18" t="s">
        <v>99</v>
      </c>
      <c r="B18" t="s">
        <v>113</v>
      </c>
      <c r="C18">
        <v>2025</v>
      </c>
      <c r="D18">
        <v>11</v>
      </c>
      <c r="E18" t="s">
        <v>170</v>
      </c>
      <c r="F18">
        <v>1493</v>
      </c>
      <c r="G18">
        <v>1210</v>
      </c>
      <c r="H18">
        <v>1492</v>
      </c>
      <c r="I18">
        <v>1144</v>
      </c>
      <c r="J18">
        <v>289</v>
      </c>
      <c r="K18">
        <v>258</v>
      </c>
      <c r="L18">
        <v>289</v>
      </c>
      <c r="M18">
        <v>253</v>
      </c>
      <c r="N18">
        <v>284</v>
      </c>
      <c r="O18">
        <v>247</v>
      </c>
      <c r="P18">
        <v>284</v>
      </c>
      <c r="Q18">
        <v>245</v>
      </c>
    </row>
    <row r="19" spans="1:17" x14ac:dyDescent="0.35">
      <c r="A19" t="s">
        <v>95</v>
      </c>
      <c r="B19" t="s">
        <v>114</v>
      </c>
      <c r="C19">
        <v>2025</v>
      </c>
      <c r="D19">
        <v>11</v>
      </c>
      <c r="E19" t="s">
        <v>170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</row>
    <row r="20" spans="1:17" x14ac:dyDescent="0.35">
      <c r="A20" t="s">
        <v>103</v>
      </c>
      <c r="B20" t="s">
        <v>113</v>
      </c>
      <c r="C20">
        <v>2025</v>
      </c>
      <c r="D20">
        <v>11</v>
      </c>
      <c r="E20" t="s">
        <v>170</v>
      </c>
      <c r="F20">
        <v>22</v>
      </c>
      <c r="G20">
        <v>18</v>
      </c>
      <c r="H20">
        <v>22</v>
      </c>
      <c r="I20">
        <v>14</v>
      </c>
      <c r="J20">
        <v>3</v>
      </c>
      <c r="K20">
        <v>3</v>
      </c>
      <c r="L20">
        <v>3</v>
      </c>
      <c r="M20">
        <v>2</v>
      </c>
      <c r="N20">
        <v>3</v>
      </c>
      <c r="O20">
        <v>2</v>
      </c>
      <c r="P20">
        <v>3</v>
      </c>
      <c r="Q20">
        <v>2</v>
      </c>
    </row>
    <row r="21" spans="1:17" x14ac:dyDescent="0.35">
      <c r="A21" t="s">
        <v>99</v>
      </c>
      <c r="B21" t="s">
        <v>114</v>
      </c>
      <c r="C21">
        <v>2025</v>
      </c>
      <c r="D21">
        <v>11</v>
      </c>
      <c r="E21" t="s">
        <v>170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</row>
    <row r="22" spans="1:17" x14ac:dyDescent="0.35">
      <c r="B22" t="s">
        <v>152</v>
      </c>
      <c r="C22">
        <v>2025</v>
      </c>
      <c r="D22">
        <v>11</v>
      </c>
      <c r="E22" t="s">
        <v>170</v>
      </c>
      <c r="F22">
        <v>1017</v>
      </c>
      <c r="G22">
        <v>718</v>
      </c>
      <c r="H22">
        <v>997</v>
      </c>
      <c r="I22">
        <v>668</v>
      </c>
      <c r="J22">
        <v>200</v>
      </c>
      <c r="K22">
        <v>120</v>
      </c>
      <c r="L22">
        <v>186</v>
      </c>
      <c r="M22">
        <v>102</v>
      </c>
      <c r="N22">
        <v>197</v>
      </c>
      <c r="O22">
        <v>151</v>
      </c>
      <c r="P22">
        <v>195</v>
      </c>
      <c r="Q22">
        <v>150</v>
      </c>
    </row>
    <row r="23" spans="1:17" x14ac:dyDescent="0.35">
      <c r="A23" t="s">
        <v>138</v>
      </c>
      <c r="B23" t="s">
        <v>152</v>
      </c>
      <c r="C23">
        <v>2025</v>
      </c>
      <c r="D23">
        <v>11</v>
      </c>
      <c r="E23" t="s">
        <v>170</v>
      </c>
      <c r="F23">
        <v>1543</v>
      </c>
      <c r="G23">
        <v>1085</v>
      </c>
      <c r="H23">
        <v>1523</v>
      </c>
      <c r="I23">
        <v>999</v>
      </c>
      <c r="J23">
        <v>300</v>
      </c>
      <c r="K23">
        <v>201</v>
      </c>
      <c r="L23">
        <v>287</v>
      </c>
      <c r="M23">
        <v>180</v>
      </c>
      <c r="N23">
        <v>297</v>
      </c>
      <c r="O23">
        <v>235</v>
      </c>
      <c r="P23">
        <v>296</v>
      </c>
      <c r="Q23">
        <v>224</v>
      </c>
    </row>
    <row r="24" spans="1:17" x14ac:dyDescent="0.35">
      <c r="A24" t="s">
        <v>138</v>
      </c>
      <c r="B24" t="s">
        <v>113</v>
      </c>
      <c r="C24">
        <v>2025</v>
      </c>
      <c r="D24">
        <v>11</v>
      </c>
      <c r="E24" t="s">
        <v>170</v>
      </c>
      <c r="F24">
        <v>7864</v>
      </c>
      <c r="G24">
        <v>6032</v>
      </c>
      <c r="H24">
        <v>7816</v>
      </c>
      <c r="I24">
        <v>5547</v>
      </c>
      <c r="J24">
        <v>1579</v>
      </c>
      <c r="K24">
        <v>1263</v>
      </c>
      <c r="L24">
        <v>1557</v>
      </c>
      <c r="M24">
        <v>1171</v>
      </c>
      <c r="N24">
        <v>1545</v>
      </c>
      <c r="O24">
        <v>1140</v>
      </c>
      <c r="P24">
        <v>1523</v>
      </c>
      <c r="Q24">
        <v>1052</v>
      </c>
    </row>
    <row r="25" spans="1:17" x14ac:dyDescent="0.35">
      <c r="B25" t="s">
        <v>113</v>
      </c>
      <c r="C25">
        <v>2025</v>
      </c>
      <c r="D25">
        <v>11</v>
      </c>
      <c r="E25" t="s">
        <v>170</v>
      </c>
      <c r="F25">
        <v>6302</v>
      </c>
      <c r="G25">
        <v>4779</v>
      </c>
      <c r="H25">
        <v>6258</v>
      </c>
      <c r="I25">
        <v>4605</v>
      </c>
      <c r="J25">
        <v>1248</v>
      </c>
      <c r="K25">
        <v>968</v>
      </c>
      <c r="L25">
        <v>1233</v>
      </c>
      <c r="M25">
        <v>948</v>
      </c>
      <c r="N25">
        <v>1214</v>
      </c>
      <c r="O25">
        <v>902</v>
      </c>
      <c r="P25">
        <v>1190</v>
      </c>
      <c r="Q25">
        <v>902</v>
      </c>
    </row>
    <row r="26" spans="1:17" x14ac:dyDescent="0.35">
      <c r="B26" t="s">
        <v>114</v>
      </c>
      <c r="C26">
        <v>2025</v>
      </c>
      <c r="D26">
        <v>11</v>
      </c>
      <c r="E26" t="s">
        <v>170</v>
      </c>
      <c r="F26">
        <v>3622</v>
      </c>
      <c r="G26">
        <v>2867</v>
      </c>
      <c r="H26">
        <v>3620</v>
      </c>
      <c r="I26">
        <v>2667</v>
      </c>
      <c r="J26">
        <v>757</v>
      </c>
      <c r="K26">
        <v>606</v>
      </c>
      <c r="L26">
        <v>757</v>
      </c>
      <c r="M26">
        <v>565</v>
      </c>
      <c r="N26">
        <v>752</v>
      </c>
      <c r="O26">
        <v>571</v>
      </c>
      <c r="P26">
        <v>750</v>
      </c>
      <c r="Q26">
        <v>530</v>
      </c>
    </row>
    <row r="27" spans="1:17" x14ac:dyDescent="0.35">
      <c r="A27" t="s">
        <v>138</v>
      </c>
      <c r="B27" t="s">
        <v>114</v>
      </c>
      <c r="C27">
        <v>2025</v>
      </c>
      <c r="D27">
        <v>11</v>
      </c>
      <c r="E27" t="s">
        <v>170</v>
      </c>
      <c r="F27">
        <v>4498</v>
      </c>
      <c r="G27">
        <v>3511</v>
      </c>
      <c r="H27">
        <v>4493</v>
      </c>
      <c r="I27">
        <v>3346</v>
      </c>
      <c r="J27">
        <v>942</v>
      </c>
      <c r="K27">
        <v>766</v>
      </c>
      <c r="L27">
        <v>941</v>
      </c>
      <c r="M27">
        <v>738</v>
      </c>
      <c r="N27">
        <v>938</v>
      </c>
      <c r="O27">
        <v>676</v>
      </c>
      <c r="P27">
        <v>937</v>
      </c>
      <c r="Q27">
        <v>633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C3"/>
  <sheetViews>
    <sheetView workbookViewId="0">
      <selection activeCell="B2" sqref="B2"/>
    </sheetView>
  </sheetViews>
  <sheetFormatPr defaultRowHeight="14.5" x14ac:dyDescent="0.35"/>
  <cols>
    <col min="2" max="2" width="13.26953125" customWidth="1"/>
  </cols>
  <sheetData>
    <row r="1" spans="1:3" x14ac:dyDescent="0.35">
      <c r="A1" s="258" t="s">
        <v>275</v>
      </c>
      <c r="B1" s="258" t="s">
        <v>277</v>
      </c>
    </row>
    <row r="2" spans="1:3" x14ac:dyDescent="0.35">
      <c r="A2" s="259" t="s">
        <v>278</v>
      </c>
      <c r="B2" s="269">
        <v>6.5710321193525696E-3</v>
      </c>
      <c r="C2" s="122"/>
    </row>
    <row r="3" spans="1:3" x14ac:dyDescent="0.35">
      <c r="A3" s="259" t="s">
        <v>279</v>
      </c>
      <c r="B3" s="268">
        <v>8.7616328436065395E-4</v>
      </c>
      <c r="C3" s="122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4"/>
  <dimension ref="A1:C3"/>
  <sheetViews>
    <sheetView workbookViewId="0">
      <selection activeCell="E18" sqref="E18"/>
    </sheetView>
  </sheetViews>
  <sheetFormatPr defaultRowHeight="14.5" x14ac:dyDescent="0.35"/>
  <cols>
    <col min="1" max="1" width="11.26953125" bestFit="1" customWidth="1"/>
    <col min="2" max="2" width="17" bestFit="1" customWidth="1"/>
    <col min="3" max="3" width="15" bestFit="1" customWidth="1"/>
  </cols>
  <sheetData>
    <row r="1" spans="1:3" x14ac:dyDescent="0.35">
      <c r="A1" t="s">
        <v>237</v>
      </c>
      <c r="B1" t="s">
        <v>272</v>
      </c>
      <c r="C1" t="s">
        <v>273</v>
      </c>
    </row>
    <row r="2" spans="1:3" x14ac:dyDescent="0.35">
      <c r="A2" t="s">
        <v>240</v>
      </c>
      <c r="B2">
        <v>2</v>
      </c>
      <c r="C2">
        <v>1</v>
      </c>
    </row>
    <row r="3" spans="1:3" x14ac:dyDescent="0.35">
      <c r="A3" t="s">
        <v>3</v>
      </c>
      <c r="B3">
        <v>3</v>
      </c>
      <c r="C3">
        <v>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5"/>
  <dimension ref="A1:A2"/>
  <sheetViews>
    <sheetView workbookViewId="0"/>
  </sheetViews>
  <sheetFormatPr defaultRowHeight="14.5" x14ac:dyDescent="0.35"/>
  <sheetData>
    <row r="1" spans="1:1" x14ac:dyDescent="0.35">
      <c r="A1" t="s">
        <v>280</v>
      </c>
    </row>
    <row r="2" spans="1:1" x14ac:dyDescent="0.35">
      <c r="A2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7"/>
  <dimension ref="A1:A2"/>
  <sheetViews>
    <sheetView workbookViewId="0">
      <selection activeCell="B4" sqref="B4"/>
    </sheetView>
  </sheetViews>
  <sheetFormatPr defaultRowHeight="14.5" x14ac:dyDescent="0.35"/>
  <sheetData>
    <row r="1" spans="1:1" x14ac:dyDescent="0.35">
      <c r="A1" t="s">
        <v>234</v>
      </c>
    </row>
    <row r="2" spans="1:1" x14ac:dyDescent="0.35">
      <c r="A2">
        <v>17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8"/>
  <dimension ref="A1:Z255"/>
  <sheetViews>
    <sheetView zoomScaleNormal="100" workbookViewId="0">
      <selection sqref="A1:Z215"/>
    </sheetView>
  </sheetViews>
  <sheetFormatPr defaultRowHeight="14.5" x14ac:dyDescent="0.35"/>
  <sheetData>
    <row r="1" spans="1:26" x14ac:dyDescent="0.35">
      <c r="A1" t="s">
        <v>241</v>
      </c>
      <c r="B1" t="s">
        <v>242</v>
      </c>
      <c r="C1" t="s">
        <v>243</v>
      </c>
      <c r="D1" t="s">
        <v>182</v>
      </c>
      <c r="E1" t="s">
        <v>185</v>
      </c>
      <c r="F1" t="s">
        <v>244</v>
      </c>
      <c r="G1" t="s">
        <v>245</v>
      </c>
      <c r="H1" t="s">
        <v>246</v>
      </c>
      <c r="I1" t="s">
        <v>247</v>
      </c>
      <c r="J1" t="s">
        <v>248</v>
      </c>
      <c r="K1" t="s">
        <v>249</v>
      </c>
      <c r="L1" t="s">
        <v>256</v>
      </c>
      <c r="M1" t="s">
        <v>187</v>
      </c>
      <c r="N1" t="s">
        <v>257</v>
      </c>
      <c r="O1" t="s">
        <v>258</v>
      </c>
      <c r="P1" t="s">
        <v>259</v>
      </c>
      <c r="Q1" t="s">
        <v>260</v>
      </c>
      <c r="R1" t="s">
        <v>281</v>
      </c>
      <c r="S1" t="s">
        <v>282</v>
      </c>
      <c r="T1" t="s">
        <v>283</v>
      </c>
      <c r="U1" t="s">
        <v>284</v>
      </c>
      <c r="V1" t="s">
        <v>285</v>
      </c>
      <c r="W1" t="s">
        <v>286</v>
      </c>
      <c r="X1" t="s">
        <v>261</v>
      </c>
      <c r="Y1" t="s">
        <v>262</v>
      </c>
      <c r="Z1" t="s">
        <v>287</v>
      </c>
    </row>
    <row r="2" spans="1:26" x14ac:dyDescent="0.35">
      <c r="A2" s="103" t="s">
        <v>263</v>
      </c>
      <c r="B2" t="s">
        <v>141</v>
      </c>
      <c r="C2" t="s">
        <v>288</v>
      </c>
      <c r="D2" t="s">
        <v>112</v>
      </c>
      <c r="E2" t="s">
        <v>170</v>
      </c>
      <c r="F2">
        <v>9</v>
      </c>
      <c r="G2">
        <v>0</v>
      </c>
      <c r="H2">
        <v>4</v>
      </c>
      <c r="I2">
        <v>6</v>
      </c>
      <c r="J2">
        <v>5</v>
      </c>
      <c r="K2">
        <v>5</v>
      </c>
      <c r="L2">
        <v>45</v>
      </c>
      <c r="M2">
        <v>1</v>
      </c>
      <c r="N2">
        <v>22</v>
      </c>
      <c r="O2" s="3">
        <v>29</v>
      </c>
      <c r="P2" s="3">
        <v>26</v>
      </c>
      <c r="Q2" s="3">
        <v>26</v>
      </c>
      <c r="R2" s="3">
        <v>2153</v>
      </c>
      <c r="S2" s="3">
        <v>2094</v>
      </c>
      <c r="T2" s="3">
        <v>1298</v>
      </c>
      <c r="U2" s="3">
        <v>1602</v>
      </c>
      <c r="V2" s="3">
        <v>1426</v>
      </c>
      <c r="W2" s="3">
        <v>1426</v>
      </c>
      <c r="X2" s="3">
        <v>9</v>
      </c>
      <c r="Y2">
        <v>45</v>
      </c>
      <c r="Z2">
        <v>2155</v>
      </c>
    </row>
    <row r="3" spans="1:26" x14ac:dyDescent="0.35">
      <c r="A3" s="103" t="s">
        <v>263</v>
      </c>
      <c r="B3" t="s">
        <v>141</v>
      </c>
      <c r="C3" t="s">
        <v>289</v>
      </c>
      <c r="D3" t="s">
        <v>112</v>
      </c>
      <c r="E3" t="s">
        <v>170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s="3">
        <v>0</v>
      </c>
      <c r="P3" s="3">
        <v>0</v>
      </c>
      <c r="Q3" s="3">
        <v>0</v>
      </c>
      <c r="R3" s="3">
        <v>317</v>
      </c>
      <c r="S3" s="3">
        <v>310</v>
      </c>
      <c r="T3" s="3">
        <v>220</v>
      </c>
      <c r="U3" s="3">
        <v>266</v>
      </c>
      <c r="V3" s="3">
        <v>244</v>
      </c>
      <c r="W3" s="3">
        <v>244</v>
      </c>
      <c r="X3" s="3">
        <v>0</v>
      </c>
      <c r="Y3">
        <v>0</v>
      </c>
      <c r="Z3">
        <v>316</v>
      </c>
    </row>
    <row r="4" spans="1:26" x14ac:dyDescent="0.35">
      <c r="A4" s="103" t="s">
        <v>263</v>
      </c>
      <c r="B4" t="s">
        <v>141</v>
      </c>
      <c r="C4" t="s">
        <v>290</v>
      </c>
      <c r="D4" t="s">
        <v>112</v>
      </c>
      <c r="E4" t="s">
        <v>170</v>
      </c>
      <c r="F4">
        <v>2</v>
      </c>
      <c r="G4">
        <v>0</v>
      </c>
      <c r="H4">
        <v>0</v>
      </c>
      <c r="I4">
        <v>0</v>
      </c>
      <c r="J4">
        <v>1</v>
      </c>
      <c r="K4">
        <v>1</v>
      </c>
      <c r="L4">
        <v>9</v>
      </c>
      <c r="M4">
        <v>0</v>
      </c>
      <c r="N4">
        <v>2</v>
      </c>
      <c r="O4">
        <v>2</v>
      </c>
      <c r="P4">
        <v>4</v>
      </c>
      <c r="Q4">
        <v>4</v>
      </c>
      <c r="R4">
        <v>881</v>
      </c>
      <c r="S4">
        <v>856</v>
      </c>
      <c r="T4">
        <v>522</v>
      </c>
      <c r="U4">
        <v>642</v>
      </c>
      <c r="V4">
        <v>640</v>
      </c>
      <c r="W4">
        <v>640</v>
      </c>
      <c r="X4">
        <v>2</v>
      </c>
      <c r="Y4">
        <v>9</v>
      </c>
      <c r="Z4">
        <v>878</v>
      </c>
    </row>
    <row r="5" spans="1:26" x14ac:dyDescent="0.35">
      <c r="A5" s="103" t="s">
        <v>263</v>
      </c>
      <c r="B5" t="s">
        <v>141</v>
      </c>
      <c r="C5" t="s">
        <v>291</v>
      </c>
      <c r="D5" t="s">
        <v>112</v>
      </c>
      <c r="E5" t="s">
        <v>170</v>
      </c>
      <c r="F5">
        <v>3</v>
      </c>
      <c r="G5">
        <v>0</v>
      </c>
      <c r="H5">
        <v>0</v>
      </c>
      <c r="I5">
        <v>1</v>
      </c>
      <c r="J5">
        <v>1</v>
      </c>
      <c r="K5">
        <v>1</v>
      </c>
      <c r="L5">
        <v>15</v>
      </c>
      <c r="M5">
        <v>0</v>
      </c>
      <c r="N5">
        <v>8</v>
      </c>
      <c r="O5" s="3">
        <v>10</v>
      </c>
      <c r="P5" s="3">
        <v>8</v>
      </c>
      <c r="Q5" s="3">
        <v>8</v>
      </c>
      <c r="R5" s="3">
        <v>962</v>
      </c>
      <c r="S5" s="3">
        <v>950</v>
      </c>
      <c r="T5" s="3">
        <v>521</v>
      </c>
      <c r="U5" s="3">
        <v>661</v>
      </c>
      <c r="V5" s="3">
        <v>635</v>
      </c>
      <c r="W5" s="3">
        <v>635</v>
      </c>
      <c r="X5" s="3">
        <v>3</v>
      </c>
      <c r="Y5">
        <v>15</v>
      </c>
      <c r="Z5">
        <v>962</v>
      </c>
    </row>
    <row r="6" spans="1:26" x14ac:dyDescent="0.35">
      <c r="A6" s="103" t="s">
        <v>263</v>
      </c>
      <c r="B6" t="s">
        <v>140</v>
      </c>
      <c r="C6" t="s">
        <v>292</v>
      </c>
      <c r="D6" t="s">
        <v>112</v>
      </c>
      <c r="E6" t="s">
        <v>170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1</v>
      </c>
      <c r="M6">
        <v>0</v>
      </c>
      <c r="N6">
        <v>1</v>
      </c>
      <c r="O6">
        <v>1</v>
      </c>
      <c r="P6">
        <v>1</v>
      </c>
      <c r="Q6">
        <v>1</v>
      </c>
      <c r="R6">
        <v>21</v>
      </c>
      <c r="S6">
        <v>21</v>
      </c>
      <c r="T6">
        <v>11</v>
      </c>
      <c r="U6">
        <v>16</v>
      </c>
      <c r="V6">
        <v>18</v>
      </c>
      <c r="W6">
        <v>18</v>
      </c>
      <c r="X6">
        <v>0</v>
      </c>
      <c r="Y6">
        <v>1</v>
      </c>
      <c r="Z6">
        <v>21</v>
      </c>
    </row>
    <row r="7" spans="1:26" x14ac:dyDescent="0.35">
      <c r="A7" s="103" t="s">
        <v>263</v>
      </c>
      <c r="B7" t="s">
        <v>141</v>
      </c>
      <c r="C7" t="s">
        <v>293</v>
      </c>
      <c r="D7" t="s">
        <v>112</v>
      </c>
      <c r="E7" t="s">
        <v>170</v>
      </c>
      <c r="F7">
        <v>4</v>
      </c>
      <c r="G7">
        <v>0</v>
      </c>
      <c r="H7">
        <v>1</v>
      </c>
      <c r="I7">
        <v>2</v>
      </c>
      <c r="J7">
        <v>3</v>
      </c>
      <c r="K7">
        <v>3</v>
      </c>
      <c r="L7">
        <v>20</v>
      </c>
      <c r="M7">
        <v>0</v>
      </c>
      <c r="N7">
        <v>12</v>
      </c>
      <c r="O7" s="3">
        <v>18</v>
      </c>
      <c r="P7" s="3">
        <v>19</v>
      </c>
      <c r="Q7" s="3">
        <v>19</v>
      </c>
      <c r="R7" s="3">
        <v>1211</v>
      </c>
      <c r="S7" s="3">
        <v>1211</v>
      </c>
      <c r="T7" s="3">
        <v>666</v>
      </c>
      <c r="U7" s="3">
        <v>926</v>
      </c>
      <c r="V7" s="3">
        <v>978</v>
      </c>
      <c r="W7" s="3">
        <v>980</v>
      </c>
      <c r="X7" s="3">
        <v>4</v>
      </c>
      <c r="Y7">
        <v>20</v>
      </c>
      <c r="Z7">
        <v>1211</v>
      </c>
    </row>
    <row r="8" spans="1:26" x14ac:dyDescent="0.35">
      <c r="A8" s="103" t="s">
        <v>263</v>
      </c>
      <c r="B8" t="s">
        <v>141</v>
      </c>
      <c r="C8" t="s">
        <v>294</v>
      </c>
      <c r="D8" t="s">
        <v>112</v>
      </c>
      <c r="E8" t="s">
        <v>170</v>
      </c>
      <c r="F8">
        <v>5</v>
      </c>
      <c r="G8">
        <v>0</v>
      </c>
      <c r="H8">
        <v>4</v>
      </c>
      <c r="I8">
        <v>5</v>
      </c>
      <c r="J8">
        <v>4</v>
      </c>
      <c r="K8">
        <v>4</v>
      </c>
      <c r="L8">
        <v>22</v>
      </c>
      <c r="M8">
        <v>0</v>
      </c>
      <c r="N8">
        <v>19</v>
      </c>
      <c r="O8" s="3">
        <v>21</v>
      </c>
      <c r="P8" s="3">
        <v>16</v>
      </c>
      <c r="Q8" s="3">
        <v>16</v>
      </c>
      <c r="R8" s="3">
        <v>1624</v>
      </c>
      <c r="S8" s="3">
        <v>1602</v>
      </c>
      <c r="T8" s="3">
        <v>1159</v>
      </c>
      <c r="U8" s="3">
        <v>1356</v>
      </c>
      <c r="V8" s="3">
        <v>1324</v>
      </c>
      <c r="W8" s="3">
        <v>1324</v>
      </c>
      <c r="X8" s="3">
        <v>5</v>
      </c>
      <c r="Y8">
        <v>22</v>
      </c>
      <c r="Z8">
        <v>1623</v>
      </c>
    </row>
    <row r="9" spans="1:26" x14ac:dyDescent="0.35">
      <c r="A9" s="103" t="s">
        <v>263</v>
      </c>
      <c r="B9" t="s">
        <v>141</v>
      </c>
      <c r="C9" t="s">
        <v>295</v>
      </c>
      <c r="D9" t="s">
        <v>112</v>
      </c>
      <c r="E9" t="s">
        <v>170</v>
      </c>
      <c r="F9">
        <v>3</v>
      </c>
      <c r="G9">
        <v>0</v>
      </c>
      <c r="H9">
        <v>2</v>
      </c>
      <c r="I9">
        <v>3</v>
      </c>
      <c r="J9">
        <v>3</v>
      </c>
      <c r="K9">
        <v>3</v>
      </c>
      <c r="L9">
        <v>15</v>
      </c>
      <c r="M9">
        <v>0</v>
      </c>
      <c r="N9">
        <v>2</v>
      </c>
      <c r="O9">
        <v>9</v>
      </c>
      <c r="P9">
        <v>7</v>
      </c>
      <c r="Q9">
        <v>7</v>
      </c>
      <c r="R9">
        <v>1763</v>
      </c>
      <c r="S9">
        <v>1698</v>
      </c>
      <c r="T9">
        <v>1142</v>
      </c>
      <c r="U9">
        <v>1382</v>
      </c>
      <c r="V9">
        <v>1281</v>
      </c>
      <c r="W9">
        <v>1281</v>
      </c>
      <c r="X9">
        <v>3</v>
      </c>
      <c r="Y9">
        <v>15</v>
      </c>
      <c r="Z9">
        <v>1761</v>
      </c>
    </row>
    <row r="10" spans="1:26" x14ac:dyDescent="0.35">
      <c r="A10" s="103" t="s">
        <v>263</v>
      </c>
      <c r="B10" t="s">
        <v>141</v>
      </c>
      <c r="C10" t="s">
        <v>296</v>
      </c>
      <c r="D10" t="s">
        <v>112</v>
      </c>
      <c r="E10" t="s">
        <v>170</v>
      </c>
      <c r="F10">
        <v>3</v>
      </c>
      <c r="G10">
        <v>0</v>
      </c>
      <c r="H10">
        <v>1</v>
      </c>
      <c r="I10">
        <v>1</v>
      </c>
      <c r="J10">
        <v>3</v>
      </c>
      <c r="K10">
        <v>3</v>
      </c>
      <c r="L10">
        <v>19</v>
      </c>
      <c r="M10">
        <v>0</v>
      </c>
      <c r="N10">
        <v>15</v>
      </c>
      <c r="O10" s="3">
        <v>16</v>
      </c>
      <c r="P10" s="3">
        <v>15</v>
      </c>
      <c r="Q10" s="3">
        <v>15</v>
      </c>
      <c r="R10" s="3">
        <v>1034</v>
      </c>
      <c r="S10" s="3">
        <v>1023</v>
      </c>
      <c r="T10" s="3">
        <v>683</v>
      </c>
      <c r="U10" s="3">
        <v>834</v>
      </c>
      <c r="V10" s="3">
        <v>803</v>
      </c>
      <c r="W10" s="3">
        <v>804</v>
      </c>
      <c r="X10" s="3">
        <v>3</v>
      </c>
      <c r="Y10">
        <v>20</v>
      </c>
      <c r="Z10">
        <v>1035</v>
      </c>
    </row>
    <row r="11" spans="1:26" x14ac:dyDescent="0.35">
      <c r="A11" s="103" t="s">
        <v>263</v>
      </c>
      <c r="B11" t="s">
        <v>140</v>
      </c>
      <c r="C11" t="s">
        <v>297</v>
      </c>
      <c r="D11" t="s">
        <v>112</v>
      </c>
      <c r="E11" t="s">
        <v>170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2</v>
      </c>
      <c r="M11">
        <v>0</v>
      </c>
      <c r="N11">
        <v>1</v>
      </c>
      <c r="O11">
        <v>2</v>
      </c>
      <c r="P11">
        <v>1</v>
      </c>
      <c r="Q11">
        <v>1</v>
      </c>
      <c r="R11">
        <v>34</v>
      </c>
      <c r="S11">
        <v>34</v>
      </c>
      <c r="T11">
        <v>19</v>
      </c>
      <c r="U11">
        <v>28</v>
      </c>
      <c r="V11">
        <v>16</v>
      </c>
      <c r="W11">
        <v>16</v>
      </c>
      <c r="X11">
        <v>0</v>
      </c>
      <c r="Y11">
        <v>2</v>
      </c>
      <c r="Z11">
        <v>34</v>
      </c>
    </row>
    <row r="12" spans="1:26" x14ac:dyDescent="0.35">
      <c r="A12" s="103" t="s">
        <v>263</v>
      </c>
      <c r="B12" t="s">
        <v>141</v>
      </c>
      <c r="C12" t="s">
        <v>298</v>
      </c>
      <c r="D12" t="s">
        <v>112</v>
      </c>
      <c r="E12" t="s">
        <v>170</v>
      </c>
      <c r="F12">
        <v>6</v>
      </c>
      <c r="G12">
        <v>0</v>
      </c>
      <c r="H12">
        <v>2</v>
      </c>
      <c r="I12">
        <v>3</v>
      </c>
      <c r="J12">
        <v>3</v>
      </c>
      <c r="K12">
        <v>3</v>
      </c>
      <c r="L12">
        <v>30</v>
      </c>
      <c r="M12">
        <v>0</v>
      </c>
      <c r="N12">
        <v>13</v>
      </c>
      <c r="O12">
        <v>19</v>
      </c>
      <c r="P12">
        <v>15</v>
      </c>
      <c r="Q12">
        <v>15</v>
      </c>
      <c r="R12">
        <v>1869</v>
      </c>
      <c r="S12">
        <v>1861</v>
      </c>
      <c r="T12">
        <v>1226</v>
      </c>
      <c r="U12">
        <v>1502</v>
      </c>
      <c r="V12">
        <v>1361</v>
      </c>
      <c r="W12">
        <v>1362</v>
      </c>
      <c r="X12">
        <v>6</v>
      </c>
      <c r="Y12">
        <v>30</v>
      </c>
      <c r="Z12">
        <v>1870</v>
      </c>
    </row>
    <row r="13" spans="1:26" x14ac:dyDescent="0.35">
      <c r="A13" s="103" t="s">
        <v>263</v>
      </c>
      <c r="B13" t="s">
        <v>141</v>
      </c>
      <c r="C13" t="s">
        <v>299</v>
      </c>
      <c r="D13" t="s">
        <v>112</v>
      </c>
      <c r="E13" t="s">
        <v>170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137</v>
      </c>
      <c r="S13">
        <v>135</v>
      </c>
      <c r="T13">
        <v>80</v>
      </c>
      <c r="U13">
        <v>97</v>
      </c>
      <c r="V13">
        <v>84</v>
      </c>
      <c r="W13">
        <v>84</v>
      </c>
      <c r="X13">
        <v>0</v>
      </c>
      <c r="Y13">
        <v>0</v>
      </c>
      <c r="Z13">
        <v>137</v>
      </c>
    </row>
    <row r="14" spans="1:26" x14ac:dyDescent="0.35">
      <c r="A14" s="103" t="s">
        <v>263</v>
      </c>
      <c r="B14" t="s">
        <v>141</v>
      </c>
      <c r="C14" t="s">
        <v>300</v>
      </c>
      <c r="D14" t="s">
        <v>112</v>
      </c>
      <c r="E14" t="s">
        <v>170</v>
      </c>
      <c r="F14">
        <v>9</v>
      </c>
      <c r="G14">
        <v>0</v>
      </c>
      <c r="H14">
        <v>4</v>
      </c>
      <c r="I14">
        <v>4</v>
      </c>
      <c r="J14">
        <v>5</v>
      </c>
      <c r="K14">
        <v>5</v>
      </c>
      <c r="L14">
        <v>43</v>
      </c>
      <c r="M14">
        <v>1</v>
      </c>
      <c r="N14">
        <v>19</v>
      </c>
      <c r="O14">
        <v>31</v>
      </c>
      <c r="P14">
        <v>29</v>
      </c>
      <c r="Q14">
        <v>29</v>
      </c>
      <c r="R14">
        <v>2866</v>
      </c>
      <c r="S14">
        <v>2814</v>
      </c>
      <c r="T14">
        <v>1711</v>
      </c>
      <c r="U14">
        <v>2121</v>
      </c>
      <c r="V14">
        <v>2118</v>
      </c>
      <c r="W14">
        <v>2118</v>
      </c>
      <c r="X14">
        <v>9</v>
      </c>
      <c r="Y14">
        <v>43</v>
      </c>
      <c r="Z14">
        <v>2873</v>
      </c>
    </row>
    <row r="15" spans="1:26" x14ac:dyDescent="0.35">
      <c r="A15" s="103" t="s">
        <v>263</v>
      </c>
      <c r="B15" t="s">
        <v>141</v>
      </c>
      <c r="C15" t="s">
        <v>301</v>
      </c>
      <c r="D15" t="s">
        <v>112</v>
      </c>
      <c r="E15" t="s">
        <v>170</v>
      </c>
      <c r="F15">
        <v>2</v>
      </c>
      <c r="G15">
        <v>0</v>
      </c>
      <c r="H15">
        <v>1</v>
      </c>
      <c r="I15">
        <v>1</v>
      </c>
      <c r="J15">
        <v>2</v>
      </c>
      <c r="K15">
        <v>2</v>
      </c>
      <c r="L15">
        <v>10</v>
      </c>
      <c r="M15">
        <v>0</v>
      </c>
      <c r="N15">
        <v>8</v>
      </c>
      <c r="O15">
        <v>9</v>
      </c>
      <c r="P15">
        <v>10</v>
      </c>
      <c r="Q15">
        <v>10</v>
      </c>
      <c r="R15">
        <v>637</v>
      </c>
      <c r="S15">
        <v>619</v>
      </c>
      <c r="T15">
        <v>347</v>
      </c>
      <c r="U15">
        <v>429</v>
      </c>
      <c r="V15">
        <v>484</v>
      </c>
      <c r="W15">
        <v>484</v>
      </c>
      <c r="X15">
        <v>2</v>
      </c>
      <c r="Y15">
        <v>10</v>
      </c>
      <c r="Z15">
        <v>637</v>
      </c>
    </row>
    <row r="16" spans="1:26" x14ac:dyDescent="0.35">
      <c r="A16" s="103" t="s">
        <v>263</v>
      </c>
      <c r="B16" t="s">
        <v>141</v>
      </c>
      <c r="C16" t="s">
        <v>302</v>
      </c>
      <c r="D16" t="s">
        <v>112</v>
      </c>
      <c r="E16" t="s">
        <v>170</v>
      </c>
      <c r="F16">
        <v>1</v>
      </c>
      <c r="G16">
        <v>0</v>
      </c>
      <c r="H16">
        <v>1</v>
      </c>
      <c r="I16">
        <v>1</v>
      </c>
      <c r="J16">
        <v>0</v>
      </c>
      <c r="K16">
        <v>0</v>
      </c>
      <c r="L16">
        <v>8</v>
      </c>
      <c r="M16">
        <v>0</v>
      </c>
      <c r="N16">
        <v>8</v>
      </c>
      <c r="O16">
        <v>8</v>
      </c>
      <c r="P16">
        <v>5</v>
      </c>
      <c r="Q16">
        <v>5</v>
      </c>
      <c r="R16">
        <v>529</v>
      </c>
      <c r="S16">
        <v>524</v>
      </c>
      <c r="T16">
        <v>338</v>
      </c>
      <c r="U16">
        <v>404</v>
      </c>
      <c r="V16">
        <v>403</v>
      </c>
      <c r="W16">
        <v>403</v>
      </c>
      <c r="X16">
        <v>1</v>
      </c>
      <c r="Y16">
        <v>8</v>
      </c>
      <c r="Z16">
        <v>529</v>
      </c>
    </row>
    <row r="17" spans="1:26" x14ac:dyDescent="0.35">
      <c r="A17" s="103" t="s">
        <v>263</v>
      </c>
      <c r="B17" t="s">
        <v>141</v>
      </c>
      <c r="C17" t="s">
        <v>303</v>
      </c>
      <c r="D17" t="s">
        <v>112</v>
      </c>
      <c r="E17" t="s">
        <v>170</v>
      </c>
      <c r="F17">
        <v>10</v>
      </c>
      <c r="G17">
        <v>0</v>
      </c>
      <c r="H17">
        <v>7</v>
      </c>
      <c r="I17">
        <v>10</v>
      </c>
      <c r="J17">
        <v>9</v>
      </c>
      <c r="K17">
        <v>9</v>
      </c>
      <c r="L17">
        <v>52</v>
      </c>
      <c r="M17">
        <v>0</v>
      </c>
      <c r="N17">
        <v>38</v>
      </c>
      <c r="O17">
        <v>43</v>
      </c>
      <c r="P17">
        <v>42</v>
      </c>
      <c r="Q17">
        <v>42</v>
      </c>
      <c r="R17">
        <v>2798</v>
      </c>
      <c r="S17">
        <v>2766</v>
      </c>
      <c r="T17">
        <v>1869</v>
      </c>
      <c r="U17">
        <v>2203</v>
      </c>
      <c r="V17">
        <v>2116</v>
      </c>
      <c r="W17">
        <v>2117</v>
      </c>
      <c r="X17">
        <v>10</v>
      </c>
      <c r="Y17">
        <v>52</v>
      </c>
      <c r="Z17">
        <v>2799</v>
      </c>
    </row>
    <row r="18" spans="1:26" x14ac:dyDescent="0.35">
      <c r="A18" s="103" t="s">
        <v>263</v>
      </c>
      <c r="B18" t="s">
        <v>141</v>
      </c>
      <c r="C18" t="s">
        <v>304</v>
      </c>
      <c r="D18" t="s">
        <v>112</v>
      </c>
      <c r="E18" t="s">
        <v>170</v>
      </c>
      <c r="F18">
        <v>2</v>
      </c>
      <c r="G18">
        <v>0</v>
      </c>
      <c r="H18">
        <v>2</v>
      </c>
      <c r="I18">
        <v>2</v>
      </c>
      <c r="J18">
        <v>2</v>
      </c>
      <c r="K18">
        <v>2</v>
      </c>
      <c r="L18">
        <v>8</v>
      </c>
      <c r="M18">
        <v>0</v>
      </c>
      <c r="N18">
        <v>8</v>
      </c>
      <c r="O18">
        <v>8</v>
      </c>
      <c r="P18">
        <v>8</v>
      </c>
      <c r="Q18">
        <v>8</v>
      </c>
      <c r="R18">
        <v>530</v>
      </c>
      <c r="S18">
        <v>514</v>
      </c>
      <c r="T18">
        <v>330</v>
      </c>
      <c r="U18">
        <v>399</v>
      </c>
      <c r="V18">
        <v>366</v>
      </c>
      <c r="W18">
        <v>366</v>
      </c>
      <c r="X18">
        <v>2</v>
      </c>
      <c r="Y18">
        <v>8</v>
      </c>
      <c r="Z18">
        <v>530</v>
      </c>
    </row>
    <row r="19" spans="1:26" x14ac:dyDescent="0.35">
      <c r="A19" s="103" t="s">
        <v>263</v>
      </c>
      <c r="B19" t="s">
        <v>141</v>
      </c>
      <c r="C19" t="s">
        <v>305</v>
      </c>
      <c r="D19" t="s">
        <v>112</v>
      </c>
      <c r="E19" t="s">
        <v>170</v>
      </c>
      <c r="F19">
        <v>17</v>
      </c>
      <c r="G19">
        <v>0</v>
      </c>
      <c r="H19">
        <v>14</v>
      </c>
      <c r="I19">
        <v>16</v>
      </c>
      <c r="J19">
        <v>12</v>
      </c>
      <c r="K19">
        <v>12</v>
      </c>
      <c r="L19">
        <v>82</v>
      </c>
      <c r="M19">
        <v>1</v>
      </c>
      <c r="N19">
        <v>53</v>
      </c>
      <c r="O19">
        <v>67</v>
      </c>
      <c r="P19">
        <v>62</v>
      </c>
      <c r="Q19">
        <v>62</v>
      </c>
      <c r="R19">
        <v>5173</v>
      </c>
      <c r="S19">
        <v>5060</v>
      </c>
      <c r="T19">
        <v>3495</v>
      </c>
      <c r="U19">
        <v>4160</v>
      </c>
      <c r="V19">
        <v>4042</v>
      </c>
      <c r="W19">
        <v>4042</v>
      </c>
      <c r="X19">
        <v>17</v>
      </c>
      <c r="Y19">
        <v>82</v>
      </c>
      <c r="Z19">
        <v>5170</v>
      </c>
    </row>
    <row r="20" spans="1:26" x14ac:dyDescent="0.35">
      <c r="A20" s="103" t="s">
        <v>263</v>
      </c>
      <c r="B20" t="s">
        <v>141</v>
      </c>
      <c r="C20" t="s">
        <v>306</v>
      </c>
      <c r="D20" t="s">
        <v>112</v>
      </c>
      <c r="E20" t="s">
        <v>170</v>
      </c>
      <c r="F20">
        <v>4</v>
      </c>
      <c r="G20">
        <v>0</v>
      </c>
      <c r="H20">
        <v>4</v>
      </c>
      <c r="I20">
        <v>4</v>
      </c>
      <c r="J20">
        <v>4</v>
      </c>
      <c r="K20">
        <v>4</v>
      </c>
      <c r="L20">
        <v>22</v>
      </c>
      <c r="M20">
        <v>0</v>
      </c>
      <c r="N20">
        <v>11</v>
      </c>
      <c r="O20">
        <v>18</v>
      </c>
      <c r="P20">
        <v>17</v>
      </c>
      <c r="Q20">
        <v>17</v>
      </c>
      <c r="R20">
        <v>1500</v>
      </c>
      <c r="S20">
        <v>1475</v>
      </c>
      <c r="T20">
        <v>883</v>
      </c>
      <c r="U20">
        <v>1137</v>
      </c>
      <c r="V20">
        <v>1114</v>
      </c>
      <c r="W20">
        <v>1114</v>
      </c>
      <c r="X20">
        <v>4</v>
      </c>
      <c r="Y20">
        <v>22</v>
      </c>
      <c r="Z20">
        <v>1499</v>
      </c>
    </row>
    <row r="21" spans="1:26" x14ac:dyDescent="0.35">
      <c r="A21" s="103" t="s">
        <v>263</v>
      </c>
      <c r="B21" t="s">
        <v>141</v>
      </c>
      <c r="C21" t="s">
        <v>307</v>
      </c>
      <c r="D21" t="s">
        <v>112</v>
      </c>
      <c r="E21" t="s">
        <v>170</v>
      </c>
      <c r="F21">
        <v>6</v>
      </c>
      <c r="G21">
        <v>0</v>
      </c>
      <c r="H21">
        <v>4</v>
      </c>
      <c r="I21">
        <v>5</v>
      </c>
      <c r="J21">
        <v>6</v>
      </c>
      <c r="K21">
        <v>6</v>
      </c>
      <c r="L21">
        <v>30</v>
      </c>
      <c r="M21">
        <v>0</v>
      </c>
      <c r="N21">
        <v>17</v>
      </c>
      <c r="O21">
        <v>23</v>
      </c>
      <c r="P21">
        <v>28</v>
      </c>
      <c r="Q21">
        <v>28</v>
      </c>
      <c r="R21">
        <v>1702</v>
      </c>
      <c r="S21">
        <v>1690</v>
      </c>
      <c r="T21">
        <v>985</v>
      </c>
      <c r="U21">
        <v>1229</v>
      </c>
      <c r="V21">
        <v>1218</v>
      </c>
      <c r="W21">
        <v>1218</v>
      </c>
      <c r="X21">
        <v>6</v>
      </c>
      <c r="Y21">
        <v>30</v>
      </c>
      <c r="Z21">
        <v>1702</v>
      </c>
    </row>
    <row r="22" spans="1:26" x14ac:dyDescent="0.35">
      <c r="A22" s="103" t="s">
        <v>263</v>
      </c>
      <c r="B22" t="s">
        <v>141</v>
      </c>
      <c r="C22" t="s">
        <v>308</v>
      </c>
      <c r="D22" t="s">
        <v>112</v>
      </c>
      <c r="E22" t="s">
        <v>170</v>
      </c>
      <c r="F22">
        <v>9</v>
      </c>
      <c r="G22">
        <v>0</v>
      </c>
      <c r="H22">
        <v>4</v>
      </c>
      <c r="I22">
        <v>7</v>
      </c>
      <c r="J22">
        <v>9</v>
      </c>
      <c r="K22">
        <v>9</v>
      </c>
      <c r="L22">
        <v>42</v>
      </c>
      <c r="M22">
        <v>1</v>
      </c>
      <c r="N22">
        <v>22</v>
      </c>
      <c r="O22">
        <v>32</v>
      </c>
      <c r="P22">
        <v>29</v>
      </c>
      <c r="Q22">
        <v>29</v>
      </c>
      <c r="R22">
        <v>2355</v>
      </c>
      <c r="S22">
        <v>2297</v>
      </c>
      <c r="T22">
        <v>1461</v>
      </c>
      <c r="U22">
        <v>1830</v>
      </c>
      <c r="V22">
        <v>1704</v>
      </c>
      <c r="W22">
        <v>1704</v>
      </c>
      <c r="X22">
        <v>9</v>
      </c>
      <c r="Y22">
        <v>42</v>
      </c>
      <c r="Z22">
        <v>2350</v>
      </c>
    </row>
    <row r="23" spans="1:26" x14ac:dyDescent="0.35">
      <c r="A23" s="103" t="s">
        <v>263</v>
      </c>
      <c r="B23" t="s">
        <v>141</v>
      </c>
      <c r="C23" t="s">
        <v>309</v>
      </c>
      <c r="D23" t="s">
        <v>112</v>
      </c>
      <c r="E23" t="s">
        <v>170</v>
      </c>
      <c r="F23">
        <v>9</v>
      </c>
      <c r="G23">
        <v>0</v>
      </c>
      <c r="H23">
        <v>7</v>
      </c>
      <c r="I23">
        <v>8</v>
      </c>
      <c r="J23">
        <v>8</v>
      </c>
      <c r="K23">
        <v>8</v>
      </c>
      <c r="L23">
        <v>46</v>
      </c>
      <c r="M23">
        <v>0</v>
      </c>
      <c r="N23">
        <v>34</v>
      </c>
      <c r="O23">
        <v>39</v>
      </c>
      <c r="P23">
        <v>42</v>
      </c>
      <c r="Q23">
        <v>42</v>
      </c>
      <c r="R23">
        <v>2907</v>
      </c>
      <c r="S23">
        <v>2857</v>
      </c>
      <c r="T23">
        <v>1950</v>
      </c>
      <c r="U23">
        <v>2315</v>
      </c>
      <c r="V23">
        <v>2225</v>
      </c>
      <c r="W23">
        <v>2225</v>
      </c>
      <c r="X23">
        <v>9</v>
      </c>
      <c r="Y23">
        <v>46</v>
      </c>
      <c r="Z23">
        <v>2907</v>
      </c>
    </row>
    <row r="24" spans="1:26" x14ac:dyDescent="0.35">
      <c r="A24" s="103" t="s">
        <v>263</v>
      </c>
      <c r="B24" t="s">
        <v>141</v>
      </c>
      <c r="C24" t="s">
        <v>310</v>
      </c>
      <c r="D24" t="s">
        <v>112</v>
      </c>
      <c r="E24" t="s">
        <v>170</v>
      </c>
      <c r="F24">
        <v>2</v>
      </c>
      <c r="G24">
        <v>0</v>
      </c>
      <c r="H24">
        <v>1</v>
      </c>
      <c r="I24">
        <v>1</v>
      </c>
      <c r="J24">
        <v>2</v>
      </c>
      <c r="K24">
        <v>2</v>
      </c>
      <c r="L24">
        <v>8</v>
      </c>
      <c r="M24">
        <v>0</v>
      </c>
      <c r="N24">
        <v>7</v>
      </c>
      <c r="O24">
        <v>7</v>
      </c>
      <c r="P24">
        <v>8</v>
      </c>
      <c r="Q24">
        <v>8</v>
      </c>
      <c r="R24">
        <v>530</v>
      </c>
      <c r="S24">
        <v>518</v>
      </c>
      <c r="T24">
        <v>346</v>
      </c>
      <c r="U24">
        <v>380</v>
      </c>
      <c r="V24">
        <v>387</v>
      </c>
      <c r="W24">
        <v>387</v>
      </c>
      <c r="X24">
        <v>2</v>
      </c>
      <c r="Y24">
        <v>8</v>
      </c>
      <c r="Z24">
        <v>530</v>
      </c>
    </row>
    <row r="25" spans="1:26" x14ac:dyDescent="0.35">
      <c r="A25" s="103" t="s">
        <v>263</v>
      </c>
      <c r="B25" t="s">
        <v>141</v>
      </c>
      <c r="C25" t="s">
        <v>311</v>
      </c>
      <c r="D25" t="s">
        <v>112</v>
      </c>
      <c r="E25" t="s">
        <v>170</v>
      </c>
      <c r="F25">
        <v>9</v>
      </c>
      <c r="G25">
        <v>0</v>
      </c>
      <c r="H25">
        <v>3</v>
      </c>
      <c r="I25">
        <v>7</v>
      </c>
      <c r="J25">
        <v>5</v>
      </c>
      <c r="K25">
        <v>5</v>
      </c>
      <c r="L25">
        <v>47</v>
      </c>
      <c r="M25">
        <v>0</v>
      </c>
      <c r="N25">
        <v>30</v>
      </c>
      <c r="O25">
        <v>40</v>
      </c>
      <c r="P25">
        <v>35</v>
      </c>
      <c r="Q25">
        <v>35</v>
      </c>
      <c r="R25">
        <v>2671</v>
      </c>
      <c r="S25">
        <v>2667</v>
      </c>
      <c r="T25">
        <v>1855</v>
      </c>
      <c r="U25">
        <v>2265</v>
      </c>
      <c r="V25">
        <v>2093</v>
      </c>
      <c r="W25">
        <v>2094</v>
      </c>
      <c r="X25">
        <v>9</v>
      </c>
      <c r="Y25">
        <v>47</v>
      </c>
      <c r="Z25">
        <v>2672</v>
      </c>
    </row>
    <row r="26" spans="1:26" x14ac:dyDescent="0.35">
      <c r="A26" s="103" t="s">
        <v>263</v>
      </c>
      <c r="B26" t="s">
        <v>141</v>
      </c>
      <c r="C26" t="s">
        <v>312</v>
      </c>
      <c r="D26" t="s">
        <v>112</v>
      </c>
      <c r="E26" t="s">
        <v>170</v>
      </c>
      <c r="F26">
        <v>1</v>
      </c>
      <c r="G26">
        <v>0</v>
      </c>
      <c r="H26">
        <v>1</v>
      </c>
      <c r="I26">
        <v>1</v>
      </c>
      <c r="J26">
        <v>1</v>
      </c>
      <c r="K26">
        <v>1</v>
      </c>
      <c r="L26">
        <v>5</v>
      </c>
      <c r="M26">
        <v>0</v>
      </c>
      <c r="N26">
        <v>4</v>
      </c>
      <c r="O26">
        <v>5</v>
      </c>
      <c r="P26">
        <v>5</v>
      </c>
      <c r="Q26">
        <v>5</v>
      </c>
      <c r="R26">
        <v>1180</v>
      </c>
      <c r="S26">
        <v>1170</v>
      </c>
      <c r="T26">
        <v>807</v>
      </c>
      <c r="U26">
        <v>968</v>
      </c>
      <c r="V26">
        <v>909</v>
      </c>
      <c r="W26">
        <v>909</v>
      </c>
      <c r="X26">
        <v>1</v>
      </c>
      <c r="Y26">
        <v>5</v>
      </c>
      <c r="Z26">
        <v>1179</v>
      </c>
    </row>
    <row r="27" spans="1:26" x14ac:dyDescent="0.35">
      <c r="A27" s="103" t="s">
        <v>263</v>
      </c>
      <c r="B27" t="s">
        <v>141</v>
      </c>
      <c r="C27" t="s">
        <v>313</v>
      </c>
      <c r="D27" t="s">
        <v>112</v>
      </c>
      <c r="E27" t="s">
        <v>170</v>
      </c>
      <c r="F27">
        <v>2</v>
      </c>
      <c r="G27">
        <v>0</v>
      </c>
      <c r="H27">
        <v>1</v>
      </c>
      <c r="I27">
        <v>2</v>
      </c>
      <c r="J27">
        <v>2</v>
      </c>
      <c r="K27">
        <v>2</v>
      </c>
      <c r="L27">
        <v>10</v>
      </c>
      <c r="M27">
        <v>0</v>
      </c>
      <c r="N27">
        <v>4</v>
      </c>
      <c r="O27">
        <v>9</v>
      </c>
      <c r="P27">
        <v>9</v>
      </c>
      <c r="Q27">
        <v>9</v>
      </c>
      <c r="R27">
        <v>968</v>
      </c>
      <c r="S27">
        <v>963</v>
      </c>
      <c r="T27">
        <v>631</v>
      </c>
      <c r="U27">
        <v>771</v>
      </c>
      <c r="V27">
        <v>690</v>
      </c>
      <c r="W27">
        <v>690</v>
      </c>
      <c r="X27">
        <v>2</v>
      </c>
      <c r="Y27">
        <v>10</v>
      </c>
      <c r="Z27">
        <v>968</v>
      </c>
    </row>
    <row r="28" spans="1:26" x14ac:dyDescent="0.35">
      <c r="A28" s="103" t="s">
        <v>263</v>
      </c>
      <c r="B28" t="s">
        <v>140</v>
      </c>
      <c r="C28" t="s">
        <v>314</v>
      </c>
      <c r="D28" t="s">
        <v>112</v>
      </c>
      <c r="E28" t="s">
        <v>170</v>
      </c>
      <c r="F28">
        <v>4</v>
      </c>
      <c r="G28">
        <v>0</v>
      </c>
      <c r="H28">
        <v>3</v>
      </c>
      <c r="I28">
        <v>3</v>
      </c>
      <c r="J28">
        <v>3</v>
      </c>
      <c r="K28">
        <v>3</v>
      </c>
      <c r="L28">
        <v>20</v>
      </c>
      <c r="M28">
        <v>1</v>
      </c>
      <c r="N28">
        <v>10</v>
      </c>
      <c r="O28">
        <v>14</v>
      </c>
      <c r="P28">
        <v>15</v>
      </c>
      <c r="Q28">
        <v>15</v>
      </c>
      <c r="R28">
        <v>972</v>
      </c>
      <c r="S28">
        <v>938</v>
      </c>
      <c r="T28">
        <v>636</v>
      </c>
      <c r="U28">
        <v>752</v>
      </c>
      <c r="V28">
        <v>708</v>
      </c>
      <c r="W28">
        <v>708</v>
      </c>
      <c r="X28">
        <v>4</v>
      </c>
      <c r="Y28">
        <v>20</v>
      </c>
      <c r="Z28">
        <v>972</v>
      </c>
    </row>
    <row r="29" spans="1:26" x14ac:dyDescent="0.35">
      <c r="A29" s="103" t="s">
        <v>263</v>
      </c>
      <c r="B29" t="s">
        <v>141</v>
      </c>
      <c r="C29" t="s">
        <v>265</v>
      </c>
      <c r="D29" t="s">
        <v>112</v>
      </c>
      <c r="E29" t="s">
        <v>170</v>
      </c>
      <c r="F29">
        <v>1</v>
      </c>
      <c r="G29">
        <v>0</v>
      </c>
      <c r="H29">
        <v>1</v>
      </c>
      <c r="I29">
        <v>1</v>
      </c>
      <c r="J29">
        <v>1</v>
      </c>
      <c r="K29">
        <v>1</v>
      </c>
      <c r="L29">
        <v>2</v>
      </c>
      <c r="M29">
        <v>0</v>
      </c>
      <c r="N29">
        <v>2</v>
      </c>
      <c r="O29">
        <v>2</v>
      </c>
      <c r="P29">
        <v>2</v>
      </c>
      <c r="Q29">
        <v>2</v>
      </c>
      <c r="R29">
        <v>237</v>
      </c>
      <c r="S29">
        <v>236</v>
      </c>
      <c r="T29">
        <v>159</v>
      </c>
      <c r="U29">
        <v>191</v>
      </c>
      <c r="V29">
        <v>172</v>
      </c>
      <c r="W29">
        <v>172</v>
      </c>
      <c r="X29">
        <v>1</v>
      </c>
      <c r="Y29">
        <v>2</v>
      </c>
      <c r="Z29">
        <v>237</v>
      </c>
    </row>
    <row r="30" spans="1:26" x14ac:dyDescent="0.35">
      <c r="A30" s="103" t="s">
        <v>263</v>
      </c>
      <c r="B30" t="s">
        <v>141</v>
      </c>
      <c r="C30" t="s">
        <v>315</v>
      </c>
      <c r="D30" t="s">
        <v>112</v>
      </c>
      <c r="E30" t="s">
        <v>170</v>
      </c>
      <c r="F30">
        <v>9</v>
      </c>
      <c r="G30">
        <v>0</v>
      </c>
      <c r="H30">
        <v>5</v>
      </c>
      <c r="I30">
        <v>8</v>
      </c>
      <c r="J30">
        <v>6</v>
      </c>
      <c r="K30">
        <v>6</v>
      </c>
      <c r="L30">
        <v>46</v>
      </c>
      <c r="M30">
        <v>1</v>
      </c>
      <c r="N30">
        <v>29</v>
      </c>
      <c r="O30">
        <v>37</v>
      </c>
      <c r="P30">
        <v>25</v>
      </c>
      <c r="Q30">
        <v>25</v>
      </c>
      <c r="R30">
        <v>2197</v>
      </c>
      <c r="S30">
        <v>2153</v>
      </c>
      <c r="T30">
        <v>1426</v>
      </c>
      <c r="U30">
        <v>1695</v>
      </c>
      <c r="V30">
        <v>1448</v>
      </c>
      <c r="W30">
        <v>1448</v>
      </c>
      <c r="X30">
        <v>9</v>
      </c>
      <c r="Y30">
        <v>46</v>
      </c>
      <c r="Z30">
        <v>2199</v>
      </c>
    </row>
    <row r="31" spans="1:26" x14ac:dyDescent="0.35">
      <c r="A31" s="103" t="s">
        <v>263</v>
      </c>
      <c r="B31" t="s">
        <v>140</v>
      </c>
      <c r="C31" t="s">
        <v>316</v>
      </c>
      <c r="D31" t="s">
        <v>112</v>
      </c>
      <c r="E31" t="s">
        <v>170</v>
      </c>
      <c r="F31">
        <v>2</v>
      </c>
      <c r="G31">
        <v>0</v>
      </c>
      <c r="H31">
        <v>2</v>
      </c>
      <c r="I31">
        <v>2</v>
      </c>
      <c r="J31">
        <v>2</v>
      </c>
      <c r="K31">
        <v>2</v>
      </c>
      <c r="L31">
        <v>10</v>
      </c>
      <c r="M31">
        <v>0</v>
      </c>
      <c r="N31">
        <v>8</v>
      </c>
      <c r="O31">
        <v>8</v>
      </c>
      <c r="P31">
        <v>9</v>
      </c>
      <c r="Q31">
        <v>9</v>
      </c>
      <c r="R31">
        <v>618</v>
      </c>
      <c r="S31">
        <v>613</v>
      </c>
      <c r="T31">
        <v>407</v>
      </c>
      <c r="U31">
        <v>488</v>
      </c>
      <c r="V31">
        <v>521</v>
      </c>
      <c r="W31">
        <v>521</v>
      </c>
      <c r="X31">
        <v>2</v>
      </c>
      <c r="Y31">
        <v>10</v>
      </c>
      <c r="Z31">
        <v>618</v>
      </c>
    </row>
    <row r="32" spans="1:26" x14ac:dyDescent="0.35">
      <c r="A32" s="103" t="s">
        <v>263</v>
      </c>
      <c r="B32" t="s">
        <v>141</v>
      </c>
      <c r="C32" t="s">
        <v>317</v>
      </c>
      <c r="D32" t="s">
        <v>112</v>
      </c>
      <c r="E32" t="s">
        <v>170</v>
      </c>
      <c r="F32">
        <v>1</v>
      </c>
      <c r="G32">
        <v>0</v>
      </c>
      <c r="H32">
        <v>1</v>
      </c>
      <c r="I32">
        <v>1</v>
      </c>
      <c r="J32">
        <v>1</v>
      </c>
      <c r="K32">
        <v>1</v>
      </c>
      <c r="L32">
        <v>7</v>
      </c>
      <c r="M32">
        <v>0</v>
      </c>
      <c r="N32">
        <v>5</v>
      </c>
      <c r="O32">
        <v>7</v>
      </c>
      <c r="P32">
        <v>5</v>
      </c>
      <c r="Q32">
        <v>5</v>
      </c>
      <c r="R32">
        <v>1319</v>
      </c>
      <c r="S32">
        <v>1279</v>
      </c>
      <c r="T32">
        <v>890</v>
      </c>
      <c r="U32">
        <v>1048</v>
      </c>
      <c r="V32">
        <v>973</v>
      </c>
      <c r="W32">
        <v>974</v>
      </c>
      <c r="X32">
        <v>1</v>
      </c>
      <c r="Y32">
        <v>7</v>
      </c>
      <c r="Z32">
        <v>1319</v>
      </c>
    </row>
    <row r="33" spans="1:26" x14ac:dyDescent="0.35">
      <c r="A33" s="103" t="s">
        <v>263</v>
      </c>
      <c r="B33" t="s">
        <v>141</v>
      </c>
      <c r="C33" t="s">
        <v>318</v>
      </c>
      <c r="D33" t="s">
        <v>112</v>
      </c>
      <c r="E33" t="s">
        <v>170</v>
      </c>
      <c r="F33">
        <v>2</v>
      </c>
      <c r="G33">
        <v>0</v>
      </c>
      <c r="H33">
        <v>2</v>
      </c>
      <c r="I33">
        <v>2</v>
      </c>
      <c r="J33">
        <v>2</v>
      </c>
      <c r="K33">
        <v>2</v>
      </c>
      <c r="L33">
        <v>10</v>
      </c>
      <c r="M33">
        <v>0</v>
      </c>
      <c r="N33">
        <v>10</v>
      </c>
      <c r="O33">
        <v>10</v>
      </c>
      <c r="P33">
        <v>9</v>
      </c>
      <c r="Q33">
        <v>9</v>
      </c>
      <c r="R33">
        <v>1392</v>
      </c>
      <c r="S33">
        <v>1364</v>
      </c>
      <c r="T33">
        <v>932</v>
      </c>
      <c r="U33">
        <v>1096</v>
      </c>
      <c r="V33">
        <v>1017</v>
      </c>
      <c r="W33">
        <v>1018</v>
      </c>
      <c r="X33">
        <v>2</v>
      </c>
      <c r="Y33">
        <v>10</v>
      </c>
      <c r="Z33">
        <v>1392</v>
      </c>
    </row>
    <row r="34" spans="1:26" x14ac:dyDescent="0.35">
      <c r="A34" s="103" t="s">
        <v>263</v>
      </c>
      <c r="B34" t="s">
        <v>141</v>
      </c>
      <c r="C34" t="s">
        <v>319</v>
      </c>
      <c r="D34" t="s">
        <v>112</v>
      </c>
      <c r="E34" t="s">
        <v>170</v>
      </c>
      <c r="F34">
        <v>2</v>
      </c>
      <c r="G34">
        <v>0</v>
      </c>
      <c r="H34">
        <v>2</v>
      </c>
      <c r="I34">
        <v>2</v>
      </c>
      <c r="J34">
        <v>1</v>
      </c>
      <c r="K34">
        <v>1</v>
      </c>
      <c r="L34">
        <v>10</v>
      </c>
      <c r="M34">
        <v>0</v>
      </c>
      <c r="N34">
        <v>9</v>
      </c>
      <c r="O34">
        <v>10</v>
      </c>
      <c r="P34">
        <v>7</v>
      </c>
      <c r="Q34">
        <v>7</v>
      </c>
      <c r="R34">
        <v>618</v>
      </c>
      <c r="S34">
        <v>613</v>
      </c>
      <c r="T34">
        <v>398</v>
      </c>
      <c r="U34">
        <v>484</v>
      </c>
      <c r="V34">
        <v>483</v>
      </c>
      <c r="W34">
        <v>483</v>
      </c>
      <c r="X34">
        <v>2</v>
      </c>
      <c r="Y34">
        <v>10</v>
      </c>
      <c r="Z34">
        <v>618</v>
      </c>
    </row>
    <row r="35" spans="1:26" x14ac:dyDescent="0.35">
      <c r="A35" s="103" t="s">
        <v>263</v>
      </c>
      <c r="B35" t="s">
        <v>141</v>
      </c>
      <c r="C35" t="s">
        <v>320</v>
      </c>
      <c r="D35" t="s">
        <v>112</v>
      </c>
      <c r="E35" t="s">
        <v>170</v>
      </c>
      <c r="F35">
        <v>8</v>
      </c>
      <c r="G35">
        <v>0</v>
      </c>
      <c r="H35">
        <v>5</v>
      </c>
      <c r="I35">
        <v>7</v>
      </c>
      <c r="J35">
        <v>6</v>
      </c>
      <c r="K35">
        <v>6</v>
      </c>
      <c r="L35">
        <v>37</v>
      </c>
      <c r="M35">
        <v>2</v>
      </c>
      <c r="N35">
        <v>20</v>
      </c>
      <c r="O35">
        <v>26</v>
      </c>
      <c r="P35">
        <v>24</v>
      </c>
      <c r="Q35">
        <v>24</v>
      </c>
      <c r="R35">
        <v>2023</v>
      </c>
      <c r="S35">
        <v>1956</v>
      </c>
      <c r="T35">
        <v>1200</v>
      </c>
      <c r="U35">
        <v>1517</v>
      </c>
      <c r="V35">
        <v>1373</v>
      </c>
      <c r="W35">
        <v>1373</v>
      </c>
      <c r="X35">
        <v>8</v>
      </c>
      <c r="Y35">
        <v>37</v>
      </c>
      <c r="Z35">
        <v>2023</v>
      </c>
    </row>
    <row r="36" spans="1:26" x14ac:dyDescent="0.35">
      <c r="A36" s="103" t="s">
        <v>263</v>
      </c>
      <c r="B36" t="s">
        <v>141</v>
      </c>
      <c r="C36" t="s">
        <v>321</v>
      </c>
      <c r="D36" t="s">
        <v>112</v>
      </c>
      <c r="E36" t="s">
        <v>170</v>
      </c>
      <c r="F36">
        <v>5</v>
      </c>
      <c r="G36">
        <v>0</v>
      </c>
      <c r="H36">
        <v>3</v>
      </c>
      <c r="I36">
        <v>4</v>
      </c>
      <c r="J36">
        <v>4</v>
      </c>
      <c r="K36">
        <v>4</v>
      </c>
      <c r="L36">
        <v>24</v>
      </c>
      <c r="M36">
        <v>0</v>
      </c>
      <c r="N36">
        <v>17</v>
      </c>
      <c r="O36">
        <v>20</v>
      </c>
      <c r="P36">
        <v>19</v>
      </c>
      <c r="Q36">
        <v>19</v>
      </c>
      <c r="R36">
        <v>1212</v>
      </c>
      <c r="S36">
        <v>1196</v>
      </c>
      <c r="T36">
        <v>738</v>
      </c>
      <c r="U36">
        <v>908</v>
      </c>
      <c r="V36">
        <v>788</v>
      </c>
      <c r="W36">
        <v>788</v>
      </c>
      <c r="X36">
        <v>5</v>
      </c>
      <c r="Y36">
        <v>24</v>
      </c>
      <c r="Z36">
        <v>1212</v>
      </c>
    </row>
    <row r="37" spans="1:26" x14ac:dyDescent="0.35">
      <c r="A37" s="103" t="s">
        <v>263</v>
      </c>
      <c r="B37" t="s">
        <v>141</v>
      </c>
      <c r="C37" t="s">
        <v>322</v>
      </c>
      <c r="D37" t="s">
        <v>112</v>
      </c>
      <c r="E37" t="s">
        <v>170</v>
      </c>
      <c r="F37">
        <v>4</v>
      </c>
      <c r="G37">
        <v>0</v>
      </c>
      <c r="H37">
        <v>2</v>
      </c>
      <c r="I37">
        <v>4</v>
      </c>
      <c r="J37">
        <v>4</v>
      </c>
      <c r="K37">
        <v>4</v>
      </c>
      <c r="L37">
        <v>19</v>
      </c>
      <c r="M37">
        <v>0</v>
      </c>
      <c r="N37">
        <v>13</v>
      </c>
      <c r="O37">
        <v>18</v>
      </c>
      <c r="P37">
        <v>17</v>
      </c>
      <c r="Q37">
        <v>17</v>
      </c>
      <c r="R37">
        <v>1353</v>
      </c>
      <c r="S37">
        <v>1317</v>
      </c>
      <c r="T37">
        <v>983</v>
      </c>
      <c r="U37">
        <v>1105</v>
      </c>
      <c r="V37">
        <v>1131</v>
      </c>
      <c r="W37">
        <v>1131</v>
      </c>
      <c r="X37">
        <v>4</v>
      </c>
      <c r="Y37">
        <v>19</v>
      </c>
      <c r="Z37">
        <v>1353</v>
      </c>
    </row>
    <row r="38" spans="1:26" x14ac:dyDescent="0.35">
      <c r="A38" s="103" t="s">
        <v>263</v>
      </c>
      <c r="B38" t="s">
        <v>141</v>
      </c>
      <c r="C38" t="s">
        <v>323</v>
      </c>
      <c r="D38" t="s">
        <v>112</v>
      </c>
      <c r="E38" t="s">
        <v>170</v>
      </c>
      <c r="F38">
        <v>13</v>
      </c>
      <c r="G38">
        <v>0</v>
      </c>
      <c r="H38">
        <v>6</v>
      </c>
      <c r="I38">
        <v>10</v>
      </c>
      <c r="J38">
        <v>10</v>
      </c>
      <c r="K38">
        <v>10</v>
      </c>
      <c r="L38">
        <v>66</v>
      </c>
      <c r="M38">
        <v>1</v>
      </c>
      <c r="N38">
        <v>29</v>
      </c>
      <c r="O38">
        <v>41</v>
      </c>
      <c r="P38">
        <v>42</v>
      </c>
      <c r="Q38">
        <v>42</v>
      </c>
      <c r="R38">
        <v>3680</v>
      </c>
      <c r="S38">
        <v>3581</v>
      </c>
      <c r="T38">
        <v>2217</v>
      </c>
      <c r="U38">
        <v>2684</v>
      </c>
      <c r="V38">
        <v>2599</v>
      </c>
      <c r="W38">
        <v>2599</v>
      </c>
      <c r="X38">
        <v>13</v>
      </c>
      <c r="Y38">
        <v>66</v>
      </c>
      <c r="Z38">
        <v>3678</v>
      </c>
    </row>
    <row r="39" spans="1:26" x14ac:dyDescent="0.35">
      <c r="A39" s="103" t="s">
        <v>263</v>
      </c>
      <c r="B39" t="s">
        <v>141</v>
      </c>
      <c r="C39" t="s">
        <v>324</v>
      </c>
      <c r="D39" t="s">
        <v>112</v>
      </c>
      <c r="E39" t="s">
        <v>170</v>
      </c>
      <c r="F39">
        <v>3</v>
      </c>
      <c r="G39">
        <v>0</v>
      </c>
      <c r="H39">
        <v>2</v>
      </c>
      <c r="I39">
        <v>3</v>
      </c>
      <c r="J39">
        <v>3</v>
      </c>
      <c r="K39">
        <v>3</v>
      </c>
      <c r="L39">
        <v>15</v>
      </c>
      <c r="M39">
        <v>0</v>
      </c>
      <c r="N39">
        <v>10</v>
      </c>
      <c r="O39">
        <v>12</v>
      </c>
      <c r="P39">
        <v>13</v>
      </c>
      <c r="Q39">
        <v>13</v>
      </c>
      <c r="R39">
        <v>838</v>
      </c>
      <c r="S39">
        <v>828</v>
      </c>
      <c r="T39">
        <v>472</v>
      </c>
      <c r="U39">
        <v>593</v>
      </c>
      <c r="V39">
        <v>547</v>
      </c>
      <c r="W39">
        <v>547</v>
      </c>
      <c r="X39">
        <v>3</v>
      </c>
      <c r="Y39">
        <v>15</v>
      </c>
      <c r="Z39">
        <v>838</v>
      </c>
    </row>
    <row r="40" spans="1:26" x14ac:dyDescent="0.35">
      <c r="A40" s="103" t="s">
        <v>263</v>
      </c>
      <c r="B40" t="s">
        <v>141</v>
      </c>
      <c r="C40" t="s">
        <v>325</v>
      </c>
      <c r="D40" t="s">
        <v>112</v>
      </c>
      <c r="E40" t="s">
        <v>170</v>
      </c>
      <c r="F40">
        <v>7</v>
      </c>
      <c r="G40">
        <v>0</v>
      </c>
      <c r="H40">
        <v>6</v>
      </c>
      <c r="I40">
        <v>7</v>
      </c>
      <c r="J40">
        <v>7</v>
      </c>
      <c r="K40">
        <v>7</v>
      </c>
      <c r="L40">
        <v>35</v>
      </c>
      <c r="M40">
        <v>0</v>
      </c>
      <c r="N40">
        <v>24</v>
      </c>
      <c r="O40">
        <v>31</v>
      </c>
      <c r="P40">
        <v>30</v>
      </c>
      <c r="Q40">
        <v>30</v>
      </c>
      <c r="R40">
        <v>4242</v>
      </c>
      <c r="S40">
        <v>4026</v>
      </c>
      <c r="T40">
        <v>2274</v>
      </c>
      <c r="U40">
        <v>2813</v>
      </c>
      <c r="V40">
        <v>2328</v>
      </c>
      <c r="W40">
        <v>2328</v>
      </c>
      <c r="X40">
        <v>7</v>
      </c>
      <c r="Y40">
        <v>35</v>
      </c>
      <c r="Z40">
        <v>4238</v>
      </c>
    </row>
    <row r="41" spans="1:26" x14ac:dyDescent="0.35">
      <c r="A41" s="103" t="s">
        <v>263</v>
      </c>
      <c r="B41" t="s">
        <v>141</v>
      </c>
      <c r="C41" t="s">
        <v>326</v>
      </c>
      <c r="D41" t="s">
        <v>112</v>
      </c>
      <c r="E41" t="s">
        <v>170</v>
      </c>
      <c r="F41">
        <v>3</v>
      </c>
      <c r="G41">
        <v>0</v>
      </c>
      <c r="H41">
        <v>3</v>
      </c>
      <c r="I41">
        <v>3</v>
      </c>
      <c r="J41">
        <v>3</v>
      </c>
      <c r="K41">
        <v>3</v>
      </c>
      <c r="L41">
        <v>17</v>
      </c>
      <c r="M41">
        <v>0</v>
      </c>
      <c r="N41">
        <v>13</v>
      </c>
      <c r="O41">
        <v>16</v>
      </c>
      <c r="P41">
        <v>15</v>
      </c>
      <c r="Q41">
        <v>15</v>
      </c>
      <c r="R41">
        <v>884</v>
      </c>
      <c r="S41">
        <v>868</v>
      </c>
      <c r="T41">
        <v>614</v>
      </c>
      <c r="U41">
        <v>723</v>
      </c>
      <c r="V41">
        <v>653</v>
      </c>
      <c r="W41">
        <v>654</v>
      </c>
      <c r="X41">
        <v>3</v>
      </c>
      <c r="Y41">
        <v>17</v>
      </c>
      <c r="Z41">
        <v>884</v>
      </c>
    </row>
    <row r="42" spans="1:26" x14ac:dyDescent="0.35">
      <c r="A42" s="103" t="s">
        <v>263</v>
      </c>
      <c r="B42" t="s">
        <v>141</v>
      </c>
      <c r="C42" t="s">
        <v>327</v>
      </c>
      <c r="D42" t="s">
        <v>112</v>
      </c>
      <c r="E42" t="s">
        <v>170</v>
      </c>
      <c r="F42">
        <v>6</v>
      </c>
      <c r="G42">
        <v>0</v>
      </c>
      <c r="H42">
        <v>5</v>
      </c>
      <c r="I42">
        <v>6</v>
      </c>
      <c r="J42">
        <v>6</v>
      </c>
      <c r="K42">
        <v>6</v>
      </c>
      <c r="L42">
        <v>31</v>
      </c>
      <c r="M42">
        <v>0</v>
      </c>
      <c r="N42">
        <v>15</v>
      </c>
      <c r="O42">
        <v>25</v>
      </c>
      <c r="P42">
        <v>23</v>
      </c>
      <c r="Q42">
        <v>23</v>
      </c>
      <c r="R42">
        <v>1837</v>
      </c>
      <c r="S42">
        <v>1796</v>
      </c>
      <c r="T42">
        <v>1195</v>
      </c>
      <c r="U42">
        <v>1408</v>
      </c>
      <c r="V42">
        <v>1440</v>
      </c>
      <c r="W42">
        <v>1440</v>
      </c>
      <c r="X42">
        <v>6</v>
      </c>
      <c r="Y42">
        <v>31</v>
      </c>
      <c r="Z42">
        <v>1838</v>
      </c>
    </row>
    <row r="43" spans="1:26" x14ac:dyDescent="0.35">
      <c r="A43" s="103" t="s">
        <v>263</v>
      </c>
      <c r="B43" t="s">
        <v>140</v>
      </c>
      <c r="C43" t="s">
        <v>328</v>
      </c>
      <c r="D43" t="s">
        <v>112</v>
      </c>
      <c r="E43" t="s">
        <v>170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45</v>
      </c>
      <c r="S43">
        <v>45</v>
      </c>
      <c r="T43">
        <v>29</v>
      </c>
      <c r="U43">
        <v>33</v>
      </c>
      <c r="V43">
        <v>37</v>
      </c>
      <c r="W43">
        <v>37</v>
      </c>
      <c r="X43">
        <v>0</v>
      </c>
      <c r="Y43">
        <v>0</v>
      </c>
      <c r="Z43">
        <v>45</v>
      </c>
    </row>
    <row r="44" spans="1:26" x14ac:dyDescent="0.35">
      <c r="A44" s="103" t="s">
        <v>263</v>
      </c>
      <c r="B44" t="s">
        <v>141</v>
      </c>
      <c r="C44" t="s">
        <v>329</v>
      </c>
      <c r="D44" t="s">
        <v>112</v>
      </c>
      <c r="E44" t="s">
        <v>170</v>
      </c>
      <c r="F44">
        <v>13</v>
      </c>
      <c r="G44">
        <v>0</v>
      </c>
      <c r="H44">
        <v>11</v>
      </c>
      <c r="I44">
        <v>12</v>
      </c>
      <c r="J44">
        <v>10</v>
      </c>
      <c r="K44">
        <v>10</v>
      </c>
      <c r="L44">
        <v>63</v>
      </c>
      <c r="M44">
        <v>0</v>
      </c>
      <c r="N44">
        <v>41</v>
      </c>
      <c r="O44">
        <v>50</v>
      </c>
      <c r="P44">
        <v>49</v>
      </c>
      <c r="Q44">
        <v>49</v>
      </c>
      <c r="R44">
        <v>3427</v>
      </c>
      <c r="S44">
        <v>3386</v>
      </c>
      <c r="T44">
        <v>2065</v>
      </c>
      <c r="U44">
        <v>2552</v>
      </c>
      <c r="V44">
        <v>2513</v>
      </c>
      <c r="W44">
        <v>2513</v>
      </c>
      <c r="X44">
        <v>13</v>
      </c>
      <c r="Y44">
        <v>63</v>
      </c>
      <c r="Z44">
        <v>3428</v>
      </c>
    </row>
    <row r="45" spans="1:26" x14ac:dyDescent="0.35">
      <c r="A45" s="103" t="s">
        <v>263</v>
      </c>
      <c r="B45" t="s">
        <v>141</v>
      </c>
      <c r="C45" t="s">
        <v>330</v>
      </c>
      <c r="D45" t="s">
        <v>112</v>
      </c>
      <c r="E45" t="s">
        <v>170</v>
      </c>
      <c r="F45">
        <v>2</v>
      </c>
      <c r="G45">
        <v>0</v>
      </c>
      <c r="H45">
        <v>1</v>
      </c>
      <c r="I45">
        <v>1</v>
      </c>
      <c r="J45">
        <v>0</v>
      </c>
      <c r="K45">
        <v>0</v>
      </c>
      <c r="L45">
        <v>10</v>
      </c>
      <c r="M45">
        <v>0</v>
      </c>
      <c r="N45">
        <v>6</v>
      </c>
      <c r="O45">
        <v>7</v>
      </c>
      <c r="P45">
        <v>7</v>
      </c>
      <c r="Q45">
        <v>7</v>
      </c>
      <c r="R45">
        <v>801</v>
      </c>
      <c r="S45">
        <v>791</v>
      </c>
      <c r="T45">
        <v>584</v>
      </c>
      <c r="U45">
        <v>700</v>
      </c>
      <c r="V45">
        <v>628</v>
      </c>
      <c r="W45">
        <v>628</v>
      </c>
      <c r="X45">
        <v>2</v>
      </c>
      <c r="Y45">
        <v>10</v>
      </c>
      <c r="Z45">
        <v>801</v>
      </c>
    </row>
    <row r="46" spans="1:26" x14ac:dyDescent="0.35">
      <c r="A46" s="103" t="s">
        <v>263</v>
      </c>
      <c r="B46" t="s">
        <v>141</v>
      </c>
      <c r="C46" t="s">
        <v>331</v>
      </c>
      <c r="D46" t="s">
        <v>112</v>
      </c>
      <c r="E46" t="s">
        <v>170</v>
      </c>
      <c r="F46">
        <v>8</v>
      </c>
      <c r="G46">
        <v>0</v>
      </c>
      <c r="H46">
        <v>5</v>
      </c>
      <c r="I46">
        <v>7</v>
      </c>
      <c r="J46">
        <v>5</v>
      </c>
      <c r="K46">
        <v>5</v>
      </c>
      <c r="L46">
        <v>41</v>
      </c>
      <c r="M46">
        <v>0</v>
      </c>
      <c r="N46">
        <v>23</v>
      </c>
      <c r="O46">
        <v>31</v>
      </c>
      <c r="P46">
        <v>28</v>
      </c>
      <c r="Q46">
        <v>28</v>
      </c>
      <c r="R46">
        <v>2313</v>
      </c>
      <c r="S46">
        <v>2264</v>
      </c>
      <c r="T46">
        <v>1566</v>
      </c>
      <c r="U46">
        <v>1848</v>
      </c>
      <c r="V46">
        <v>1706</v>
      </c>
      <c r="W46">
        <v>1706</v>
      </c>
      <c r="X46">
        <v>8</v>
      </c>
      <c r="Y46">
        <v>41</v>
      </c>
      <c r="Z46">
        <v>2318</v>
      </c>
    </row>
    <row r="47" spans="1:26" x14ac:dyDescent="0.35">
      <c r="A47" s="103" t="s">
        <v>263</v>
      </c>
      <c r="B47" t="s">
        <v>141</v>
      </c>
      <c r="C47" t="s">
        <v>332</v>
      </c>
      <c r="D47" t="s">
        <v>112</v>
      </c>
      <c r="E47" t="s">
        <v>170</v>
      </c>
      <c r="F47">
        <v>2</v>
      </c>
      <c r="G47">
        <v>0</v>
      </c>
      <c r="H47">
        <v>2</v>
      </c>
      <c r="I47">
        <v>2</v>
      </c>
      <c r="J47">
        <v>2</v>
      </c>
      <c r="K47">
        <v>2</v>
      </c>
      <c r="L47">
        <v>10</v>
      </c>
      <c r="M47">
        <v>0</v>
      </c>
      <c r="N47">
        <v>8</v>
      </c>
      <c r="O47">
        <v>9</v>
      </c>
      <c r="P47">
        <v>10</v>
      </c>
      <c r="Q47">
        <v>10</v>
      </c>
      <c r="R47">
        <v>685</v>
      </c>
      <c r="S47">
        <v>662</v>
      </c>
      <c r="T47">
        <v>374</v>
      </c>
      <c r="U47">
        <v>456</v>
      </c>
      <c r="V47">
        <v>486</v>
      </c>
      <c r="W47">
        <v>486</v>
      </c>
      <c r="X47">
        <v>2</v>
      </c>
      <c r="Y47">
        <v>10</v>
      </c>
      <c r="Z47">
        <v>685</v>
      </c>
    </row>
    <row r="48" spans="1:26" x14ac:dyDescent="0.35">
      <c r="A48" s="103" t="s">
        <v>263</v>
      </c>
      <c r="B48" t="s">
        <v>141</v>
      </c>
      <c r="C48" t="s">
        <v>333</v>
      </c>
      <c r="D48" t="s">
        <v>112</v>
      </c>
      <c r="E48" t="s">
        <v>170</v>
      </c>
      <c r="F48">
        <v>7</v>
      </c>
      <c r="G48">
        <v>0</v>
      </c>
      <c r="H48">
        <v>4</v>
      </c>
      <c r="I48">
        <v>5</v>
      </c>
      <c r="J48">
        <v>5</v>
      </c>
      <c r="K48">
        <v>5</v>
      </c>
      <c r="L48">
        <v>33</v>
      </c>
      <c r="M48">
        <v>1</v>
      </c>
      <c r="N48">
        <v>17</v>
      </c>
      <c r="O48">
        <v>23</v>
      </c>
      <c r="P48">
        <v>25</v>
      </c>
      <c r="Q48">
        <v>25</v>
      </c>
      <c r="R48">
        <v>2413</v>
      </c>
      <c r="S48">
        <v>2363</v>
      </c>
      <c r="T48">
        <v>1405</v>
      </c>
      <c r="U48">
        <v>1727</v>
      </c>
      <c r="V48">
        <v>1721</v>
      </c>
      <c r="W48">
        <v>1721</v>
      </c>
      <c r="X48">
        <v>7</v>
      </c>
      <c r="Y48">
        <v>33</v>
      </c>
      <c r="Z48">
        <v>2413</v>
      </c>
    </row>
    <row r="49" spans="1:26" x14ac:dyDescent="0.35">
      <c r="A49" s="103" t="s">
        <v>263</v>
      </c>
      <c r="B49" t="s">
        <v>141</v>
      </c>
      <c r="C49" t="s">
        <v>334</v>
      </c>
      <c r="D49" t="s">
        <v>112</v>
      </c>
      <c r="E49" t="s">
        <v>170</v>
      </c>
      <c r="F49">
        <v>4</v>
      </c>
      <c r="G49">
        <v>0</v>
      </c>
      <c r="H49">
        <v>4</v>
      </c>
      <c r="I49">
        <v>4</v>
      </c>
      <c r="J49">
        <v>3</v>
      </c>
      <c r="K49">
        <v>3</v>
      </c>
      <c r="L49">
        <v>20</v>
      </c>
      <c r="M49">
        <v>0</v>
      </c>
      <c r="N49">
        <v>18</v>
      </c>
      <c r="O49">
        <v>20</v>
      </c>
      <c r="P49">
        <v>18</v>
      </c>
      <c r="Q49">
        <v>18</v>
      </c>
      <c r="R49">
        <v>1197</v>
      </c>
      <c r="S49">
        <v>1197</v>
      </c>
      <c r="T49">
        <v>761</v>
      </c>
      <c r="U49">
        <v>949</v>
      </c>
      <c r="V49">
        <v>880</v>
      </c>
      <c r="W49">
        <v>880</v>
      </c>
      <c r="X49">
        <v>4</v>
      </c>
      <c r="Y49">
        <v>20</v>
      </c>
      <c r="Z49">
        <v>1197</v>
      </c>
    </row>
    <row r="50" spans="1:26" x14ac:dyDescent="0.35">
      <c r="A50" s="103" t="s">
        <v>263</v>
      </c>
      <c r="B50" t="s">
        <v>141</v>
      </c>
      <c r="C50" t="s">
        <v>335</v>
      </c>
      <c r="D50" t="s">
        <v>112</v>
      </c>
      <c r="E50" t="s">
        <v>170</v>
      </c>
      <c r="F50">
        <v>3</v>
      </c>
      <c r="G50">
        <v>0</v>
      </c>
      <c r="H50">
        <v>1</v>
      </c>
      <c r="I50">
        <v>3</v>
      </c>
      <c r="J50">
        <v>3</v>
      </c>
      <c r="K50">
        <v>3</v>
      </c>
      <c r="L50">
        <v>17</v>
      </c>
      <c r="M50">
        <v>0</v>
      </c>
      <c r="N50">
        <v>13</v>
      </c>
      <c r="O50">
        <v>17</v>
      </c>
      <c r="P50">
        <v>17</v>
      </c>
      <c r="Q50">
        <v>17</v>
      </c>
      <c r="R50">
        <v>1195</v>
      </c>
      <c r="S50">
        <v>1191</v>
      </c>
      <c r="T50">
        <v>768</v>
      </c>
      <c r="U50">
        <v>932</v>
      </c>
      <c r="V50">
        <v>886</v>
      </c>
      <c r="W50">
        <v>886</v>
      </c>
      <c r="X50">
        <v>3</v>
      </c>
      <c r="Y50">
        <v>17</v>
      </c>
      <c r="Z50">
        <v>1195</v>
      </c>
    </row>
    <row r="51" spans="1:26" x14ac:dyDescent="0.35">
      <c r="A51" s="103" t="s">
        <v>263</v>
      </c>
      <c r="B51" t="s">
        <v>141</v>
      </c>
      <c r="C51" t="s">
        <v>336</v>
      </c>
      <c r="D51" t="s">
        <v>112</v>
      </c>
      <c r="E51" t="s">
        <v>170</v>
      </c>
      <c r="F51">
        <v>3</v>
      </c>
      <c r="G51">
        <v>0</v>
      </c>
      <c r="H51">
        <v>3</v>
      </c>
      <c r="I51">
        <v>3</v>
      </c>
      <c r="J51">
        <v>3</v>
      </c>
      <c r="K51">
        <v>3</v>
      </c>
      <c r="L51">
        <v>15</v>
      </c>
      <c r="M51">
        <v>0</v>
      </c>
      <c r="N51">
        <v>10</v>
      </c>
      <c r="O51">
        <v>13</v>
      </c>
      <c r="P51">
        <v>14</v>
      </c>
      <c r="Q51">
        <v>14</v>
      </c>
      <c r="R51">
        <v>920</v>
      </c>
      <c r="S51">
        <v>907</v>
      </c>
      <c r="T51">
        <v>536</v>
      </c>
      <c r="U51">
        <v>656</v>
      </c>
      <c r="V51">
        <v>593</v>
      </c>
      <c r="W51">
        <v>593</v>
      </c>
      <c r="X51">
        <v>3</v>
      </c>
      <c r="Y51">
        <v>15</v>
      </c>
      <c r="Z51">
        <v>920</v>
      </c>
    </row>
    <row r="52" spans="1:26" x14ac:dyDescent="0.35">
      <c r="A52" s="103" t="s">
        <v>263</v>
      </c>
      <c r="B52" t="s">
        <v>141</v>
      </c>
      <c r="C52" t="s">
        <v>337</v>
      </c>
      <c r="D52" t="s">
        <v>112</v>
      </c>
      <c r="E52" t="s">
        <v>170</v>
      </c>
      <c r="F52">
        <v>2</v>
      </c>
      <c r="G52">
        <v>0</v>
      </c>
      <c r="H52">
        <v>1</v>
      </c>
      <c r="I52">
        <v>2</v>
      </c>
      <c r="J52">
        <v>2</v>
      </c>
      <c r="K52">
        <v>2</v>
      </c>
      <c r="L52">
        <v>8</v>
      </c>
      <c r="M52">
        <v>0</v>
      </c>
      <c r="N52">
        <v>5</v>
      </c>
      <c r="O52">
        <v>8</v>
      </c>
      <c r="P52">
        <v>7</v>
      </c>
      <c r="Q52">
        <v>7</v>
      </c>
      <c r="R52">
        <v>530</v>
      </c>
      <c r="S52">
        <v>521</v>
      </c>
      <c r="T52">
        <v>296</v>
      </c>
      <c r="U52">
        <v>370</v>
      </c>
      <c r="V52">
        <v>406</v>
      </c>
      <c r="W52">
        <v>406</v>
      </c>
      <c r="X52">
        <v>2</v>
      </c>
      <c r="Y52">
        <v>8</v>
      </c>
      <c r="Z52">
        <v>530</v>
      </c>
    </row>
    <row r="53" spans="1:26" x14ac:dyDescent="0.35">
      <c r="A53" s="103" t="s">
        <v>263</v>
      </c>
      <c r="B53" t="s">
        <v>141</v>
      </c>
      <c r="C53" t="s">
        <v>338</v>
      </c>
      <c r="D53" t="s">
        <v>112</v>
      </c>
      <c r="E53" t="s">
        <v>170</v>
      </c>
      <c r="F53">
        <v>5</v>
      </c>
      <c r="G53">
        <v>0</v>
      </c>
      <c r="H53">
        <v>3</v>
      </c>
      <c r="I53">
        <v>3</v>
      </c>
      <c r="J53">
        <v>3</v>
      </c>
      <c r="K53">
        <v>3</v>
      </c>
      <c r="L53">
        <v>25</v>
      </c>
      <c r="M53">
        <v>1</v>
      </c>
      <c r="N53">
        <v>11</v>
      </c>
      <c r="O53">
        <v>18</v>
      </c>
      <c r="P53">
        <v>17</v>
      </c>
      <c r="Q53">
        <v>17</v>
      </c>
      <c r="R53">
        <v>1375</v>
      </c>
      <c r="S53">
        <v>1341</v>
      </c>
      <c r="T53">
        <v>817</v>
      </c>
      <c r="U53">
        <v>1046</v>
      </c>
      <c r="V53">
        <v>950</v>
      </c>
      <c r="W53">
        <v>950</v>
      </c>
      <c r="X53">
        <v>5</v>
      </c>
      <c r="Y53">
        <v>25</v>
      </c>
      <c r="Z53">
        <v>1375</v>
      </c>
    </row>
    <row r="54" spans="1:26" x14ac:dyDescent="0.35">
      <c r="A54" s="103" t="s">
        <v>263</v>
      </c>
      <c r="B54" t="s">
        <v>141</v>
      </c>
      <c r="C54" t="s">
        <v>339</v>
      </c>
      <c r="D54" t="s">
        <v>112</v>
      </c>
      <c r="E54" t="s">
        <v>170</v>
      </c>
      <c r="F54">
        <v>2</v>
      </c>
      <c r="G54">
        <v>0</v>
      </c>
      <c r="H54">
        <v>1</v>
      </c>
      <c r="I54">
        <v>1</v>
      </c>
      <c r="J54">
        <v>2</v>
      </c>
      <c r="K54">
        <v>2</v>
      </c>
      <c r="L54">
        <v>8</v>
      </c>
      <c r="M54">
        <v>0</v>
      </c>
      <c r="N54">
        <v>5</v>
      </c>
      <c r="O54">
        <v>6</v>
      </c>
      <c r="P54">
        <v>7</v>
      </c>
      <c r="Q54">
        <v>7</v>
      </c>
      <c r="R54">
        <v>530</v>
      </c>
      <c r="S54">
        <v>520</v>
      </c>
      <c r="T54">
        <v>335</v>
      </c>
      <c r="U54">
        <v>418</v>
      </c>
      <c r="V54">
        <v>415</v>
      </c>
      <c r="W54">
        <v>415</v>
      </c>
      <c r="X54">
        <v>2</v>
      </c>
      <c r="Y54">
        <v>8</v>
      </c>
      <c r="Z54">
        <v>530</v>
      </c>
    </row>
    <row r="55" spans="1:26" x14ac:dyDescent="0.35">
      <c r="A55" s="103" t="s">
        <v>263</v>
      </c>
      <c r="B55" t="s">
        <v>141</v>
      </c>
      <c r="C55" t="s">
        <v>340</v>
      </c>
      <c r="D55" t="s">
        <v>112</v>
      </c>
      <c r="E55" t="s">
        <v>170</v>
      </c>
      <c r="F55">
        <v>2</v>
      </c>
      <c r="G55">
        <v>0</v>
      </c>
      <c r="H55">
        <v>0</v>
      </c>
      <c r="I55">
        <v>1</v>
      </c>
      <c r="J55">
        <v>2</v>
      </c>
      <c r="K55">
        <v>2</v>
      </c>
      <c r="L55">
        <v>9</v>
      </c>
      <c r="M55">
        <v>1</v>
      </c>
      <c r="N55">
        <v>3</v>
      </c>
      <c r="O55">
        <v>6</v>
      </c>
      <c r="P55">
        <v>8</v>
      </c>
      <c r="Q55">
        <v>8</v>
      </c>
      <c r="R55">
        <v>655</v>
      </c>
      <c r="S55">
        <v>616</v>
      </c>
      <c r="T55">
        <v>338</v>
      </c>
      <c r="U55">
        <v>435</v>
      </c>
      <c r="V55">
        <v>431</v>
      </c>
      <c r="W55">
        <v>431</v>
      </c>
      <c r="X55">
        <v>2</v>
      </c>
      <c r="Y55">
        <v>9</v>
      </c>
      <c r="Z55">
        <v>654</v>
      </c>
    </row>
    <row r="56" spans="1:26" x14ac:dyDescent="0.35">
      <c r="A56" s="103" t="s">
        <v>263</v>
      </c>
      <c r="B56" t="s">
        <v>141</v>
      </c>
      <c r="C56" t="s">
        <v>341</v>
      </c>
      <c r="D56" t="s">
        <v>112</v>
      </c>
      <c r="E56" t="s">
        <v>170</v>
      </c>
      <c r="F56">
        <v>7</v>
      </c>
      <c r="G56">
        <v>0</v>
      </c>
      <c r="H56">
        <v>6</v>
      </c>
      <c r="I56">
        <v>6</v>
      </c>
      <c r="J56">
        <v>7</v>
      </c>
      <c r="K56">
        <v>7</v>
      </c>
      <c r="L56">
        <v>35</v>
      </c>
      <c r="M56">
        <v>0</v>
      </c>
      <c r="N56">
        <v>21</v>
      </c>
      <c r="O56">
        <v>25</v>
      </c>
      <c r="P56">
        <v>26</v>
      </c>
      <c r="Q56">
        <v>26</v>
      </c>
      <c r="R56">
        <v>2013</v>
      </c>
      <c r="S56">
        <v>1986</v>
      </c>
      <c r="T56">
        <v>1146</v>
      </c>
      <c r="U56">
        <v>1440</v>
      </c>
      <c r="V56">
        <v>1421</v>
      </c>
      <c r="W56">
        <v>1421</v>
      </c>
      <c r="X56">
        <v>7</v>
      </c>
      <c r="Y56">
        <v>35</v>
      </c>
      <c r="Z56">
        <v>2013</v>
      </c>
    </row>
    <row r="57" spans="1:26" x14ac:dyDescent="0.35">
      <c r="A57" s="103" t="s">
        <v>263</v>
      </c>
      <c r="B57" t="s">
        <v>141</v>
      </c>
      <c r="C57" t="s">
        <v>342</v>
      </c>
      <c r="D57" t="s">
        <v>112</v>
      </c>
      <c r="E57" t="s">
        <v>170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32</v>
      </c>
      <c r="S57">
        <v>32</v>
      </c>
      <c r="T57">
        <v>16</v>
      </c>
      <c r="U57">
        <v>21</v>
      </c>
      <c r="V57">
        <v>28</v>
      </c>
      <c r="W57">
        <v>28</v>
      </c>
      <c r="X57">
        <v>0</v>
      </c>
      <c r="Y57">
        <v>0</v>
      </c>
      <c r="Z57">
        <v>31</v>
      </c>
    </row>
    <row r="58" spans="1:26" x14ac:dyDescent="0.35">
      <c r="A58" s="103" t="s">
        <v>263</v>
      </c>
      <c r="B58" t="s">
        <v>141</v>
      </c>
      <c r="C58" t="s">
        <v>266</v>
      </c>
      <c r="D58" t="s">
        <v>112</v>
      </c>
      <c r="E58" t="s">
        <v>170</v>
      </c>
      <c r="F58">
        <v>4</v>
      </c>
      <c r="G58">
        <v>0</v>
      </c>
      <c r="H58">
        <v>3</v>
      </c>
      <c r="I58">
        <v>4</v>
      </c>
      <c r="J58">
        <v>4</v>
      </c>
      <c r="K58">
        <v>4</v>
      </c>
      <c r="L58">
        <v>20</v>
      </c>
      <c r="M58">
        <v>0</v>
      </c>
      <c r="N58">
        <v>11</v>
      </c>
      <c r="O58">
        <v>14</v>
      </c>
      <c r="P58">
        <v>14</v>
      </c>
      <c r="Q58">
        <v>14</v>
      </c>
      <c r="R58">
        <v>1727</v>
      </c>
      <c r="S58">
        <v>1652</v>
      </c>
      <c r="T58">
        <v>1038</v>
      </c>
      <c r="U58">
        <v>1248</v>
      </c>
      <c r="V58">
        <v>1160</v>
      </c>
      <c r="W58">
        <v>1162</v>
      </c>
      <c r="X58">
        <v>4</v>
      </c>
      <c r="Y58">
        <v>20</v>
      </c>
      <c r="Z58">
        <v>1727</v>
      </c>
    </row>
    <row r="59" spans="1:26" x14ac:dyDescent="0.35">
      <c r="A59" s="103" t="s">
        <v>263</v>
      </c>
      <c r="B59" t="s">
        <v>141</v>
      </c>
      <c r="C59" t="s">
        <v>343</v>
      </c>
      <c r="D59" t="s">
        <v>112</v>
      </c>
      <c r="E59" t="s">
        <v>170</v>
      </c>
      <c r="F59">
        <v>2</v>
      </c>
      <c r="G59">
        <v>0</v>
      </c>
      <c r="H59">
        <v>1</v>
      </c>
      <c r="I59">
        <v>2</v>
      </c>
      <c r="J59">
        <v>1</v>
      </c>
      <c r="K59">
        <v>1</v>
      </c>
      <c r="L59">
        <v>9</v>
      </c>
      <c r="M59">
        <v>0</v>
      </c>
      <c r="N59">
        <v>7</v>
      </c>
      <c r="O59">
        <v>9</v>
      </c>
      <c r="P59">
        <v>6</v>
      </c>
      <c r="Q59">
        <v>6</v>
      </c>
      <c r="R59">
        <v>651</v>
      </c>
      <c r="S59">
        <v>639</v>
      </c>
      <c r="T59">
        <v>364</v>
      </c>
      <c r="U59">
        <v>435</v>
      </c>
      <c r="V59">
        <v>494</v>
      </c>
      <c r="W59">
        <v>494</v>
      </c>
      <c r="X59">
        <v>2</v>
      </c>
      <c r="Y59">
        <v>9</v>
      </c>
      <c r="Z59">
        <v>652</v>
      </c>
    </row>
    <row r="60" spans="1:26" x14ac:dyDescent="0.35">
      <c r="A60" s="103" t="s">
        <v>263</v>
      </c>
      <c r="B60" t="s">
        <v>141</v>
      </c>
      <c r="C60" t="s">
        <v>344</v>
      </c>
      <c r="D60" t="s">
        <v>112</v>
      </c>
      <c r="E60" t="s">
        <v>170</v>
      </c>
      <c r="F60">
        <v>7</v>
      </c>
      <c r="G60">
        <v>0</v>
      </c>
      <c r="H60">
        <v>6</v>
      </c>
      <c r="I60">
        <v>7</v>
      </c>
      <c r="J60">
        <v>7</v>
      </c>
      <c r="K60">
        <v>7</v>
      </c>
      <c r="L60">
        <v>35</v>
      </c>
      <c r="M60">
        <v>0</v>
      </c>
      <c r="N60">
        <v>30</v>
      </c>
      <c r="O60">
        <v>34</v>
      </c>
      <c r="P60">
        <v>33</v>
      </c>
      <c r="Q60">
        <v>33</v>
      </c>
      <c r="R60">
        <v>2009</v>
      </c>
      <c r="S60">
        <v>1992</v>
      </c>
      <c r="T60">
        <v>1158</v>
      </c>
      <c r="U60">
        <v>1454</v>
      </c>
      <c r="V60">
        <v>1363</v>
      </c>
      <c r="W60">
        <v>1363</v>
      </c>
      <c r="X60">
        <v>7</v>
      </c>
      <c r="Y60">
        <v>35</v>
      </c>
      <c r="Z60">
        <v>2010</v>
      </c>
    </row>
    <row r="61" spans="1:26" x14ac:dyDescent="0.35">
      <c r="A61" s="103" t="s">
        <v>263</v>
      </c>
      <c r="B61" t="s">
        <v>141</v>
      </c>
      <c r="C61" t="s">
        <v>345</v>
      </c>
      <c r="D61" t="s">
        <v>112</v>
      </c>
      <c r="E61" t="s">
        <v>170</v>
      </c>
      <c r="F61">
        <v>1</v>
      </c>
      <c r="G61">
        <v>0</v>
      </c>
      <c r="H61">
        <v>0</v>
      </c>
      <c r="I61">
        <v>0</v>
      </c>
      <c r="J61">
        <v>1</v>
      </c>
      <c r="K61">
        <v>1</v>
      </c>
      <c r="L61">
        <v>1</v>
      </c>
      <c r="M61">
        <v>0</v>
      </c>
      <c r="N61">
        <v>0</v>
      </c>
      <c r="O61">
        <v>1</v>
      </c>
      <c r="P61">
        <v>1</v>
      </c>
      <c r="Q61">
        <v>1</v>
      </c>
      <c r="R61">
        <v>386</v>
      </c>
      <c r="S61">
        <v>381</v>
      </c>
      <c r="T61">
        <v>289</v>
      </c>
      <c r="U61">
        <v>340</v>
      </c>
      <c r="V61">
        <v>255</v>
      </c>
      <c r="W61">
        <v>255</v>
      </c>
      <c r="X61">
        <v>0</v>
      </c>
      <c r="Y61">
        <v>1</v>
      </c>
      <c r="Z61">
        <v>385</v>
      </c>
    </row>
    <row r="62" spans="1:26" x14ac:dyDescent="0.35">
      <c r="A62" s="103" t="s">
        <v>263</v>
      </c>
      <c r="B62" t="s">
        <v>141</v>
      </c>
      <c r="C62" t="s">
        <v>346</v>
      </c>
      <c r="D62" t="s">
        <v>112</v>
      </c>
      <c r="E62" t="s">
        <v>170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195</v>
      </c>
      <c r="S62">
        <v>183</v>
      </c>
      <c r="T62">
        <v>127</v>
      </c>
      <c r="U62">
        <v>145</v>
      </c>
      <c r="V62">
        <v>94</v>
      </c>
      <c r="W62">
        <v>94</v>
      </c>
      <c r="X62">
        <v>0</v>
      </c>
      <c r="Y62">
        <v>0</v>
      </c>
      <c r="Z62">
        <v>195</v>
      </c>
    </row>
    <row r="63" spans="1:26" x14ac:dyDescent="0.35">
      <c r="A63" s="103" t="s">
        <v>263</v>
      </c>
      <c r="B63" t="s">
        <v>141</v>
      </c>
      <c r="C63" t="s">
        <v>347</v>
      </c>
      <c r="D63" t="s">
        <v>112</v>
      </c>
      <c r="E63" t="s">
        <v>170</v>
      </c>
      <c r="F63">
        <v>3</v>
      </c>
      <c r="G63">
        <v>0</v>
      </c>
      <c r="H63">
        <v>1</v>
      </c>
      <c r="I63">
        <v>2</v>
      </c>
      <c r="J63">
        <v>2</v>
      </c>
      <c r="K63">
        <v>2</v>
      </c>
      <c r="L63">
        <v>15</v>
      </c>
      <c r="M63">
        <v>0</v>
      </c>
      <c r="N63">
        <v>9</v>
      </c>
      <c r="O63">
        <v>11</v>
      </c>
      <c r="P63">
        <v>12</v>
      </c>
      <c r="Q63">
        <v>12</v>
      </c>
      <c r="R63">
        <v>697</v>
      </c>
      <c r="S63">
        <v>692</v>
      </c>
      <c r="T63">
        <v>455</v>
      </c>
      <c r="U63">
        <v>531</v>
      </c>
      <c r="V63">
        <v>496</v>
      </c>
      <c r="W63">
        <v>496</v>
      </c>
      <c r="X63">
        <v>3</v>
      </c>
      <c r="Y63">
        <v>15</v>
      </c>
      <c r="Z63">
        <v>697</v>
      </c>
    </row>
    <row r="64" spans="1:26" x14ac:dyDescent="0.35">
      <c r="A64" s="103" t="s">
        <v>263</v>
      </c>
      <c r="B64" t="s">
        <v>141</v>
      </c>
      <c r="C64" t="s">
        <v>348</v>
      </c>
      <c r="D64" t="s">
        <v>112</v>
      </c>
      <c r="E64" t="s">
        <v>170</v>
      </c>
      <c r="F64">
        <v>6</v>
      </c>
      <c r="G64">
        <v>0</v>
      </c>
      <c r="H64">
        <v>2</v>
      </c>
      <c r="I64">
        <v>4</v>
      </c>
      <c r="J64">
        <v>5</v>
      </c>
      <c r="K64">
        <v>5</v>
      </c>
      <c r="L64">
        <v>32</v>
      </c>
      <c r="M64">
        <v>0</v>
      </c>
      <c r="N64">
        <v>21</v>
      </c>
      <c r="O64">
        <v>26</v>
      </c>
      <c r="P64">
        <v>26</v>
      </c>
      <c r="Q64">
        <v>26</v>
      </c>
      <c r="R64">
        <v>2398</v>
      </c>
      <c r="S64">
        <v>2363</v>
      </c>
      <c r="T64">
        <v>1512</v>
      </c>
      <c r="U64">
        <v>1822</v>
      </c>
      <c r="V64">
        <v>1804</v>
      </c>
      <c r="W64">
        <v>1804</v>
      </c>
      <c r="X64">
        <v>6</v>
      </c>
      <c r="Y64">
        <v>32</v>
      </c>
      <c r="Z64">
        <v>2396</v>
      </c>
    </row>
    <row r="65" spans="1:26" x14ac:dyDescent="0.35">
      <c r="A65" s="103" t="s">
        <v>263</v>
      </c>
      <c r="B65" t="s">
        <v>141</v>
      </c>
      <c r="C65" t="s">
        <v>349</v>
      </c>
      <c r="D65" t="s">
        <v>112</v>
      </c>
      <c r="E65" t="s">
        <v>170</v>
      </c>
      <c r="F65">
        <v>9</v>
      </c>
      <c r="G65">
        <v>0</v>
      </c>
      <c r="H65">
        <v>4</v>
      </c>
      <c r="I65">
        <v>5</v>
      </c>
      <c r="J65">
        <v>2</v>
      </c>
      <c r="K65">
        <v>2</v>
      </c>
      <c r="L65">
        <v>46</v>
      </c>
      <c r="M65">
        <v>0</v>
      </c>
      <c r="N65">
        <v>30</v>
      </c>
      <c r="O65">
        <v>35</v>
      </c>
      <c r="P65">
        <v>33</v>
      </c>
      <c r="Q65">
        <v>33</v>
      </c>
      <c r="R65">
        <v>2937</v>
      </c>
      <c r="S65">
        <v>2929</v>
      </c>
      <c r="T65">
        <v>1959</v>
      </c>
      <c r="U65">
        <v>2353</v>
      </c>
      <c r="V65">
        <v>2221</v>
      </c>
      <c r="W65">
        <v>2222</v>
      </c>
      <c r="X65">
        <v>9</v>
      </c>
      <c r="Y65">
        <v>45</v>
      </c>
      <c r="Z65">
        <v>2934</v>
      </c>
    </row>
    <row r="66" spans="1:26" x14ac:dyDescent="0.35">
      <c r="A66" s="103" t="s">
        <v>263</v>
      </c>
      <c r="B66" t="s">
        <v>141</v>
      </c>
      <c r="C66" t="s">
        <v>350</v>
      </c>
      <c r="D66" t="s">
        <v>112</v>
      </c>
      <c r="E66" t="s">
        <v>170</v>
      </c>
      <c r="F66">
        <v>6</v>
      </c>
      <c r="G66">
        <v>0</v>
      </c>
      <c r="H66">
        <v>6</v>
      </c>
      <c r="I66">
        <v>6</v>
      </c>
      <c r="J66">
        <v>6</v>
      </c>
      <c r="K66">
        <v>6</v>
      </c>
      <c r="L66">
        <v>33</v>
      </c>
      <c r="M66">
        <v>0</v>
      </c>
      <c r="N66">
        <v>26</v>
      </c>
      <c r="O66">
        <v>31</v>
      </c>
      <c r="P66">
        <v>29</v>
      </c>
      <c r="Q66">
        <v>29</v>
      </c>
      <c r="R66">
        <v>2223</v>
      </c>
      <c r="S66">
        <v>2203</v>
      </c>
      <c r="T66">
        <v>1404</v>
      </c>
      <c r="U66">
        <v>1756</v>
      </c>
      <c r="V66">
        <v>1629</v>
      </c>
      <c r="W66">
        <v>1629</v>
      </c>
      <c r="X66">
        <v>7</v>
      </c>
      <c r="Y66">
        <v>33</v>
      </c>
      <c r="Z66">
        <v>2225</v>
      </c>
    </row>
    <row r="67" spans="1:26" x14ac:dyDescent="0.35">
      <c r="A67" s="103" t="s">
        <v>263</v>
      </c>
      <c r="B67" t="s">
        <v>141</v>
      </c>
      <c r="C67" t="s">
        <v>351</v>
      </c>
      <c r="D67" t="s">
        <v>112</v>
      </c>
      <c r="E67" t="s">
        <v>170</v>
      </c>
      <c r="F67">
        <v>1</v>
      </c>
      <c r="G67">
        <v>0</v>
      </c>
      <c r="H67">
        <v>1</v>
      </c>
      <c r="I67">
        <v>1</v>
      </c>
      <c r="J67">
        <v>1</v>
      </c>
      <c r="K67">
        <v>1</v>
      </c>
      <c r="L67">
        <v>8</v>
      </c>
      <c r="M67">
        <v>0</v>
      </c>
      <c r="N67">
        <v>6</v>
      </c>
      <c r="O67">
        <v>7</v>
      </c>
      <c r="P67">
        <v>8</v>
      </c>
      <c r="Q67">
        <v>8</v>
      </c>
      <c r="R67">
        <v>529</v>
      </c>
      <c r="S67">
        <v>515</v>
      </c>
      <c r="T67">
        <v>311</v>
      </c>
      <c r="U67">
        <v>398</v>
      </c>
      <c r="V67">
        <v>361</v>
      </c>
      <c r="W67">
        <v>361</v>
      </c>
      <c r="X67">
        <v>1</v>
      </c>
      <c r="Y67">
        <v>8</v>
      </c>
      <c r="Z67">
        <v>529</v>
      </c>
    </row>
    <row r="68" spans="1:26" x14ac:dyDescent="0.35">
      <c r="A68" s="103" t="s">
        <v>263</v>
      </c>
      <c r="B68" t="s">
        <v>141</v>
      </c>
      <c r="C68" t="s">
        <v>352</v>
      </c>
      <c r="D68" t="s">
        <v>112</v>
      </c>
      <c r="E68" t="s">
        <v>170</v>
      </c>
      <c r="F68">
        <v>12</v>
      </c>
      <c r="G68">
        <v>0</v>
      </c>
      <c r="H68">
        <v>10</v>
      </c>
      <c r="I68">
        <v>11</v>
      </c>
      <c r="J68">
        <v>10</v>
      </c>
      <c r="K68">
        <v>10</v>
      </c>
      <c r="L68">
        <v>62</v>
      </c>
      <c r="M68">
        <v>2</v>
      </c>
      <c r="N68">
        <v>33</v>
      </c>
      <c r="O68">
        <v>44</v>
      </c>
      <c r="P68">
        <v>41</v>
      </c>
      <c r="Q68">
        <v>41</v>
      </c>
      <c r="R68">
        <v>3738</v>
      </c>
      <c r="S68">
        <v>3647</v>
      </c>
      <c r="T68">
        <v>2455</v>
      </c>
      <c r="U68">
        <v>2930</v>
      </c>
      <c r="V68">
        <v>2779</v>
      </c>
      <c r="W68">
        <v>2779</v>
      </c>
      <c r="X68">
        <v>13</v>
      </c>
      <c r="Y68">
        <v>63</v>
      </c>
      <c r="Z68">
        <v>3739</v>
      </c>
    </row>
    <row r="69" spans="1:26" x14ac:dyDescent="0.35">
      <c r="A69" s="103" t="s">
        <v>263</v>
      </c>
      <c r="B69" t="s">
        <v>141</v>
      </c>
      <c r="C69" t="s">
        <v>353</v>
      </c>
      <c r="D69" t="s">
        <v>112</v>
      </c>
      <c r="E69" t="s">
        <v>170</v>
      </c>
      <c r="F69">
        <v>15</v>
      </c>
      <c r="G69">
        <v>0</v>
      </c>
      <c r="H69">
        <v>11</v>
      </c>
      <c r="I69">
        <v>13</v>
      </c>
      <c r="J69">
        <v>12</v>
      </c>
      <c r="K69">
        <v>12</v>
      </c>
      <c r="L69">
        <v>70</v>
      </c>
      <c r="M69">
        <v>2</v>
      </c>
      <c r="N69">
        <v>46</v>
      </c>
      <c r="O69">
        <v>56</v>
      </c>
      <c r="P69">
        <v>50</v>
      </c>
      <c r="Q69">
        <v>50</v>
      </c>
      <c r="R69">
        <v>4080</v>
      </c>
      <c r="S69">
        <v>3990</v>
      </c>
      <c r="T69">
        <v>2642</v>
      </c>
      <c r="U69">
        <v>3197</v>
      </c>
      <c r="V69">
        <v>2890</v>
      </c>
      <c r="W69">
        <v>2892</v>
      </c>
      <c r="X69">
        <v>15</v>
      </c>
      <c r="Y69">
        <v>70</v>
      </c>
      <c r="Z69">
        <v>4089</v>
      </c>
    </row>
    <row r="70" spans="1:26" x14ac:dyDescent="0.35">
      <c r="A70" s="103" t="s">
        <v>263</v>
      </c>
      <c r="B70" t="s">
        <v>141</v>
      </c>
      <c r="C70" t="s">
        <v>354</v>
      </c>
      <c r="D70" t="s">
        <v>112</v>
      </c>
      <c r="E70" t="s">
        <v>170</v>
      </c>
      <c r="F70">
        <v>3</v>
      </c>
      <c r="G70">
        <v>0</v>
      </c>
      <c r="H70">
        <v>3</v>
      </c>
      <c r="I70">
        <v>3</v>
      </c>
      <c r="J70">
        <v>2</v>
      </c>
      <c r="K70">
        <v>2</v>
      </c>
      <c r="L70">
        <v>18</v>
      </c>
      <c r="M70">
        <v>0</v>
      </c>
      <c r="N70">
        <v>13</v>
      </c>
      <c r="O70">
        <v>17</v>
      </c>
      <c r="P70">
        <v>13</v>
      </c>
      <c r="Q70">
        <v>13</v>
      </c>
      <c r="R70">
        <v>1377</v>
      </c>
      <c r="S70">
        <v>1351</v>
      </c>
      <c r="T70">
        <v>879</v>
      </c>
      <c r="U70">
        <v>1049</v>
      </c>
      <c r="V70">
        <v>982</v>
      </c>
      <c r="W70">
        <v>982</v>
      </c>
      <c r="X70">
        <v>3</v>
      </c>
      <c r="Y70">
        <v>18</v>
      </c>
      <c r="Z70">
        <v>1377</v>
      </c>
    </row>
    <row r="71" spans="1:26" x14ac:dyDescent="0.35">
      <c r="A71" s="103" t="s">
        <v>263</v>
      </c>
      <c r="B71" t="s">
        <v>141</v>
      </c>
      <c r="C71" t="s">
        <v>355</v>
      </c>
      <c r="D71" t="s">
        <v>112</v>
      </c>
      <c r="E71" t="s">
        <v>170</v>
      </c>
      <c r="F71">
        <v>2</v>
      </c>
      <c r="G71">
        <v>0</v>
      </c>
      <c r="H71">
        <v>2</v>
      </c>
      <c r="I71">
        <v>2</v>
      </c>
      <c r="J71">
        <v>2</v>
      </c>
      <c r="K71">
        <v>2</v>
      </c>
      <c r="L71">
        <v>10</v>
      </c>
      <c r="M71">
        <v>0</v>
      </c>
      <c r="N71">
        <v>8</v>
      </c>
      <c r="O71">
        <v>9</v>
      </c>
      <c r="P71">
        <v>7</v>
      </c>
      <c r="Q71">
        <v>7</v>
      </c>
      <c r="R71">
        <v>618</v>
      </c>
      <c r="S71">
        <v>609</v>
      </c>
      <c r="T71">
        <v>366</v>
      </c>
      <c r="U71">
        <v>463</v>
      </c>
      <c r="V71">
        <v>478</v>
      </c>
      <c r="W71">
        <v>478</v>
      </c>
      <c r="X71">
        <v>2</v>
      </c>
      <c r="Y71">
        <v>10</v>
      </c>
      <c r="Z71">
        <v>618</v>
      </c>
    </row>
    <row r="72" spans="1:26" x14ac:dyDescent="0.35">
      <c r="A72" s="103" t="s">
        <v>263</v>
      </c>
      <c r="B72" t="s">
        <v>141</v>
      </c>
      <c r="C72" t="s">
        <v>356</v>
      </c>
      <c r="D72" t="s">
        <v>112</v>
      </c>
      <c r="E72" t="s">
        <v>170</v>
      </c>
      <c r="F72">
        <v>6</v>
      </c>
      <c r="G72">
        <v>0</v>
      </c>
      <c r="H72">
        <v>5</v>
      </c>
      <c r="I72">
        <v>5</v>
      </c>
      <c r="J72">
        <v>6</v>
      </c>
      <c r="K72">
        <v>6</v>
      </c>
      <c r="L72">
        <v>32</v>
      </c>
      <c r="M72">
        <v>0</v>
      </c>
      <c r="N72">
        <v>26</v>
      </c>
      <c r="O72">
        <v>28</v>
      </c>
      <c r="P72">
        <v>28</v>
      </c>
      <c r="Q72">
        <v>28</v>
      </c>
      <c r="R72">
        <v>2190</v>
      </c>
      <c r="S72">
        <v>2154</v>
      </c>
      <c r="T72">
        <v>1390</v>
      </c>
      <c r="U72">
        <v>1683</v>
      </c>
      <c r="V72">
        <v>1698</v>
      </c>
      <c r="W72">
        <v>1698</v>
      </c>
      <c r="X72">
        <v>6</v>
      </c>
      <c r="Y72">
        <v>32</v>
      </c>
      <c r="Z72">
        <v>2190</v>
      </c>
    </row>
    <row r="73" spans="1:26" x14ac:dyDescent="0.35">
      <c r="A73" s="103" t="s">
        <v>263</v>
      </c>
      <c r="B73" t="s">
        <v>141</v>
      </c>
      <c r="C73" t="s">
        <v>357</v>
      </c>
      <c r="D73" t="s">
        <v>112</v>
      </c>
      <c r="E73" t="s">
        <v>170</v>
      </c>
      <c r="F73">
        <v>6</v>
      </c>
      <c r="G73">
        <v>3</v>
      </c>
      <c r="H73">
        <v>2</v>
      </c>
      <c r="I73">
        <v>2</v>
      </c>
      <c r="J73">
        <v>3</v>
      </c>
      <c r="K73">
        <v>3</v>
      </c>
      <c r="L73">
        <v>29</v>
      </c>
      <c r="M73">
        <v>3</v>
      </c>
      <c r="N73">
        <v>20</v>
      </c>
      <c r="O73">
        <v>22</v>
      </c>
      <c r="P73">
        <v>22</v>
      </c>
      <c r="Q73">
        <v>22</v>
      </c>
      <c r="R73">
        <v>1682</v>
      </c>
      <c r="S73">
        <v>1661</v>
      </c>
      <c r="T73">
        <v>1243</v>
      </c>
      <c r="U73">
        <v>1451</v>
      </c>
      <c r="V73">
        <v>1340</v>
      </c>
      <c r="W73">
        <v>1340</v>
      </c>
      <c r="X73">
        <v>6</v>
      </c>
      <c r="Y73">
        <v>29</v>
      </c>
      <c r="Z73">
        <v>1681</v>
      </c>
    </row>
    <row r="74" spans="1:26" x14ac:dyDescent="0.35">
      <c r="A74" s="103" t="s">
        <v>263</v>
      </c>
      <c r="B74" t="s">
        <v>141</v>
      </c>
      <c r="C74" t="s">
        <v>358</v>
      </c>
      <c r="D74" t="s">
        <v>112</v>
      </c>
      <c r="E74" t="s">
        <v>170</v>
      </c>
      <c r="F74">
        <v>4</v>
      </c>
      <c r="G74">
        <v>0</v>
      </c>
      <c r="H74">
        <v>3</v>
      </c>
      <c r="I74">
        <v>3</v>
      </c>
      <c r="J74">
        <v>4</v>
      </c>
      <c r="K74">
        <v>4</v>
      </c>
      <c r="L74">
        <v>17</v>
      </c>
      <c r="M74">
        <v>0</v>
      </c>
      <c r="N74">
        <v>13</v>
      </c>
      <c r="O74">
        <v>15</v>
      </c>
      <c r="P74">
        <v>15</v>
      </c>
      <c r="Q74">
        <v>15</v>
      </c>
      <c r="R74">
        <v>1040</v>
      </c>
      <c r="S74">
        <v>1026</v>
      </c>
      <c r="T74">
        <v>677</v>
      </c>
      <c r="U74">
        <v>814</v>
      </c>
      <c r="V74">
        <v>794</v>
      </c>
      <c r="W74">
        <v>794</v>
      </c>
      <c r="X74">
        <v>4</v>
      </c>
      <c r="Y74">
        <v>17</v>
      </c>
      <c r="Z74">
        <v>1041</v>
      </c>
    </row>
    <row r="75" spans="1:26" x14ac:dyDescent="0.35">
      <c r="A75" s="103" t="s">
        <v>263</v>
      </c>
      <c r="B75" t="s">
        <v>140</v>
      </c>
      <c r="C75" t="s">
        <v>359</v>
      </c>
      <c r="D75" t="s">
        <v>112</v>
      </c>
      <c r="E75" t="s">
        <v>170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77</v>
      </c>
      <c r="S75">
        <v>77</v>
      </c>
      <c r="T75">
        <v>63</v>
      </c>
      <c r="U75">
        <v>69</v>
      </c>
      <c r="V75">
        <v>60</v>
      </c>
      <c r="W75">
        <v>60</v>
      </c>
      <c r="X75">
        <v>0</v>
      </c>
      <c r="Y75">
        <v>0</v>
      </c>
      <c r="Z75">
        <v>77</v>
      </c>
    </row>
    <row r="76" spans="1:26" x14ac:dyDescent="0.35">
      <c r="A76" s="103" t="s">
        <v>263</v>
      </c>
      <c r="B76" t="s">
        <v>141</v>
      </c>
      <c r="C76" t="s">
        <v>360</v>
      </c>
      <c r="D76" t="s">
        <v>112</v>
      </c>
      <c r="E76" t="s">
        <v>170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1</v>
      </c>
      <c r="M76">
        <v>0</v>
      </c>
      <c r="N76">
        <v>0</v>
      </c>
      <c r="O76">
        <v>0</v>
      </c>
      <c r="P76">
        <v>0</v>
      </c>
      <c r="Q76">
        <v>0</v>
      </c>
      <c r="R76">
        <v>519</v>
      </c>
      <c r="S76">
        <v>488</v>
      </c>
      <c r="T76">
        <v>339</v>
      </c>
      <c r="U76">
        <v>407</v>
      </c>
      <c r="V76">
        <v>343</v>
      </c>
      <c r="W76">
        <v>343</v>
      </c>
      <c r="X76">
        <v>0</v>
      </c>
      <c r="Y76">
        <v>1</v>
      </c>
      <c r="Z76">
        <v>519</v>
      </c>
    </row>
    <row r="77" spans="1:26" x14ac:dyDescent="0.35">
      <c r="A77" s="103" t="s">
        <v>263</v>
      </c>
      <c r="B77" t="s">
        <v>141</v>
      </c>
      <c r="C77" t="s">
        <v>361</v>
      </c>
      <c r="D77" t="s">
        <v>112</v>
      </c>
      <c r="E77" t="s">
        <v>170</v>
      </c>
      <c r="F77">
        <v>5</v>
      </c>
      <c r="G77">
        <v>0</v>
      </c>
      <c r="H77">
        <v>4</v>
      </c>
      <c r="I77">
        <v>5</v>
      </c>
      <c r="J77">
        <v>5</v>
      </c>
      <c r="K77">
        <v>5</v>
      </c>
      <c r="L77">
        <v>23</v>
      </c>
      <c r="M77">
        <v>0</v>
      </c>
      <c r="N77">
        <v>17</v>
      </c>
      <c r="O77">
        <v>20</v>
      </c>
      <c r="P77">
        <v>20</v>
      </c>
      <c r="Q77">
        <v>20</v>
      </c>
      <c r="R77">
        <v>1485</v>
      </c>
      <c r="S77">
        <v>1466</v>
      </c>
      <c r="T77">
        <v>851</v>
      </c>
      <c r="U77">
        <v>1101</v>
      </c>
      <c r="V77">
        <v>1039</v>
      </c>
      <c r="W77">
        <v>1039</v>
      </c>
      <c r="X77">
        <v>5</v>
      </c>
      <c r="Y77">
        <v>23</v>
      </c>
      <c r="Z77">
        <v>1486</v>
      </c>
    </row>
    <row r="78" spans="1:26" x14ac:dyDescent="0.35">
      <c r="A78" s="103" t="s">
        <v>263</v>
      </c>
      <c r="B78" t="s">
        <v>141</v>
      </c>
      <c r="C78" t="s">
        <v>362</v>
      </c>
      <c r="D78" t="s">
        <v>112</v>
      </c>
      <c r="E78" t="s">
        <v>170</v>
      </c>
      <c r="F78">
        <v>14</v>
      </c>
      <c r="G78">
        <v>0</v>
      </c>
      <c r="H78">
        <v>8</v>
      </c>
      <c r="I78">
        <v>11</v>
      </c>
      <c r="J78">
        <v>12</v>
      </c>
      <c r="K78">
        <v>12</v>
      </c>
      <c r="L78">
        <v>68</v>
      </c>
      <c r="M78">
        <v>0</v>
      </c>
      <c r="N78">
        <v>44</v>
      </c>
      <c r="O78">
        <v>59</v>
      </c>
      <c r="P78">
        <v>56</v>
      </c>
      <c r="Q78">
        <v>56</v>
      </c>
      <c r="R78">
        <v>4620</v>
      </c>
      <c r="S78">
        <v>4569</v>
      </c>
      <c r="T78">
        <v>2914</v>
      </c>
      <c r="U78">
        <v>3506</v>
      </c>
      <c r="V78">
        <v>3510</v>
      </c>
      <c r="W78">
        <v>3510</v>
      </c>
      <c r="X78">
        <v>14</v>
      </c>
      <c r="Y78">
        <v>68</v>
      </c>
      <c r="Z78">
        <v>4620</v>
      </c>
    </row>
    <row r="79" spans="1:26" x14ac:dyDescent="0.35">
      <c r="A79" s="103" t="s">
        <v>263</v>
      </c>
      <c r="B79" t="s">
        <v>141</v>
      </c>
      <c r="C79" t="s">
        <v>363</v>
      </c>
      <c r="D79" t="s">
        <v>112</v>
      </c>
      <c r="E79" t="s">
        <v>170</v>
      </c>
      <c r="F79">
        <v>1</v>
      </c>
      <c r="G79">
        <v>0</v>
      </c>
      <c r="H79">
        <v>1</v>
      </c>
      <c r="I79">
        <v>1</v>
      </c>
      <c r="J79">
        <v>1</v>
      </c>
      <c r="K79">
        <v>1</v>
      </c>
      <c r="L79">
        <v>5</v>
      </c>
      <c r="M79">
        <v>0</v>
      </c>
      <c r="N79">
        <v>4</v>
      </c>
      <c r="O79">
        <v>5</v>
      </c>
      <c r="P79">
        <v>5</v>
      </c>
      <c r="Q79">
        <v>5</v>
      </c>
      <c r="R79">
        <v>508</v>
      </c>
      <c r="S79">
        <v>499</v>
      </c>
      <c r="T79">
        <v>294</v>
      </c>
      <c r="U79">
        <v>355</v>
      </c>
      <c r="V79">
        <v>358</v>
      </c>
      <c r="W79">
        <v>358</v>
      </c>
      <c r="X79">
        <v>1</v>
      </c>
      <c r="Y79">
        <v>5</v>
      </c>
      <c r="Z79">
        <v>509</v>
      </c>
    </row>
    <row r="80" spans="1:26" x14ac:dyDescent="0.35">
      <c r="A80" s="103" t="s">
        <v>263</v>
      </c>
      <c r="B80" t="s">
        <v>141</v>
      </c>
      <c r="C80" t="s">
        <v>364</v>
      </c>
      <c r="D80" t="s">
        <v>112</v>
      </c>
      <c r="E80" t="s">
        <v>170</v>
      </c>
      <c r="F80">
        <v>2</v>
      </c>
      <c r="G80">
        <v>0</v>
      </c>
      <c r="H80">
        <v>1</v>
      </c>
      <c r="I80">
        <v>2</v>
      </c>
      <c r="J80">
        <v>2</v>
      </c>
      <c r="K80">
        <v>2</v>
      </c>
      <c r="L80">
        <v>9</v>
      </c>
      <c r="M80">
        <v>0</v>
      </c>
      <c r="N80">
        <v>6</v>
      </c>
      <c r="O80">
        <v>8</v>
      </c>
      <c r="P80">
        <v>8</v>
      </c>
      <c r="Q80">
        <v>8</v>
      </c>
      <c r="R80">
        <v>889</v>
      </c>
      <c r="S80">
        <v>880</v>
      </c>
      <c r="T80">
        <v>613</v>
      </c>
      <c r="U80">
        <v>752</v>
      </c>
      <c r="V80">
        <v>633</v>
      </c>
      <c r="W80">
        <v>633</v>
      </c>
      <c r="X80">
        <v>2</v>
      </c>
      <c r="Y80">
        <v>9</v>
      </c>
      <c r="Z80">
        <v>887</v>
      </c>
    </row>
    <row r="81" spans="1:26" x14ac:dyDescent="0.35">
      <c r="A81" s="103" t="s">
        <v>263</v>
      </c>
      <c r="B81" t="s">
        <v>141</v>
      </c>
      <c r="C81" t="s">
        <v>365</v>
      </c>
      <c r="D81" t="s">
        <v>112</v>
      </c>
      <c r="E81" t="s">
        <v>170</v>
      </c>
      <c r="F81">
        <v>2</v>
      </c>
      <c r="G81">
        <v>0</v>
      </c>
      <c r="H81">
        <v>2</v>
      </c>
      <c r="I81">
        <v>2</v>
      </c>
      <c r="J81">
        <v>2</v>
      </c>
      <c r="K81">
        <v>2</v>
      </c>
      <c r="L81">
        <v>10</v>
      </c>
      <c r="M81">
        <v>0</v>
      </c>
      <c r="N81">
        <v>7</v>
      </c>
      <c r="O81">
        <v>8</v>
      </c>
      <c r="P81">
        <v>9</v>
      </c>
      <c r="Q81">
        <v>9</v>
      </c>
      <c r="R81">
        <v>617</v>
      </c>
      <c r="S81">
        <v>599</v>
      </c>
      <c r="T81">
        <v>364</v>
      </c>
      <c r="U81">
        <v>440</v>
      </c>
      <c r="V81">
        <v>424</v>
      </c>
      <c r="W81">
        <v>424</v>
      </c>
      <c r="X81">
        <v>2</v>
      </c>
      <c r="Y81">
        <v>10</v>
      </c>
      <c r="Z81">
        <v>617</v>
      </c>
    </row>
    <row r="82" spans="1:26" x14ac:dyDescent="0.35">
      <c r="A82" s="103" t="s">
        <v>263</v>
      </c>
      <c r="B82" t="s">
        <v>140</v>
      </c>
      <c r="C82" t="s">
        <v>366</v>
      </c>
      <c r="D82" t="s">
        <v>112</v>
      </c>
      <c r="E82" t="s">
        <v>170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2</v>
      </c>
      <c r="M82">
        <v>0</v>
      </c>
      <c r="N82">
        <v>1</v>
      </c>
      <c r="O82">
        <v>1</v>
      </c>
      <c r="P82">
        <v>2</v>
      </c>
      <c r="Q82">
        <v>2</v>
      </c>
      <c r="R82">
        <v>121</v>
      </c>
      <c r="S82">
        <v>119</v>
      </c>
      <c r="T82">
        <v>63</v>
      </c>
      <c r="U82">
        <v>87</v>
      </c>
      <c r="V82">
        <v>92</v>
      </c>
      <c r="W82">
        <v>92</v>
      </c>
      <c r="X82">
        <v>0</v>
      </c>
      <c r="Y82">
        <v>2</v>
      </c>
      <c r="Z82">
        <v>121</v>
      </c>
    </row>
    <row r="83" spans="1:26" x14ac:dyDescent="0.35">
      <c r="A83" s="103" t="s">
        <v>263</v>
      </c>
      <c r="B83" t="s">
        <v>141</v>
      </c>
      <c r="C83" t="s">
        <v>367</v>
      </c>
      <c r="D83" t="s">
        <v>112</v>
      </c>
      <c r="E83" t="s">
        <v>170</v>
      </c>
      <c r="F83">
        <v>9</v>
      </c>
      <c r="G83">
        <v>0</v>
      </c>
      <c r="H83">
        <v>7</v>
      </c>
      <c r="I83">
        <v>8</v>
      </c>
      <c r="J83">
        <v>9</v>
      </c>
      <c r="K83">
        <v>9</v>
      </c>
      <c r="L83">
        <v>46</v>
      </c>
      <c r="M83">
        <v>0</v>
      </c>
      <c r="N83">
        <v>30</v>
      </c>
      <c r="O83">
        <v>36</v>
      </c>
      <c r="P83">
        <v>35</v>
      </c>
      <c r="Q83">
        <v>35</v>
      </c>
      <c r="R83">
        <v>1881</v>
      </c>
      <c r="S83">
        <v>1842</v>
      </c>
      <c r="T83">
        <v>1315</v>
      </c>
      <c r="U83">
        <v>1546</v>
      </c>
      <c r="V83">
        <v>1400</v>
      </c>
      <c r="W83">
        <v>1400</v>
      </c>
      <c r="X83">
        <v>9</v>
      </c>
      <c r="Y83">
        <v>46</v>
      </c>
      <c r="Z83">
        <v>1882</v>
      </c>
    </row>
    <row r="84" spans="1:26" x14ac:dyDescent="0.35">
      <c r="A84" s="103" t="s">
        <v>263</v>
      </c>
      <c r="B84" t="s">
        <v>141</v>
      </c>
      <c r="C84" t="s">
        <v>368</v>
      </c>
      <c r="D84" t="s">
        <v>112</v>
      </c>
      <c r="E84" t="s">
        <v>170</v>
      </c>
      <c r="F84">
        <v>2</v>
      </c>
      <c r="G84">
        <v>0</v>
      </c>
      <c r="H84">
        <v>2</v>
      </c>
      <c r="I84">
        <v>2</v>
      </c>
      <c r="J84">
        <v>2</v>
      </c>
      <c r="K84">
        <v>2</v>
      </c>
      <c r="L84">
        <v>8</v>
      </c>
      <c r="M84">
        <v>0</v>
      </c>
      <c r="N84">
        <v>7</v>
      </c>
      <c r="O84">
        <v>7</v>
      </c>
      <c r="P84">
        <v>7</v>
      </c>
      <c r="Q84">
        <v>7</v>
      </c>
      <c r="R84">
        <v>555</v>
      </c>
      <c r="S84">
        <v>548</v>
      </c>
      <c r="T84">
        <v>385</v>
      </c>
      <c r="U84">
        <v>453</v>
      </c>
      <c r="V84">
        <v>412</v>
      </c>
      <c r="W84">
        <v>418</v>
      </c>
      <c r="X84">
        <v>2</v>
      </c>
      <c r="Y84">
        <v>8</v>
      </c>
      <c r="Z84">
        <v>555</v>
      </c>
    </row>
    <row r="85" spans="1:26" x14ac:dyDescent="0.35">
      <c r="A85" s="103" t="s">
        <v>263</v>
      </c>
      <c r="B85" t="s">
        <v>140</v>
      </c>
      <c r="C85" t="s">
        <v>369</v>
      </c>
      <c r="D85" t="s">
        <v>112</v>
      </c>
      <c r="E85" t="s">
        <v>170</v>
      </c>
      <c r="F85">
        <v>2</v>
      </c>
      <c r="G85">
        <v>0</v>
      </c>
      <c r="H85">
        <v>0</v>
      </c>
      <c r="I85">
        <v>1</v>
      </c>
      <c r="J85">
        <v>1</v>
      </c>
      <c r="K85">
        <v>1</v>
      </c>
      <c r="L85">
        <v>10</v>
      </c>
      <c r="M85">
        <v>1</v>
      </c>
      <c r="N85">
        <v>3</v>
      </c>
      <c r="O85">
        <v>4</v>
      </c>
      <c r="P85">
        <v>6</v>
      </c>
      <c r="Q85">
        <v>6</v>
      </c>
      <c r="R85">
        <v>464</v>
      </c>
      <c r="S85">
        <v>444</v>
      </c>
      <c r="T85">
        <v>298</v>
      </c>
      <c r="U85">
        <v>349</v>
      </c>
      <c r="V85">
        <v>315</v>
      </c>
      <c r="W85">
        <v>315</v>
      </c>
      <c r="X85">
        <v>2</v>
      </c>
      <c r="Y85">
        <v>10</v>
      </c>
      <c r="Z85">
        <v>465</v>
      </c>
    </row>
    <row r="86" spans="1:26" x14ac:dyDescent="0.35">
      <c r="A86" s="103" t="s">
        <v>263</v>
      </c>
      <c r="B86" t="s">
        <v>141</v>
      </c>
      <c r="C86" t="s">
        <v>370</v>
      </c>
      <c r="D86" t="s">
        <v>112</v>
      </c>
      <c r="E86" t="s">
        <v>170</v>
      </c>
      <c r="F86">
        <v>6</v>
      </c>
      <c r="G86">
        <v>0</v>
      </c>
      <c r="H86">
        <v>4</v>
      </c>
      <c r="I86">
        <v>5</v>
      </c>
      <c r="J86">
        <v>3</v>
      </c>
      <c r="K86">
        <v>3</v>
      </c>
      <c r="L86">
        <v>28</v>
      </c>
      <c r="M86">
        <v>0</v>
      </c>
      <c r="N86">
        <v>18</v>
      </c>
      <c r="O86">
        <v>21</v>
      </c>
      <c r="P86">
        <v>19</v>
      </c>
      <c r="Q86">
        <v>19</v>
      </c>
      <c r="R86">
        <v>1581</v>
      </c>
      <c r="S86">
        <v>1557</v>
      </c>
      <c r="T86">
        <v>920</v>
      </c>
      <c r="U86">
        <v>1199</v>
      </c>
      <c r="V86">
        <v>1136</v>
      </c>
      <c r="W86">
        <v>1136</v>
      </c>
      <c r="X86">
        <v>6</v>
      </c>
      <c r="Y86">
        <v>28</v>
      </c>
      <c r="Z86">
        <v>1582</v>
      </c>
    </row>
    <row r="87" spans="1:26" x14ac:dyDescent="0.35">
      <c r="A87" s="103" t="s">
        <v>263</v>
      </c>
      <c r="B87" t="s">
        <v>141</v>
      </c>
      <c r="C87" t="s">
        <v>371</v>
      </c>
      <c r="D87" t="s">
        <v>112</v>
      </c>
      <c r="E87" t="s">
        <v>170</v>
      </c>
      <c r="F87">
        <v>2</v>
      </c>
      <c r="G87">
        <v>0</v>
      </c>
      <c r="H87">
        <v>1</v>
      </c>
      <c r="I87">
        <v>1</v>
      </c>
      <c r="J87">
        <v>2</v>
      </c>
      <c r="K87">
        <v>2</v>
      </c>
      <c r="L87">
        <v>10</v>
      </c>
      <c r="M87">
        <v>0</v>
      </c>
      <c r="N87">
        <v>4</v>
      </c>
      <c r="O87">
        <v>8</v>
      </c>
      <c r="P87">
        <v>10</v>
      </c>
      <c r="Q87">
        <v>10</v>
      </c>
      <c r="R87">
        <v>773</v>
      </c>
      <c r="S87">
        <v>763</v>
      </c>
      <c r="T87">
        <v>440</v>
      </c>
      <c r="U87">
        <v>544</v>
      </c>
      <c r="V87">
        <v>501</v>
      </c>
      <c r="W87">
        <v>501</v>
      </c>
      <c r="X87">
        <v>2</v>
      </c>
      <c r="Y87">
        <v>10</v>
      </c>
      <c r="Z87">
        <v>773</v>
      </c>
    </row>
    <row r="88" spans="1:26" x14ac:dyDescent="0.35">
      <c r="A88" s="103" t="s">
        <v>263</v>
      </c>
      <c r="B88" t="s">
        <v>141</v>
      </c>
      <c r="C88" t="s">
        <v>372</v>
      </c>
      <c r="D88" t="s">
        <v>112</v>
      </c>
      <c r="E88" t="s">
        <v>170</v>
      </c>
      <c r="F88">
        <v>2</v>
      </c>
      <c r="G88">
        <v>0</v>
      </c>
      <c r="H88">
        <v>1</v>
      </c>
      <c r="I88">
        <v>2</v>
      </c>
      <c r="J88">
        <v>2</v>
      </c>
      <c r="K88">
        <v>2</v>
      </c>
      <c r="L88">
        <v>8</v>
      </c>
      <c r="M88">
        <v>0</v>
      </c>
      <c r="N88">
        <v>7</v>
      </c>
      <c r="O88">
        <v>8</v>
      </c>
      <c r="P88">
        <v>8</v>
      </c>
      <c r="Q88">
        <v>8</v>
      </c>
      <c r="R88">
        <v>493</v>
      </c>
      <c r="S88">
        <v>471</v>
      </c>
      <c r="T88">
        <v>330</v>
      </c>
      <c r="U88">
        <v>367</v>
      </c>
      <c r="V88">
        <v>352</v>
      </c>
      <c r="W88">
        <v>352</v>
      </c>
      <c r="X88">
        <v>2</v>
      </c>
      <c r="Y88">
        <v>8</v>
      </c>
      <c r="Z88">
        <v>493</v>
      </c>
    </row>
    <row r="89" spans="1:26" x14ac:dyDescent="0.35">
      <c r="A89" s="103" t="s">
        <v>263</v>
      </c>
      <c r="B89" t="s">
        <v>141</v>
      </c>
      <c r="C89" t="s">
        <v>373</v>
      </c>
      <c r="D89" t="s">
        <v>112</v>
      </c>
      <c r="E89" t="s">
        <v>170</v>
      </c>
      <c r="F89">
        <v>2</v>
      </c>
      <c r="G89">
        <v>0</v>
      </c>
      <c r="H89">
        <v>2</v>
      </c>
      <c r="I89">
        <v>2</v>
      </c>
      <c r="J89">
        <v>1</v>
      </c>
      <c r="K89">
        <v>1</v>
      </c>
      <c r="L89">
        <v>10</v>
      </c>
      <c r="M89">
        <v>0</v>
      </c>
      <c r="N89">
        <v>10</v>
      </c>
      <c r="O89">
        <v>10</v>
      </c>
      <c r="P89">
        <v>8</v>
      </c>
      <c r="Q89">
        <v>8</v>
      </c>
      <c r="R89">
        <v>579</v>
      </c>
      <c r="S89">
        <v>568</v>
      </c>
      <c r="T89">
        <v>324</v>
      </c>
      <c r="U89">
        <v>394</v>
      </c>
      <c r="V89">
        <v>428</v>
      </c>
      <c r="W89">
        <v>428</v>
      </c>
      <c r="X89">
        <v>2</v>
      </c>
      <c r="Y89">
        <v>10</v>
      </c>
      <c r="Z89">
        <v>579</v>
      </c>
    </row>
    <row r="90" spans="1:26" x14ac:dyDescent="0.35">
      <c r="A90" s="103" t="s">
        <v>263</v>
      </c>
      <c r="B90" t="s">
        <v>140</v>
      </c>
      <c r="C90" t="s">
        <v>374</v>
      </c>
      <c r="D90" t="s">
        <v>112</v>
      </c>
      <c r="E90" t="s">
        <v>170</v>
      </c>
      <c r="F90">
        <v>1</v>
      </c>
      <c r="G90">
        <v>0</v>
      </c>
      <c r="H90">
        <v>1</v>
      </c>
      <c r="I90">
        <v>1</v>
      </c>
      <c r="J90">
        <v>1</v>
      </c>
      <c r="K90">
        <v>1</v>
      </c>
      <c r="L90">
        <v>5</v>
      </c>
      <c r="M90">
        <v>0</v>
      </c>
      <c r="N90">
        <v>5</v>
      </c>
      <c r="O90">
        <v>5</v>
      </c>
      <c r="P90">
        <v>5</v>
      </c>
      <c r="Q90">
        <v>5</v>
      </c>
      <c r="R90">
        <v>174</v>
      </c>
      <c r="S90">
        <v>173</v>
      </c>
      <c r="T90">
        <v>84</v>
      </c>
      <c r="U90">
        <v>99</v>
      </c>
      <c r="V90">
        <v>123</v>
      </c>
      <c r="W90">
        <v>123</v>
      </c>
      <c r="X90">
        <v>1</v>
      </c>
      <c r="Y90">
        <v>5</v>
      </c>
      <c r="Z90">
        <v>175</v>
      </c>
    </row>
    <row r="91" spans="1:26" x14ac:dyDescent="0.35">
      <c r="A91" s="103" t="s">
        <v>263</v>
      </c>
      <c r="B91" t="s">
        <v>141</v>
      </c>
      <c r="C91" t="s">
        <v>375</v>
      </c>
      <c r="D91" t="s">
        <v>112</v>
      </c>
      <c r="E91" t="s">
        <v>170</v>
      </c>
      <c r="F91">
        <v>2</v>
      </c>
      <c r="G91">
        <v>0</v>
      </c>
      <c r="H91">
        <v>2</v>
      </c>
      <c r="I91">
        <v>2</v>
      </c>
      <c r="J91">
        <v>2</v>
      </c>
      <c r="K91">
        <v>2</v>
      </c>
      <c r="L91">
        <v>8</v>
      </c>
      <c r="M91">
        <v>0</v>
      </c>
      <c r="N91">
        <v>7</v>
      </c>
      <c r="O91">
        <v>8</v>
      </c>
      <c r="P91">
        <v>7</v>
      </c>
      <c r="Q91">
        <v>7</v>
      </c>
      <c r="R91">
        <v>530</v>
      </c>
      <c r="S91">
        <v>513</v>
      </c>
      <c r="T91">
        <v>326</v>
      </c>
      <c r="U91">
        <v>386</v>
      </c>
      <c r="V91">
        <v>388</v>
      </c>
      <c r="W91">
        <v>388</v>
      </c>
      <c r="X91">
        <v>2</v>
      </c>
      <c r="Y91">
        <v>8</v>
      </c>
      <c r="Z91">
        <v>530</v>
      </c>
    </row>
    <row r="92" spans="1:26" x14ac:dyDescent="0.35">
      <c r="A92" s="103" t="s">
        <v>263</v>
      </c>
      <c r="B92" t="s">
        <v>141</v>
      </c>
      <c r="C92" t="s">
        <v>376</v>
      </c>
      <c r="D92" t="s">
        <v>112</v>
      </c>
      <c r="E92" t="s">
        <v>170</v>
      </c>
      <c r="F92">
        <v>2</v>
      </c>
      <c r="G92">
        <v>0</v>
      </c>
      <c r="H92">
        <v>2</v>
      </c>
      <c r="I92">
        <v>2</v>
      </c>
      <c r="J92">
        <v>2</v>
      </c>
      <c r="K92">
        <v>2</v>
      </c>
      <c r="L92">
        <v>8</v>
      </c>
      <c r="M92">
        <v>0</v>
      </c>
      <c r="N92">
        <v>7</v>
      </c>
      <c r="O92">
        <v>8</v>
      </c>
      <c r="P92">
        <v>5</v>
      </c>
      <c r="Q92">
        <v>5</v>
      </c>
      <c r="R92">
        <v>530</v>
      </c>
      <c r="S92">
        <v>508</v>
      </c>
      <c r="T92">
        <v>301</v>
      </c>
      <c r="U92">
        <v>391</v>
      </c>
      <c r="V92">
        <v>368</v>
      </c>
      <c r="W92">
        <v>369</v>
      </c>
      <c r="X92">
        <v>2</v>
      </c>
      <c r="Y92">
        <v>8</v>
      </c>
      <c r="Z92">
        <v>530</v>
      </c>
    </row>
    <row r="93" spans="1:26" x14ac:dyDescent="0.35">
      <c r="A93" s="103" t="s">
        <v>263</v>
      </c>
      <c r="B93" t="s">
        <v>141</v>
      </c>
      <c r="C93" t="s">
        <v>377</v>
      </c>
      <c r="D93" t="s">
        <v>112</v>
      </c>
      <c r="E93" t="s">
        <v>170</v>
      </c>
      <c r="F93">
        <v>11</v>
      </c>
      <c r="G93">
        <v>0</v>
      </c>
      <c r="H93">
        <v>11</v>
      </c>
      <c r="I93">
        <v>11</v>
      </c>
      <c r="J93">
        <v>11</v>
      </c>
      <c r="K93">
        <v>11</v>
      </c>
      <c r="L93">
        <v>58</v>
      </c>
      <c r="M93">
        <v>0</v>
      </c>
      <c r="N93">
        <v>43</v>
      </c>
      <c r="O93">
        <v>52</v>
      </c>
      <c r="P93">
        <v>48</v>
      </c>
      <c r="Q93">
        <v>48</v>
      </c>
      <c r="R93">
        <v>3293</v>
      </c>
      <c r="S93">
        <v>3243</v>
      </c>
      <c r="T93">
        <v>2121</v>
      </c>
      <c r="U93">
        <v>2528</v>
      </c>
      <c r="V93">
        <v>2223</v>
      </c>
      <c r="W93">
        <v>2223</v>
      </c>
      <c r="X93">
        <v>12</v>
      </c>
      <c r="Y93">
        <v>58</v>
      </c>
      <c r="Z93">
        <v>3294</v>
      </c>
    </row>
    <row r="94" spans="1:26" x14ac:dyDescent="0.35">
      <c r="A94" s="103" t="s">
        <v>263</v>
      </c>
      <c r="B94" t="s">
        <v>140</v>
      </c>
      <c r="C94" t="s">
        <v>378</v>
      </c>
      <c r="D94" t="s">
        <v>112</v>
      </c>
      <c r="E94" t="s">
        <v>170</v>
      </c>
      <c r="F94">
        <v>6</v>
      </c>
      <c r="G94">
        <v>0</v>
      </c>
      <c r="H94">
        <v>6</v>
      </c>
      <c r="I94">
        <v>6</v>
      </c>
      <c r="J94">
        <v>6</v>
      </c>
      <c r="K94">
        <v>6</v>
      </c>
      <c r="L94">
        <v>30</v>
      </c>
      <c r="M94">
        <v>0</v>
      </c>
      <c r="N94">
        <v>18</v>
      </c>
      <c r="O94">
        <v>22</v>
      </c>
      <c r="P94">
        <v>29</v>
      </c>
      <c r="Q94">
        <v>29</v>
      </c>
      <c r="R94">
        <v>1705</v>
      </c>
      <c r="S94">
        <v>1695</v>
      </c>
      <c r="T94">
        <v>1020</v>
      </c>
      <c r="U94">
        <v>1320</v>
      </c>
      <c r="V94">
        <v>1452</v>
      </c>
      <c r="W94">
        <v>1452</v>
      </c>
      <c r="X94">
        <v>6</v>
      </c>
      <c r="Y94">
        <v>30</v>
      </c>
      <c r="Z94">
        <v>1705</v>
      </c>
    </row>
    <row r="95" spans="1:26" x14ac:dyDescent="0.35">
      <c r="A95" s="103" t="s">
        <v>263</v>
      </c>
      <c r="B95" t="s">
        <v>141</v>
      </c>
      <c r="C95" t="s">
        <v>379</v>
      </c>
      <c r="D95" t="s">
        <v>112</v>
      </c>
      <c r="E95" t="s">
        <v>170</v>
      </c>
      <c r="F95">
        <v>4</v>
      </c>
      <c r="G95">
        <v>0</v>
      </c>
      <c r="H95">
        <v>4</v>
      </c>
      <c r="I95">
        <v>4</v>
      </c>
      <c r="J95">
        <v>4</v>
      </c>
      <c r="K95">
        <v>4</v>
      </c>
      <c r="L95">
        <v>20</v>
      </c>
      <c r="M95">
        <v>0</v>
      </c>
      <c r="N95">
        <v>18</v>
      </c>
      <c r="O95">
        <v>18</v>
      </c>
      <c r="P95">
        <v>18</v>
      </c>
      <c r="Q95">
        <v>18</v>
      </c>
      <c r="R95">
        <v>1231</v>
      </c>
      <c r="S95">
        <v>1216</v>
      </c>
      <c r="T95">
        <v>753</v>
      </c>
      <c r="U95">
        <v>909</v>
      </c>
      <c r="V95">
        <v>795</v>
      </c>
      <c r="W95">
        <v>795</v>
      </c>
      <c r="X95">
        <v>4</v>
      </c>
      <c r="Y95">
        <v>20</v>
      </c>
      <c r="Z95">
        <v>1231</v>
      </c>
    </row>
    <row r="96" spans="1:26" x14ac:dyDescent="0.35">
      <c r="A96" s="103" t="s">
        <v>263</v>
      </c>
      <c r="B96" t="s">
        <v>141</v>
      </c>
      <c r="C96" t="s">
        <v>380</v>
      </c>
      <c r="D96" t="s">
        <v>112</v>
      </c>
      <c r="E96" t="s">
        <v>170</v>
      </c>
      <c r="F96">
        <v>2</v>
      </c>
      <c r="G96">
        <v>0</v>
      </c>
      <c r="H96">
        <v>2</v>
      </c>
      <c r="I96">
        <v>2</v>
      </c>
      <c r="J96">
        <v>2</v>
      </c>
      <c r="K96">
        <v>2</v>
      </c>
      <c r="L96">
        <v>10</v>
      </c>
      <c r="M96">
        <v>0</v>
      </c>
      <c r="N96">
        <v>9</v>
      </c>
      <c r="O96">
        <v>9</v>
      </c>
      <c r="P96">
        <v>10</v>
      </c>
      <c r="Q96">
        <v>10</v>
      </c>
      <c r="R96">
        <v>618</v>
      </c>
      <c r="S96">
        <v>609</v>
      </c>
      <c r="T96">
        <v>321</v>
      </c>
      <c r="U96">
        <v>418</v>
      </c>
      <c r="V96">
        <v>400</v>
      </c>
      <c r="W96">
        <v>400</v>
      </c>
      <c r="X96">
        <v>2</v>
      </c>
      <c r="Y96">
        <v>10</v>
      </c>
      <c r="Z96">
        <v>618</v>
      </c>
    </row>
    <row r="97" spans="1:26" x14ac:dyDescent="0.35">
      <c r="A97" s="103" t="s">
        <v>263</v>
      </c>
      <c r="B97" t="s">
        <v>141</v>
      </c>
      <c r="C97" t="s">
        <v>381</v>
      </c>
      <c r="D97" t="s">
        <v>112</v>
      </c>
      <c r="E97" t="s">
        <v>170</v>
      </c>
      <c r="F97">
        <v>7</v>
      </c>
      <c r="G97">
        <v>0</v>
      </c>
      <c r="H97">
        <v>6</v>
      </c>
      <c r="I97">
        <v>6</v>
      </c>
      <c r="J97">
        <v>7</v>
      </c>
      <c r="K97">
        <v>7</v>
      </c>
      <c r="L97">
        <v>34</v>
      </c>
      <c r="M97">
        <v>0</v>
      </c>
      <c r="N97">
        <v>23</v>
      </c>
      <c r="O97">
        <v>27</v>
      </c>
      <c r="P97">
        <v>29</v>
      </c>
      <c r="Q97">
        <v>29</v>
      </c>
      <c r="R97">
        <v>1699</v>
      </c>
      <c r="S97">
        <v>1666</v>
      </c>
      <c r="T97">
        <v>918</v>
      </c>
      <c r="U97">
        <v>1216</v>
      </c>
      <c r="V97">
        <v>1201</v>
      </c>
      <c r="W97">
        <v>1201</v>
      </c>
      <c r="X97">
        <v>7</v>
      </c>
      <c r="Y97">
        <v>34</v>
      </c>
      <c r="Z97">
        <v>1701</v>
      </c>
    </row>
    <row r="98" spans="1:26" x14ac:dyDescent="0.35">
      <c r="A98" s="103" t="s">
        <v>263</v>
      </c>
      <c r="B98" t="s">
        <v>141</v>
      </c>
      <c r="C98" t="s">
        <v>382</v>
      </c>
      <c r="D98" t="s">
        <v>112</v>
      </c>
      <c r="E98" t="s">
        <v>170</v>
      </c>
      <c r="F98">
        <v>1</v>
      </c>
      <c r="G98">
        <v>0</v>
      </c>
      <c r="H98">
        <v>1</v>
      </c>
      <c r="I98">
        <v>1</v>
      </c>
      <c r="J98">
        <v>0</v>
      </c>
      <c r="K98">
        <v>0</v>
      </c>
      <c r="L98">
        <v>10</v>
      </c>
      <c r="M98">
        <v>0</v>
      </c>
      <c r="N98">
        <v>9</v>
      </c>
      <c r="O98">
        <v>10</v>
      </c>
      <c r="P98">
        <v>8</v>
      </c>
      <c r="Q98">
        <v>8</v>
      </c>
      <c r="R98">
        <v>184</v>
      </c>
      <c r="S98">
        <v>181</v>
      </c>
      <c r="T98">
        <v>125</v>
      </c>
      <c r="U98">
        <v>143</v>
      </c>
      <c r="V98">
        <v>136</v>
      </c>
      <c r="W98">
        <v>136</v>
      </c>
      <c r="X98">
        <v>1</v>
      </c>
      <c r="Y98">
        <v>10</v>
      </c>
      <c r="Z98">
        <v>185</v>
      </c>
    </row>
    <row r="99" spans="1:26" x14ac:dyDescent="0.35">
      <c r="A99" s="103" t="s">
        <v>263</v>
      </c>
      <c r="B99" t="s">
        <v>141</v>
      </c>
      <c r="C99" t="s">
        <v>383</v>
      </c>
      <c r="D99" t="s">
        <v>112</v>
      </c>
      <c r="E99" t="s">
        <v>170</v>
      </c>
      <c r="F99">
        <v>3</v>
      </c>
      <c r="G99">
        <v>0</v>
      </c>
      <c r="H99">
        <v>3</v>
      </c>
      <c r="I99">
        <v>3</v>
      </c>
      <c r="J99">
        <v>3</v>
      </c>
      <c r="K99">
        <v>3</v>
      </c>
      <c r="L99">
        <v>17</v>
      </c>
      <c r="M99">
        <v>0</v>
      </c>
      <c r="N99">
        <v>13</v>
      </c>
      <c r="O99">
        <v>17</v>
      </c>
      <c r="P99">
        <v>14</v>
      </c>
      <c r="Q99">
        <v>14</v>
      </c>
      <c r="R99">
        <v>946</v>
      </c>
      <c r="S99">
        <v>927</v>
      </c>
      <c r="T99">
        <v>681</v>
      </c>
      <c r="U99">
        <v>774</v>
      </c>
      <c r="V99">
        <v>745</v>
      </c>
      <c r="W99">
        <v>745</v>
      </c>
      <c r="X99">
        <v>3</v>
      </c>
      <c r="Y99">
        <v>17</v>
      </c>
      <c r="Z99">
        <v>946</v>
      </c>
    </row>
    <row r="100" spans="1:26" x14ac:dyDescent="0.35">
      <c r="A100" s="103" t="s">
        <v>263</v>
      </c>
      <c r="B100" t="s">
        <v>141</v>
      </c>
      <c r="C100" t="s">
        <v>384</v>
      </c>
      <c r="D100" t="s">
        <v>112</v>
      </c>
      <c r="E100" t="s">
        <v>170</v>
      </c>
      <c r="F100">
        <v>4</v>
      </c>
      <c r="G100">
        <v>0</v>
      </c>
      <c r="H100">
        <v>1</v>
      </c>
      <c r="I100">
        <v>2</v>
      </c>
      <c r="J100">
        <v>0</v>
      </c>
      <c r="K100">
        <v>0</v>
      </c>
      <c r="L100">
        <v>20</v>
      </c>
      <c r="M100">
        <v>0</v>
      </c>
      <c r="N100">
        <v>12</v>
      </c>
      <c r="O100">
        <v>15</v>
      </c>
      <c r="P100">
        <v>13</v>
      </c>
      <c r="Q100">
        <v>13</v>
      </c>
      <c r="R100">
        <v>945</v>
      </c>
      <c r="S100">
        <v>942</v>
      </c>
      <c r="T100">
        <v>685</v>
      </c>
      <c r="U100">
        <v>814</v>
      </c>
      <c r="V100">
        <v>706</v>
      </c>
      <c r="W100">
        <v>707</v>
      </c>
      <c r="X100">
        <v>4</v>
      </c>
      <c r="Y100">
        <v>20</v>
      </c>
      <c r="Z100">
        <v>945</v>
      </c>
    </row>
    <row r="101" spans="1:26" x14ac:dyDescent="0.35">
      <c r="A101" s="103" t="s">
        <v>263</v>
      </c>
      <c r="B101" t="s">
        <v>141</v>
      </c>
      <c r="C101" t="s">
        <v>385</v>
      </c>
      <c r="D101" t="s">
        <v>112</v>
      </c>
      <c r="E101" t="s">
        <v>170</v>
      </c>
      <c r="F101">
        <v>9</v>
      </c>
      <c r="G101">
        <v>0</v>
      </c>
      <c r="H101">
        <v>4</v>
      </c>
      <c r="I101">
        <v>7</v>
      </c>
      <c r="J101">
        <v>4</v>
      </c>
      <c r="K101">
        <v>4</v>
      </c>
      <c r="L101">
        <v>49</v>
      </c>
      <c r="M101">
        <v>0</v>
      </c>
      <c r="N101">
        <v>33</v>
      </c>
      <c r="O101">
        <v>42</v>
      </c>
      <c r="P101">
        <v>40</v>
      </c>
      <c r="Q101">
        <v>40</v>
      </c>
      <c r="R101">
        <v>1998</v>
      </c>
      <c r="S101">
        <v>1988</v>
      </c>
      <c r="T101">
        <v>1374</v>
      </c>
      <c r="U101">
        <v>1659</v>
      </c>
      <c r="V101">
        <v>1526</v>
      </c>
      <c r="W101">
        <v>1526</v>
      </c>
      <c r="X101">
        <v>10</v>
      </c>
      <c r="Y101">
        <v>49</v>
      </c>
      <c r="Z101">
        <v>2001</v>
      </c>
    </row>
    <row r="102" spans="1:26" x14ac:dyDescent="0.35">
      <c r="A102" s="103" t="s">
        <v>263</v>
      </c>
      <c r="B102" t="s">
        <v>141</v>
      </c>
      <c r="C102" t="s">
        <v>386</v>
      </c>
      <c r="D102" t="s">
        <v>112</v>
      </c>
      <c r="E102" t="s">
        <v>170</v>
      </c>
      <c r="F102">
        <v>13</v>
      </c>
      <c r="G102">
        <v>0</v>
      </c>
      <c r="H102">
        <v>11</v>
      </c>
      <c r="I102">
        <v>13</v>
      </c>
      <c r="J102">
        <v>11</v>
      </c>
      <c r="K102">
        <v>11</v>
      </c>
      <c r="L102">
        <v>64</v>
      </c>
      <c r="M102">
        <v>0</v>
      </c>
      <c r="N102">
        <v>51</v>
      </c>
      <c r="O102">
        <v>59</v>
      </c>
      <c r="P102">
        <v>54</v>
      </c>
      <c r="Q102">
        <v>54</v>
      </c>
      <c r="R102">
        <v>3864</v>
      </c>
      <c r="S102">
        <v>3821</v>
      </c>
      <c r="T102">
        <v>2231</v>
      </c>
      <c r="U102">
        <v>2756</v>
      </c>
      <c r="V102">
        <v>2727</v>
      </c>
      <c r="W102">
        <v>2727</v>
      </c>
      <c r="X102">
        <v>13</v>
      </c>
      <c r="Y102">
        <v>64</v>
      </c>
      <c r="Z102">
        <v>3864</v>
      </c>
    </row>
    <row r="103" spans="1:26" x14ac:dyDescent="0.35">
      <c r="A103" s="103" t="s">
        <v>263</v>
      </c>
      <c r="B103" t="s">
        <v>141</v>
      </c>
      <c r="C103" t="s">
        <v>387</v>
      </c>
      <c r="D103" t="s">
        <v>112</v>
      </c>
      <c r="E103" t="s">
        <v>170</v>
      </c>
      <c r="F103">
        <v>3</v>
      </c>
      <c r="G103">
        <v>0</v>
      </c>
      <c r="H103">
        <v>3</v>
      </c>
      <c r="I103">
        <v>3</v>
      </c>
      <c r="J103">
        <v>3</v>
      </c>
      <c r="K103">
        <v>3</v>
      </c>
      <c r="L103">
        <v>15</v>
      </c>
      <c r="M103">
        <v>0</v>
      </c>
      <c r="N103">
        <v>12</v>
      </c>
      <c r="O103">
        <v>15</v>
      </c>
      <c r="P103">
        <v>14</v>
      </c>
      <c r="Q103">
        <v>14</v>
      </c>
      <c r="R103">
        <v>629</v>
      </c>
      <c r="S103">
        <v>622</v>
      </c>
      <c r="T103">
        <v>389</v>
      </c>
      <c r="U103">
        <v>457</v>
      </c>
      <c r="V103">
        <v>433</v>
      </c>
      <c r="W103">
        <v>433</v>
      </c>
      <c r="X103">
        <v>3</v>
      </c>
      <c r="Y103">
        <v>15</v>
      </c>
      <c r="Z103">
        <v>629</v>
      </c>
    </row>
    <row r="104" spans="1:26" x14ac:dyDescent="0.35">
      <c r="A104" s="103" t="s">
        <v>263</v>
      </c>
      <c r="B104" t="s">
        <v>141</v>
      </c>
      <c r="C104" t="s">
        <v>388</v>
      </c>
      <c r="D104" t="s">
        <v>112</v>
      </c>
      <c r="E104" t="s">
        <v>170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259</v>
      </c>
      <c r="S104">
        <v>259</v>
      </c>
      <c r="T104">
        <v>174</v>
      </c>
      <c r="U104">
        <v>211</v>
      </c>
      <c r="V104">
        <v>187</v>
      </c>
      <c r="W104">
        <v>187</v>
      </c>
      <c r="X104">
        <v>0</v>
      </c>
      <c r="Y104">
        <v>0</v>
      </c>
      <c r="Z104">
        <v>258</v>
      </c>
    </row>
    <row r="105" spans="1:26" x14ac:dyDescent="0.35">
      <c r="A105" s="103" t="s">
        <v>263</v>
      </c>
      <c r="B105" t="s">
        <v>141</v>
      </c>
      <c r="C105" t="s">
        <v>389</v>
      </c>
      <c r="D105" t="s">
        <v>112</v>
      </c>
      <c r="E105" t="s">
        <v>170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253</v>
      </c>
      <c r="S105">
        <v>251</v>
      </c>
      <c r="T105">
        <v>137</v>
      </c>
      <c r="U105">
        <v>182</v>
      </c>
      <c r="V105">
        <v>159</v>
      </c>
      <c r="W105">
        <v>159</v>
      </c>
      <c r="X105">
        <v>0</v>
      </c>
      <c r="Y105">
        <v>0</v>
      </c>
      <c r="Z105">
        <v>253</v>
      </c>
    </row>
    <row r="106" spans="1:26" x14ac:dyDescent="0.35">
      <c r="A106" s="103" t="s">
        <v>263</v>
      </c>
      <c r="B106" t="s">
        <v>141</v>
      </c>
      <c r="C106" t="s">
        <v>390</v>
      </c>
      <c r="D106" t="s">
        <v>112</v>
      </c>
      <c r="E106" t="s">
        <v>170</v>
      </c>
      <c r="F106">
        <v>3</v>
      </c>
      <c r="G106">
        <v>0</v>
      </c>
      <c r="H106">
        <v>2</v>
      </c>
      <c r="I106">
        <v>3</v>
      </c>
      <c r="J106">
        <v>2</v>
      </c>
      <c r="K106">
        <v>2</v>
      </c>
      <c r="L106">
        <v>15</v>
      </c>
      <c r="M106">
        <v>0</v>
      </c>
      <c r="N106">
        <v>12</v>
      </c>
      <c r="O106">
        <v>15</v>
      </c>
      <c r="P106">
        <v>12</v>
      </c>
      <c r="Q106">
        <v>12</v>
      </c>
      <c r="R106">
        <v>124</v>
      </c>
      <c r="S106">
        <v>124</v>
      </c>
      <c r="T106">
        <v>91</v>
      </c>
      <c r="U106">
        <v>108</v>
      </c>
      <c r="V106">
        <v>93</v>
      </c>
      <c r="W106">
        <v>93</v>
      </c>
      <c r="X106">
        <v>3</v>
      </c>
      <c r="Y106">
        <v>15</v>
      </c>
      <c r="Z106">
        <v>126</v>
      </c>
    </row>
    <row r="107" spans="1:26" x14ac:dyDescent="0.35">
      <c r="A107" s="103" t="s">
        <v>263</v>
      </c>
      <c r="B107" t="s">
        <v>141</v>
      </c>
      <c r="C107" t="s">
        <v>391</v>
      </c>
      <c r="D107" t="s">
        <v>112</v>
      </c>
      <c r="E107" t="s">
        <v>170</v>
      </c>
      <c r="F107">
        <v>8</v>
      </c>
      <c r="G107">
        <v>1</v>
      </c>
      <c r="H107">
        <v>5</v>
      </c>
      <c r="I107">
        <v>6</v>
      </c>
      <c r="J107">
        <v>6</v>
      </c>
      <c r="K107">
        <v>6</v>
      </c>
      <c r="L107">
        <v>42</v>
      </c>
      <c r="M107">
        <v>1</v>
      </c>
      <c r="N107">
        <v>30</v>
      </c>
      <c r="O107">
        <v>34</v>
      </c>
      <c r="P107">
        <v>36</v>
      </c>
      <c r="Q107">
        <v>36</v>
      </c>
      <c r="R107">
        <v>1906</v>
      </c>
      <c r="S107">
        <v>1884</v>
      </c>
      <c r="T107">
        <v>1159</v>
      </c>
      <c r="U107">
        <v>1444</v>
      </c>
      <c r="V107">
        <v>1466</v>
      </c>
      <c r="W107">
        <v>1466</v>
      </c>
      <c r="X107">
        <v>8</v>
      </c>
      <c r="Y107">
        <v>42</v>
      </c>
      <c r="Z107">
        <v>1908</v>
      </c>
    </row>
    <row r="108" spans="1:26" x14ac:dyDescent="0.35">
      <c r="A108" s="103" t="s">
        <v>263</v>
      </c>
      <c r="B108" t="s">
        <v>140</v>
      </c>
      <c r="C108" t="s">
        <v>392</v>
      </c>
      <c r="D108" t="s">
        <v>112</v>
      </c>
      <c r="E108" t="s">
        <v>170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121</v>
      </c>
      <c r="S108">
        <v>120</v>
      </c>
      <c r="T108">
        <v>96</v>
      </c>
      <c r="U108">
        <v>111</v>
      </c>
      <c r="V108">
        <v>102</v>
      </c>
      <c r="W108">
        <v>102</v>
      </c>
      <c r="X108">
        <v>0</v>
      </c>
      <c r="Y108">
        <v>0</v>
      </c>
      <c r="Z108">
        <v>121</v>
      </c>
    </row>
    <row r="109" spans="1:26" x14ac:dyDescent="0.35">
      <c r="A109" s="103" t="s">
        <v>263</v>
      </c>
      <c r="B109" t="s">
        <v>141</v>
      </c>
      <c r="C109" t="s">
        <v>393</v>
      </c>
      <c r="D109" t="s">
        <v>112</v>
      </c>
      <c r="E109" t="s">
        <v>170</v>
      </c>
      <c r="F109">
        <v>3</v>
      </c>
      <c r="G109">
        <v>0</v>
      </c>
      <c r="H109">
        <v>2</v>
      </c>
      <c r="I109">
        <v>2</v>
      </c>
      <c r="J109">
        <v>3</v>
      </c>
      <c r="K109">
        <v>3</v>
      </c>
      <c r="L109">
        <v>15</v>
      </c>
      <c r="M109">
        <v>0</v>
      </c>
      <c r="N109">
        <v>11</v>
      </c>
      <c r="O109">
        <v>13</v>
      </c>
      <c r="P109">
        <v>15</v>
      </c>
      <c r="Q109">
        <v>15</v>
      </c>
      <c r="R109">
        <v>806</v>
      </c>
      <c r="S109">
        <v>793</v>
      </c>
      <c r="T109">
        <v>403</v>
      </c>
      <c r="U109">
        <v>527</v>
      </c>
      <c r="V109">
        <v>626</v>
      </c>
      <c r="W109">
        <v>626</v>
      </c>
      <c r="X109">
        <v>3</v>
      </c>
      <c r="Y109">
        <v>15</v>
      </c>
      <c r="Z109">
        <v>808</v>
      </c>
    </row>
    <row r="110" spans="1:26" x14ac:dyDescent="0.35">
      <c r="A110" s="103" t="s">
        <v>263</v>
      </c>
      <c r="B110" t="s">
        <v>140</v>
      </c>
      <c r="C110" t="s">
        <v>394</v>
      </c>
      <c r="D110" t="s">
        <v>112</v>
      </c>
      <c r="E110" t="s">
        <v>170</v>
      </c>
      <c r="F110">
        <v>2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10</v>
      </c>
      <c r="M110">
        <v>0</v>
      </c>
      <c r="N110">
        <v>8</v>
      </c>
      <c r="O110">
        <v>8</v>
      </c>
      <c r="P110">
        <v>7</v>
      </c>
      <c r="Q110">
        <v>7</v>
      </c>
      <c r="R110">
        <v>524</v>
      </c>
      <c r="S110">
        <v>520</v>
      </c>
      <c r="T110">
        <v>262</v>
      </c>
      <c r="U110">
        <v>374</v>
      </c>
      <c r="V110">
        <v>429</v>
      </c>
      <c r="W110">
        <v>429</v>
      </c>
      <c r="X110">
        <v>2</v>
      </c>
      <c r="Y110">
        <v>10</v>
      </c>
      <c r="Z110">
        <v>524</v>
      </c>
    </row>
    <row r="111" spans="1:26" x14ac:dyDescent="0.35">
      <c r="A111" s="103" t="s">
        <v>263</v>
      </c>
      <c r="B111" t="s">
        <v>141</v>
      </c>
      <c r="C111" t="s">
        <v>395</v>
      </c>
      <c r="D111" t="s">
        <v>112</v>
      </c>
      <c r="E111" t="s">
        <v>170</v>
      </c>
      <c r="F111">
        <v>1</v>
      </c>
      <c r="G111">
        <v>0</v>
      </c>
      <c r="H111">
        <v>1</v>
      </c>
      <c r="I111">
        <v>1</v>
      </c>
      <c r="J111">
        <v>1</v>
      </c>
      <c r="K111">
        <v>1</v>
      </c>
      <c r="L111">
        <v>5</v>
      </c>
      <c r="M111">
        <v>0</v>
      </c>
      <c r="N111">
        <v>5</v>
      </c>
      <c r="O111">
        <v>5</v>
      </c>
      <c r="P111">
        <v>5</v>
      </c>
      <c r="Q111">
        <v>5</v>
      </c>
      <c r="R111">
        <v>306</v>
      </c>
      <c r="S111">
        <v>304</v>
      </c>
      <c r="T111">
        <v>175</v>
      </c>
      <c r="U111">
        <v>204</v>
      </c>
      <c r="V111">
        <v>233</v>
      </c>
      <c r="W111">
        <v>233</v>
      </c>
      <c r="X111">
        <v>1</v>
      </c>
      <c r="Y111">
        <v>5</v>
      </c>
      <c r="Z111">
        <v>307</v>
      </c>
    </row>
    <row r="112" spans="1:26" x14ac:dyDescent="0.35">
      <c r="A112" s="103" t="s">
        <v>263</v>
      </c>
      <c r="B112" t="s">
        <v>141</v>
      </c>
      <c r="C112" t="s">
        <v>396</v>
      </c>
      <c r="D112" t="s">
        <v>112</v>
      </c>
      <c r="E112" t="s">
        <v>170</v>
      </c>
      <c r="F112">
        <v>3</v>
      </c>
      <c r="G112">
        <v>0</v>
      </c>
      <c r="H112">
        <v>3</v>
      </c>
      <c r="I112">
        <v>3</v>
      </c>
      <c r="J112">
        <v>2</v>
      </c>
      <c r="K112">
        <v>2</v>
      </c>
      <c r="L112">
        <v>15</v>
      </c>
      <c r="M112">
        <v>0</v>
      </c>
      <c r="N112">
        <v>13</v>
      </c>
      <c r="O112">
        <v>15</v>
      </c>
      <c r="P112">
        <v>14</v>
      </c>
      <c r="Q112">
        <v>14</v>
      </c>
      <c r="R112">
        <v>992</v>
      </c>
      <c r="S112">
        <v>992</v>
      </c>
      <c r="T112">
        <v>594</v>
      </c>
      <c r="U112">
        <v>819</v>
      </c>
      <c r="V112">
        <v>850</v>
      </c>
      <c r="W112">
        <v>850</v>
      </c>
      <c r="X112">
        <v>3</v>
      </c>
      <c r="Y112">
        <v>15</v>
      </c>
      <c r="Z112">
        <v>991</v>
      </c>
    </row>
    <row r="113" spans="1:26" x14ac:dyDescent="0.35">
      <c r="A113" s="103" t="s">
        <v>263</v>
      </c>
      <c r="B113" t="s">
        <v>141</v>
      </c>
      <c r="C113" t="s">
        <v>397</v>
      </c>
      <c r="D113" t="s">
        <v>112</v>
      </c>
      <c r="E113" t="s">
        <v>170</v>
      </c>
      <c r="F113">
        <v>6</v>
      </c>
      <c r="G113">
        <v>0</v>
      </c>
      <c r="H113">
        <v>2</v>
      </c>
      <c r="I113">
        <v>5</v>
      </c>
      <c r="J113">
        <v>4</v>
      </c>
      <c r="K113">
        <v>4</v>
      </c>
      <c r="L113">
        <v>29</v>
      </c>
      <c r="M113">
        <v>0</v>
      </c>
      <c r="N113">
        <v>12</v>
      </c>
      <c r="O113">
        <v>20</v>
      </c>
      <c r="P113">
        <v>21</v>
      </c>
      <c r="Q113">
        <v>21</v>
      </c>
      <c r="R113">
        <v>1477</v>
      </c>
      <c r="S113">
        <v>1461</v>
      </c>
      <c r="T113">
        <v>815</v>
      </c>
      <c r="U113">
        <v>1048</v>
      </c>
      <c r="V113">
        <v>983</v>
      </c>
      <c r="W113">
        <v>983</v>
      </c>
      <c r="X113">
        <v>6</v>
      </c>
      <c r="Y113">
        <v>29</v>
      </c>
      <c r="Z113">
        <v>1476</v>
      </c>
    </row>
    <row r="114" spans="1:26" x14ac:dyDescent="0.35">
      <c r="A114" s="103" t="s">
        <v>263</v>
      </c>
      <c r="B114" t="s">
        <v>140</v>
      </c>
      <c r="C114" t="s">
        <v>398</v>
      </c>
      <c r="D114" t="s">
        <v>112</v>
      </c>
      <c r="E114" t="s">
        <v>170</v>
      </c>
      <c r="F114">
        <v>2</v>
      </c>
      <c r="G114">
        <v>0</v>
      </c>
      <c r="H114">
        <v>1</v>
      </c>
      <c r="I114">
        <v>2</v>
      </c>
      <c r="J114">
        <v>1</v>
      </c>
      <c r="K114">
        <v>1</v>
      </c>
      <c r="L114">
        <v>9</v>
      </c>
      <c r="M114">
        <v>0</v>
      </c>
      <c r="N114">
        <v>6</v>
      </c>
      <c r="O114">
        <v>8</v>
      </c>
      <c r="P114">
        <v>8</v>
      </c>
      <c r="Q114">
        <v>8</v>
      </c>
      <c r="R114">
        <v>317</v>
      </c>
      <c r="S114">
        <v>314</v>
      </c>
      <c r="T114">
        <v>226</v>
      </c>
      <c r="U114">
        <v>262</v>
      </c>
      <c r="V114">
        <v>261</v>
      </c>
      <c r="W114">
        <v>261</v>
      </c>
      <c r="X114">
        <v>2</v>
      </c>
      <c r="Y114">
        <v>9</v>
      </c>
      <c r="Z114">
        <v>317</v>
      </c>
    </row>
    <row r="115" spans="1:26" x14ac:dyDescent="0.35">
      <c r="A115" s="103" t="s">
        <v>263</v>
      </c>
      <c r="B115" t="s">
        <v>141</v>
      </c>
      <c r="C115" t="s">
        <v>399</v>
      </c>
      <c r="D115" t="s">
        <v>112</v>
      </c>
      <c r="E115" t="s">
        <v>170</v>
      </c>
      <c r="F115">
        <v>7</v>
      </c>
      <c r="G115">
        <v>0</v>
      </c>
      <c r="H115">
        <v>7</v>
      </c>
      <c r="I115">
        <v>7</v>
      </c>
      <c r="J115">
        <v>5</v>
      </c>
      <c r="K115">
        <v>5</v>
      </c>
      <c r="L115">
        <v>32</v>
      </c>
      <c r="M115">
        <v>0</v>
      </c>
      <c r="N115">
        <v>23</v>
      </c>
      <c r="O115">
        <v>27</v>
      </c>
      <c r="P115">
        <v>24</v>
      </c>
      <c r="Q115">
        <v>24</v>
      </c>
      <c r="R115">
        <v>1717</v>
      </c>
      <c r="S115">
        <v>1693</v>
      </c>
      <c r="T115">
        <v>1103</v>
      </c>
      <c r="U115">
        <v>1271</v>
      </c>
      <c r="V115">
        <v>1281</v>
      </c>
      <c r="W115">
        <v>1281</v>
      </c>
      <c r="X115">
        <v>7</v>
      </c>
      <c r="Y115">
        <v>32</v>
      </c>
      <c r="Z115">
        <v>1718</v>
      </c>
    </row>
    <row r="116" spans="1:26" x14ac:dyDescent="0.35">
      <c r="A116" s="103" t="s">
        <v>263</v>
      </c>
      <c r="B116" t="s">
        <v>141</v>
      </c>
      <c r="C116" t="s">
        <v>400</v>
      </c>
      <c r="D116" t="s">
        <v>112</v>
      </c>
      <c r="E116" t="s">
        <v>170</v>
      </c>
      <c r="F116">
        <v>5</v>
      </c>
      <c r="G116">
        <v>0</v>
      </c>
      <c r="H116">
        <v>2</v>
      </c>
      <c r="I116">
        <v>3</v>
      </c>
      <c r="J116">
        <v>4</v>
      </c>
      <c r="K116">
        <v>4</v>
      </c>
      <c r="L116">
        <v>25</v>
      </c>
      <c r="M116">
        <v>0</v>
      </c>
      <c r="N116">
        <v>11</v>
      </c>
      <c r="O116">
        <v>18</v>
      </c>
      <c r="P116">
        <v>21</v>
      </c>
      <c r="Q116">
        <v>21</v>
      </c>
      <c r="R116">
        <v>1274</v>
      </c>
      <c r="S116">
        <v>1248</v>
      </c>
      <c r="T116">
        <v>680</v>
      </c>
      <c r="U116">
        <v>890</v>
      </c>
      <c r="V116">
        <v>852</v>
      </c>
      <c r="W116">
        <v>852</v>
      </c>
      <c r="X116">
        <v>5</v>
      </c>
      <c r="Y116">
        <v>25</v>
      </c>
      <c r="Z116">
        <v>1275</v>
      </c>
    </row>
    <row r="117" spans="1:26" x14ac:dyDescent="0.35">
      <c r="A117" s="103" t="s">
        <v>263</v>
      </c>
      <c r="B117" t="s">
        <v>140</v>
      </c>
      <c r="C117" t="s">
        <v>401</v>
      </c>
      <c r="D117" t="s">
        <v>112</v>
      </c>
      <c r="E117" t="s">
        <v>170</v>
      </c>
      <c r="F117">
        <v>9</v>
      </c>
      <c r="G117">
        <v>0</v>
      </c>
      <c r="H117">
        <v>8</v>
      </c>
      <c r="I117">
        <v>9</v>
      </c>
      <c r="J117">
        <v>8</v>
      </c>
      <c r="K117">
        <v>8</v>
      </c>
      <c r="L117">
        <v>45</v>
      </c>
      <c r="M117">
        <v>2</v>
      </c>
      <c r="N117">
        <v>32</v>
      </c>
      <c r="O117">
        <v>34</v>
      </c>
      <c r="P117">
        <v>32</v>
      </c>
      <c r="Q117">
        <v>32</v>
      </c>
      <c r="R117">
        <v>2685</v>
      </c>
      <c r="S117">
        <v>2617</v>
      </c>
      <c r="T117">
        <v>1653</v>
      </c>
      <c r="U117">
        <v>2030</v>
      </c>
      <c r="V117">
        <v>1682</v>
      </c>
      <c r="W117">
        <v>1682</v>
      </c>
      <c r="X117">
        <v>9</v>
      </c>
      <c r="Y117">
        <v>45</v>
      </c>
      <c r="Z117">
        <v>2685</v>
      </c>
    </row>
    <row r="118" spans="1:26" x14ac:dyDescent="0.35">
      <c r="A118" s="103" t="s">
        <v>263</v>
      </c>
      <c r="B118" t="s">
        <v>140</v>
      </c>
      <c r="C118" t="s">
        <v>402</v>
      </c>
      <c r="D118" t="s">
        <v>112</v>
      </c>
      <c r="E118" t="s">
        <v>170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53</v>
      </c>
      <c r="S118">
        <v>52</v>
      </c>
      <c r="T118">
        <v>37</v>
      </c>
      <c r="U118">
        <v>39</v>
      </c>
      <c r="V118">
        <v>34</v>
      </c>
      <c r="W118">
        <v>34</v>
      </c>
      <c r="X118">
        <v>0</v>
      </c>
      <c r="Y118">
        <v>0</v>
      </c>
      <c r="Z118">
        <v>53</v>
      </c>
    </row>
    <row r="119" spans="1:26" x14ac:dyDescent="0.35">
      <c r="A119" s="103" t="s">
        <v>263</v>
      </c>
      <c r="B119" t="s">
        <v>141</v>
      </c>
      <c r="C119" t="s">
        <v>403</v>
      </c>
      <c r="D119" t="s">
        <v>112</v>
      </c>
      <c r="E119" t="s">
        <v>170</v>
      </c>
      <c r="F119">
        <v>2</v>
      </c>
      <c r="G119">
        <v>0</v>
      </c>
      <c r="H119">
        <v>1</v>
      </c>
      <c r="I119">
        <v>1</v>
      </c>
      <c r="J119">
        <v>1</v>
      </c>
      <c r="K119">
        <v>1</v>
      </c>
      <c r="L119">
        <v>11</v>
      </c>
      <c r="M119">
        <v>0</v>
      </c>
      <c r="N119">
        <v>7</v>
      </c>
      <c r="O119">
        <v>7</v>
      </c>
      <c r="P119">
        <v>10</v>
      </c>
      <c r="Q119">
        <v>10</v>
      </c>
      <c r="R119">
        <v>862</v>
      </c>
      <c r="S119">
        <v>855</v>
      </c>
      <c r="T119">
        <v>593</v>
      </c>
      <c r="U119">
        <v>741</v>
      </c>
      <c r="V119">
        <v>677</v>
      </c>
      <c r="W119">
        <v>677</v>
      </c>
      <c r="X119">
        <v>2</v>
      </c>
      <c r="Y119">
        <v>10</v>
      </c>
      <c r="Z119">
        <v>860</v>
      </c>
    </row>
    <row r="120" spans="1:26" x14ac:dyDescent="0.35">
      <c r="A120" s="103" t="s">
        <v>263</v>
      </c>
      <c r="B120" t="s">
        <v>141</v>
      </c>
      <c r="C120" t="s">
        <v>404</v>
      </c>
      <c r="D120" t="s">
        <v>112</v>
      </c>
      <c r="E120" t="s">
        <v>170</v>
      </c>
      <c r="F120">
        <v>1</v>
      </c>
      <c r="G120">
        <v>0</v>
      </c>
      <c r="H120">
        <v>1</v>
      </c>
      <c r="I120">
        <v>1</v>
      </c>
      <c r="J120">
        <v>1</v>
      </c>
      <c r="K120">
        <v>1</v>
      </c>
      <c r="L120">
        <v>11</v>
      </c>
      <c r="M120">
        <v>0</v>
      </c>
      <c r="N120">
        <v>10</v>
      </c>
      <c r="O120">
        <v>11</v>
      </c>
      <c r="P120">
        <v>10</v>
      </c>
      <c r="Q120">
        <v>10</v>
      </c>
      <c r="R120">
        <v>198</v>
      </c>
      <c r="S120">
        <v>198</v>
      </c>
      <c r="T120">
        <v>137</v>
      </c>
      <c r="U120">
        <v>167</v>
      </c>
      <c r="V120">
        <v>141</v>
      </c>
      <c r="W120">
        <v>141</v>
      </c>
      <c r="X120">
        <v>1</v>
      </c>
      <c r="Y120">
        <v>11</v>
      </c>
      <c r="Z120">
        <v>198</v>
      </c>
    </row>
    <row r="121" spans="1:26" x14ac:dyDescent="0.35">
      <c r="A121" s="103" t="s">
        <v>263</v>
      </c>
      <c r="B121" t="s">
        <v>141</v>
      </c>
      <c r="C121" t="s">
        <v>405</v>
      </c>
      <c r="D121" t="s">
        <v>112</v>
      </c>
      <c r="E121" t="s">
        <v>170</v>
      </c>
      <c r="F121">
        <v>2</v>
      </c>
      <c r="G121">
        <v>0</v>
      </c>
      <c r="H121">
        <v>1</v>
      </c>
      <c r="I121">
        <v>2</v>
      </c>
      <c r="J121">
        <v>2</v>
      </c>
      <c r="K121">
        <v>2</v>
      </c>
      <c r="L121">
        <v>10</v>
      </c>
      <c r="M121">
        <v>0</v>
      </c>
      <c r="N121">
        <v>7</v>
      </c>
      <c r="O121">
        <v>9</v>
      </c>
      <c r="P121">
        <v>9</v>
      </c>
      <c r="Q121">
        <v>9</v>
      </c>
      <c r="R121">
        <v>618</v>
      </c>
      <c r="S121">
        <v>597</v>
      </c>
      <c r="T121">
        <v>371</v>
      </c>
      <c r="U121">
        <v>434</v>
      </c>
      <c r="V121">
        <v>456</v>
      </c>
      <c r="W121">
        <v>456</v>
      </c>
      <c r="X121">
        <v>2</v>
      </c>
      <c r="Y121">
        <v>10</v>
      </c>
      <c r="Z121">
        <v>618</v>
      </c>
    </row>
    <row r="122" spans="1:26" x14ac:dyDescent="0.35">
      <c r="A122" s="103" t="s">
        <v>263</v>
      </c>
      <c r="B122" t="s">
        <v>141</v>
      </c>
      <c r="C122" t="s">
        <v>406</v>
      </c>
      <c r="D122" t="s">
        <v>112</v>
      </c>
      <c r="E122" t="s">
        <v>170</v>
      </c>
      <c r="F122">
        <v>9</v>
      </c>
      <c r="G122">
        <v>0</v>
      </c>
      <c r="H122">
        <v>6</v>
      </c>
      <c r="I122">
        <v>7</v>
      </c>
      <c r="J122">
        <v>8</v>
      </c>
      <c r="K122">
        <v>8</v>
      </c>
      <c r="L122">
        <v>48</v>
      </c>
      <c r="M122">
        <v>0</v>
      </c>
      <c r="N122">
        <v>29</v>
      </c>
      <c r="O122">
        <v>38</v>
      </c>
      <c r="P122">
        <v>37</v>
      </c>
      <c r="Q122">
        <v>37</v>
      </c>
      <c r="R122">
        <v>2780</v>
      </c>
      <c r="S122">
        <v>2735</v>
      </c>
      <c r="T122">
        <v>1780</v>
      </c>
      <c r="U122">
        <v>2110</v>
      </c>
      <c r="V122">
        <v>2066</v>
      </c>
      <c r="W122">
        <v>2066</v>
      </c>
      <c r="X122">
        <v>10</v>
      </c>
      <c r="Y122">
        <v>48</v>
      </c>
      <c r="Z122">
        <v>2782</v>
      </c>
    </row>
    <row r="123" spans="1:26" x14ac:dyDescent="0.35">
      <c r="A123" s="103" t="s">
        <v>263</v>
      </c>
      <c r="B123" t="s">
        <v>141</v>
      </c>
      <c r="C123" t="s">
        <v>407</v>
      </c>
      <c r="D123" t="s">
        <v>112</v>
      </c>
      <c r="E123" t="s">
        <v>170</v>
      </c>
      <c r="F123">
        <v>1</v>
      </c>
      <c r="G123">
        <v>0</v>
      </c>
      <c r="H123">
        <v>1</v>
      </c>
      <c r="I123">
        <v>1</v>
      </c>
      <c r="J123">
        <v>1</v>
      </c>
      <c r="K123">
        <v>1</v>
      </c>
      <c r="L123">
        <v>5</v>
      </c>
      <c r="M123">
        <v>0</v>
      </c>
      <c r="N123">
        <v>5</v>
      </c>
      <c r="O123">
        <v>5</v>
      </c>
      <c r="P123">
        <v>5</v>
      </c>
      <c r="Q123">
        <v>5</v>
      </c>
      <c r="R123">
        <v>97</v>
      </c>
      <c r="S123">
        <v>97</v>
      </c>
      <c r="T123">
        <v>62</v>
      </c>
      <c r="U123">
        <v>78</v>
      </c>
      <c r="V123">
        <v>67</v>
      </c>
      <c r="W123">
        <v>67</v>
      </c>
      <c r="X123">
        <v>1</v>
      </c>
      <c r="Y123">
        <v>5</v>
      </c>
      <c r="Z123">
        <v>97</v>
      </c>
    </row>
    <row r="124" spans="1:26" x14ac:dyDescent="0.35">
      <c r="A124" s="103" t="s">
        <v>263</v>
      </c>
      <c r="B124" t="s">
        <v>141</v>
      </c>
      <c r="C124" t="s">
        <v>408</v>
      </c>
      <c r="D124" t="s">
        <v>112</v>
      </c>
      <c r="E124" t="s">
        <v>170</v>
      </c>
      <c r="F124">
        <v>2</v>
      </c>
      <c r="G124">
        <v>0</v>
      </c>
      <c r="H124">
        <v>1</v>
      </c>
      <c r="I124">
        <v>1</v>
      </c>
      <c r="J124">
        <v>1</v>
      </c>
      <c r="K124">
        <v>1</v>
      </c>
      <c r="L124">
        <v>10</v>
      </c>
      <c r="M124">
        <v>0</v>
      </c>
      <c r="N124">
        <v>7</v>
      </c>
      <c r="O124">
        <v>7</v>
      </c>
      <c r="P124">
        <v>7</v>
      </c>
      <c r="Q124">
        <v>7</v>
      </c>
      <c r="R124">
        <v>718</v>
      </c>
      <c r="S124">
        <v>713</v>
      </c>
      <c r="T124">
        <v>489</v>
      </c>
      <c r="U124">
        <v>605</v>
      </c>
      <c r="V124">
        <v>594</v>
      </c>
      <c r="W124">
        <v>594</v>
      </c>
      <c r="X124">
        <v>2</v>
      </c>
      <c r="Y124">
        <v>10</v>
      </c>
      <c r="Z124">
        <v>716</v>
      </c>
    </row>
    <row r="125" spans="1:26" x14ac:dyDescent="0.35">
      <c r="A125" s="103" t="s">
        <v>263</v>
      </c>
      <c r="B125" t="s">
        <v>141</v>
      </c>
      <c r="C125" t="s">
        <v>409</v>
      </c>
      <c r="D125" t="s">
        <v>112</v>
      </c>
      <c r="E125" t="s">
        <v>170</v>
      </c>
      <c r="F125">
        <v>1</v>
      </c>
      <c r="G125">
        <v>0</v>
      </c>
      <c r="H125">
        <v>1</v>
      </c>
      <c r="I125">
        <v>1</v>
      </c>
      <c r="J125">
        <v>0</v>
      </c>
      <c r="K125">
        <v>0</v>
      </c>
      <c r="L125">
        <v>4</v>
      </c>
      <c r="M125">
        <v>1</v>
      </c>
      <c r="N125">
        <v>3</v>
      </c>
      <c r="O125">
        <v>4</v>
      </c>
      <c r="P125">
        <v>1</v>
      </c>
      <c r="Q125">
        <v>1</v>
      </c>
      <c r="R125">
        <v>144</v>
      </c>
      <c r="S125">
        <v>136</v>
      </c>
      <c r="T125">
        <v>117</v>
      </c>
      <c r="U125">
        <v>130</v>
      </c>
      <c r="V125">
        <v>105</v>
      </c>
      <c r="W125">
        <v>105</v>
      </c>
      <c r="X125">
        <v>1</v>
      </c>
      <c r="Y125">
        <v>4</v>
      </c>
      <c r="Z125">
        <v>144</v>
      </c>
    </row>
    <row r="126" spans="1:26" x14ac:dyDescent="0.35">
      <c r="A126" s="103" t="s">
        <v>263</v>
      </c>
      <c r="B126" t="s">
        <v>141</v>
      </c>
      <c r="C126" t="s">
        <v>410</v>
      </c>
      <c r="D126" t="s">
        <v>112</v>
      </c>
      <c r="E126" t="s">
        <v>170</v>
      </c>
      <c r="F126">
        <v>4</v>
      </c>
      <c r="G126">
        <v>0</v>
      </c>
      <c r="H126">
        <v>1</v>
      </c>
      <c r="I126">
        <v>2</v>
      </c>
      <c r="J126">
        <v>2</v>
      </c>
      <c r="K126">
        <v>2</v>
      </c>
      <c r="L126">
        <v>20</v>
      </c>
      <c r="M126">
        <v>0</v>
      </c>
      <c r="N126">
        <v>9</v>
      </c>
      <c r="O126">
        <v>14</v>
      </c>
      <c r="P126">
        <v>14</v>
      </c>
      <c r="Q126">
        <v>14</v>
      </c>
      <c r="R126">
        <v>1017</v>
      </c>
      <c r="S126">
        <v>1016</v>
      </c>
      <c r="T126">
        <v>654</v>
      </c>
      <c r="U126">
        <v>827</v>
      </c>
      <c r="V126">
        <v>843</v>
      </c>
      <c r="W126">
        <v>843</v>
      </c>
      <c r="X126">
        <v>4</v>
      </c>
      <c r="Y126">
        <v>20</v>
      </c>
      <c r="Z126">
        <v>1017</v>
      </c>
    </row>
    <row r="127" spans="1:26" x14ac:dyDescent="0.35">
      <c r="A127" s="103" t="s">
        <v>263</v>
      </c>
      <c r="B127" t="s">
        <v>141</v>
      </c>
      <c r="C127" t="s">
        <v>411</v>
      </c>
      <c r="D127" t="s">
        <v>112</v>
      </c>
      <c r="E127" t="s">
        <v>170</v>
      </c>
      <c r="F127">
        <v>5</v>
      </c>
      <c r="G127">
        <v>0</v>
      </c>
      <c r="H127">
        <v>4</v>
      </c>
      <c r="I127">
        <v>5</v>
      </c>
      <c r="J127">
        <v>4</v>
      </c>
      <c r="K127">
        <v>4</v>
      </c>
      <c r="L127">
        <v>27</v>
      </c>
      <c r="M127">
        <v>0</v>
      </c>
      <c r="N127">
        <v>20</v>
      </c>
      <c r="O127">
        <v>24</v>
      </c>
      <c r="P127">
        <v>23</v>
      </c>
      <c r="Q127">
        <v>23</v>
      </c>
      <c r="R127">
        <v>1989</v>
      </c>
      <c r="S127">
        <v>1969</v>
      </c>
      <c r="T127">
        <v>1274</v>
      </c>
      <c r="U127">
        <v>1559</v>
      </c>
      <c r="V127">
        <v>1390</v>
      </c>
      <c r="W127">
        <v>1390</v>
      </c>
      <c r="X127">
        <v>5</v>
      </c>
      <c r="Y127">
        <v>27</v>
      </c>
      <c r="Z127">
        <v>1988</v>
      </c>
    </row>
    <row r="128" spans="1:26" x14ac:dyDescent="0.35">
      <c r="A128" s="103" t="s">
        <v>263</v>
      </c>
      <c r="B128" t="s">
        <v>141</v>
      </c>
      <c r="C128" t="s">
        <v>412</v>
      </c>
      <c r="D128" t="s">
        <v>112</v>
      </c>
      <c r="E128" t="s">
        <v>170</v>
      </c>
      <c r="F128">
        <v>1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4</v>
      </c>
      <c r="M128">
        <v>0</v>
      </c>
      <c r="N128">
        <v>5</v>
      </c>
      <c r="O128">
        <v>5</v>
      </c>
      <c r="P128">
        <v>2</v>
      </c>
      <c r="Q128">
        <v>2</v>
      </c>
      <c r="R128">
        <v>298</v>
      </c>
      <c r="S128">
        <v>298</v>
      </c>
      <c r="T128">
        <v>188</v>
      </c>
      <c r="U128">
        <v>237</v>
      </c>
      <c r="V128">
        <v>242</v>
      </c>
      <c r="W128">
        <v>242</v>
      </c>
      <c r="X128">
        <v>1</v>
      </c>
      <c r="Y128">
        <v>5</v>
      </c>
      <c r="Z128">
        <v>299</v>
      </c>
    </row>
    <row r="129" spans="1:26" x14ac:dyDescent="0.35">
      <c r="A129" s="103" t="s">
        <v>263</v>
      </c>
      <c r="B129" t="s">
        <v>141</v>
      </c>
      <c r="C129" t="s">
        <v>413</v>
      </c>
      <c r="D129" t="s">
        <v>112</v>
      </c>
      <c r="E129" t="s">
        <v>170</v>
      </c>
      <c r="F129">
        <v>5</v>
      </c>
      <c r="G129">
        <v>0</v>
      </c>
      <c r="H129">
        <v>2</v>
      </c>
      <c r="I129">
        <v>3</v>
      </c>
      <c r="J129">
        <v>3</v>
      </c>
      <c r="K129">
        <v>3</v>
      </c>
      <c r="L129">
        <v>25</v>
      </c>
      <c r="M129">
        <v>0</v>
      </c>
      <c r="N129">
        <v>11</v>
      </c>
      <c r="O129">
        <v>18</v>
      </c>
      <c r="P129">
        <v>16</v>
      </c>
      <c r="Q129">
        <v>16</v>
      </c>
      <c r="R129">
        <v>1509</v>
      </c>
      <c r="S129">
        <v>1496</v>
      </c>
      <c r="T129">
        <v>884</v>
      </c>
      <c r="U129">
        <v>1122</v>
      </c>
      <c r="V129">
        <v>1083</v>
      </c>
      <c r="W129">
        <v>1083</v>
      </c>
      <c r="X129">
        <v>5</v>
      </c>
      <c r="Y129">
        <v>25</v>
      </c>
      <c r="Z129">
        <v>1510</v>
      </c>
    </row>
    <row r="130" spans="1:26" x14ac:dyDescent="0.35">
      <c r="A130" s="103" t="s">
        <v>263</v>
      </c>
      <c r="B130" t="s">
        <v>141</v>
      </c>
      <c r="C130" t="s">
        <v>414</v>
      </c>
      <c r="D130" t="s">
        <v>112</v>
      </c>
      <c r="E130" t="s">
        <v>170</v>
      </c>
      <c r="F130">
        <v>2</v>
      </c>
      <c r="G130">
        <v>0</v>
      </c>
      <c r="H130">
        <v>2</v>
      </c>
      <c r="I130">
        <v>2</v>
      </c>
      <c r="J130">
        <v>1</v>
      </c>
      <c r="K130">
        <v>1</v>
      </c>
      <c r="L130">
        <v>10</v>
      </c>
      <c r="M130">
        <v>0</v>
      </c>
      <c r="N130">
        <v>9</v>
      </c>
      <c r="O130">
        <v>10</v>
      </c>
      <c r="P130">
        <v>8</v>
      </c>
      <c r="Q130">
        <v>8</v>
      </c>
      <c r="R130">
        <v>811</v>
      </c>
      <c r="S130">
        <v>805</v>
      </c>
      <c r="T130">
        <v>568</v>
      </c>
      <c r="U130">
        <v>683</v>
      </c>
      <c r="V130">
        <v>627</v>
      </c>
      <c r="W130">
        <v>627</v>
      </c>
      <c r="X130">
        <v>2</v>
      </c>
      <c r="Y130">
        <v>10</v>
      </c>
      <c r="Z130">
        <v>810</v>
      </c>
    </row>
    <row r="131" spans="1:26" x14ac:dyDescent="0.35">
      <c r="A131" s="103" t="s">
        <v>263</v>
      </c>
      <c r="B131" t="s">
        <v>141</v>
      </c>
      <c r="C131" t="s">
        <v>415</v>
      </c>
      <c r="D131" t="s">
        <v>112</v>
      </c>
      <c r="E131" t="s">
        <v>170</v>
      </c>
      <c r="F131">
        <v>1</v>
      </c>
      <c r="G131">
        <v>0</v>
      </c>
      <c r="H131">
        <v>1</v>
      </c>
      <c r="I131">
        <v>1</v>
      </c>
      <c r="J131">
        <v>1</v>
      </c>
      <c r="K131">
        <v>1</v>
      </c>
      <c r="L131">
        <v>5</v>
      </c>
      <c r="M131">
        <v>0</v>
      </c>
      <c r="N131">
        <v>5</v>
      </c>
      <c r="O131">
        <v>5</v>
      </c>
      <c r="P131">
        <v>5</v>
      </c>
      <c r="Q131">
        <v>5</v>
      </c>
      <c r="R131">
        <v>562</v>
      </c>
      <c r="S131">
        <v>558</v>
      </c>
      <c r="T131">
        <v>355</v>
      </c>
      <c r="U131">
        <v>466</v>
      </c>
      <c r="V131">
        <v>371</v>
      </c>
      <c r="W131">
        <v>371</v>
      </c>
      <c r="X131">
        <v>1</v>
      </c>
      <c r="Y131">
        <v>5</v>
      </c>
      <c r="Z131">
        <v>562</v>
      </c>
    </row>
    <row r="132" spans="1:26" x14ac:dyDescent="0.35">
      <c r="A132" s="103" t="s">
        <v>263</v>
      </c>
      <c r="B132" t="s">
        <v>141</v>
      </c>
      <c r="C132" t="s">
        <v>416</v>
      </c>
      <c r="D132" t="s">
        <v>112</v>
      </c>
      <c r="E132" t="s">
        <v>170</v>
      </c>
      <c r="F132">
        <v>7</v>
      </c>
      <c r="G132">
        <v>0</v>
      </c>
      <c r="H132">
        <v>6</v>
      </c>
      <c r="I132">
        <v>7</v>
      </c>
      <c r="J132">
        <v>5</v>
      </c>
      <c r="K132">
        <v>5</v>
      </c>
      <c r="L132">
        <v>34</v>
      </c>
      <c r="M132">
        <v>0</v>
      </c>
      <c r="N132">
        <v>24</v>
      </c>
      <c r="O132">
        <v>29</v>
      </c>
      <c r="P132">
        <v>26</v>
      </c>
      <c r="Q132">
        <v>26</v>
      </c>
      <c r="R132">
        <v>1831</v>
      </c>
      <c r="S132">
        <v>1797</v>
      </c>
      <c r="T132">
        <v>1111</v>
      </c>
      <c r="U132">
        <v>1384</v>
      </c>
      <c r="V132">
        <v>1209</v>
      </c>
      <c r="W132">
        <v>1209</v>
      </c>
      <c r="X132">
        <v>7</v>
      </c>
      <c r="Y132">
        <v>34</v>
      </c>
      <c r="Z132">
        <v>1830</v>
      </c>
    </row>
    <row r="133" spans="1:26" x14ac:dyDescent="0.35">
      <c r="A133" s="103" t="s">
        <v>263</v>
      </c>
      <c r="B133" t="s">
        <v>141</v>
      </c>
      <c r="C133" t="s">
        <v>417</v>
      </c>
      <c r="D133" t="s">
        <v>112</v>
      </c>
      <c r="E133" t="s">
        <v>170</v>
      </c>
      <c r="F133">
        <v>6</v>
      </c>
      <c r="G133">
        <v>0</v>
      </c>
      <c r="H133">
        <v>2</v>
      </c>
      <c r="I133">
        <v>2</v>
      </c>
      <c r="J133">
        <v>3</v>
      </c>
      <c r="K133">
        <v>3</v>
      </c>
      <c r="L133">
        <v>29</v>
      </c>
      <c r="M133">
        <v>0</v>
      </c>
      <c r="N133">
        <v>17</v>
      </c>
      <c r="O133">
        <v>21</v>
      </c>
      <c r="P133">
        <v>19</v>
      </c>
      <c r="Q133">
        <v>19</v>
      </c>
      <c r="R133">
        <v>1872</v>
      </c>
      <c r="S133">
        <v>1864</v>
      </c>
      <c r="T133">
        <v>1287</v>
      </c>
      <c r="U133">
        <v>1613</v>
      </c>
      <c r="V133">
        <v>1526</v>
      </c>
      <c r="W133">
        <v>1526</v>
      </c>
      <c r="X133">
        <v>6</v>
      </c>
      <c r="Y133">
        <v>29</v>
      </c>
      <c r="Z133">
        <v>1872</v>
      </c>
    </row>
    <row r="134" spans="1:26" x14ac:dyDescent="0.35">
      <c r="A134" s="103" t="s">
        <v>263</v>
      </c>
      <c r="B134" t="s">
        <v>141</v>
      </c>
      <c r="C134" t="s">
        <v>418</v>
      </c>
      <c r="D134" t="s">
        <v>112</v>
      </c>
      <c r="E134" t="s">
        <v>170</v>
      </c>
      <c r="F134">
        <v>6</v>
      </c>
      <c r="G134">
        <v>0</v>
      </c>
      <c r="H134">
        <v>5</v>
      </c>
      <c r="I134">
        <v>6</v>
      </c>
      <c r="J134">
        <v>6</v>
      </c>
      <c r="K134">
        <v>6</v>
      </c>
      <c r="L134">
        <v>30</v>
      </c>
      <c r="M134">
        <v>0</v>
      </c>
      <c r="N134">
        <v>20</v>
      </c>
      <c r="O134">
        <v>26</v>
      </c>
      <c r="P134">
        <v>28</v>
      </c>
      <c r="Q134">
        <v>28</v>
      </c>
      <c r="R134">
        <v>1612</v>
      </c>
      <c r="S134">
        <v>1595</v>
      </c>
      <c r="T134">
        <v>941</v>
      </c>
      <c r="U134">
        <v>1165</v>
      </c>
      <c r="V134">
        <v>1133</v>
      </c>
      <c r="W134">
        <v>1133</v>
      </c>
      <c r="X134">
        <v>6</v>
      </c>
      <c r="Y134">
        <v>30</v>
      </c>
      <c r="Z134">
        <v>1612</v>
      </c>
    </row>
    <row r="135" spans="1:26" x14ac:dyDescent="0.35">
      <c r="A135" s="103" t="s">
        <v>263</v>
      </c>
      <c r="B135" t="s">
        <v>141</v>
      </c>
      <c r="C135" t="s">
        <v>419</v>
      </c>
      <c r="D135" t="s">
        <v>112</v>
      </c>
      <c r="E135" t="s">
        <v>170</v>
      </c>
      <c r="F135">
        <v>3</v>
      </c>
      <c r="G135">
        <v>0</v>
      </c>
      <c r="H135">
        <v>3</v>
      </c>
      <c r="I135">
        <v>3</v>
      </c>
      <c r="J135">
        <v>2</v>
      </c>
      <c r="K135">
        <v>2</v>
      </c>
      <c r="L135">
        <v>15</v>
      </c>
      <c r="M135">
        <v>0</v>
      </c>
      <c r="N135">
        <v>11</v>
      </c>
      <c r="O135">
        <v>11</v>
      </c>
      <c r="P135">
        <v>11</v>
      </c>
      <c r="Q135">
        <v>11</v>
      </c>
      <c r="R135">
        <v>1106</v>
      </c>
      <c r="S135">
        <v>1093</v>
      </c>
      <c r="T135">
        <v>617</v>
      </c>
      <c r="U135">
        <v>838</v>
      </c>
      <c r="V135">
        <v>823</v>
      </c>
      <c r="W135">
        <v>823</v>
      </c>
      <c r="X135">
        <v>3</v>
      </c>
      <c r="Y135">
        <v>15</v>
      </c>
      <c r="Z135">
        <v>1107</v>
      </c>
    </row>
    <row r="136" spans="1:26" x14ac:dyDescent="0.35">
      <c r="A136" s="103" t="s">
        <v>263</v>
      </c>
      <c r="B136" t="s">
        <v>141</v>
      </c>
      <c r="C136" t="s">
        <v>420</v>
      </c>
      <c r="D136" t="s">
        <v>112</v>
      </c>
      <c r="E136" t="s">
        <v>170</v>
      </c>
      <c r="F136">
        <v>1</v>
      </c>
      <c r="G136">
        <v>0</v>
      </c>
      <c r="H136">
        <v>0</v>
      </c>
      <c r="I136">
        <v>1</v>
      </c>
      <c r="J136">
        <v>1</v>
      </c>
      <c r="K136">
        <v>1</v>
      </c>
      <c r="L136">
        <v>7</v>
      </c>
      <c r="M136">
        <v>0</v>
      </c>
      <c r="N136">
        <v>4</v>
      </c>
      <c r="O136">
        <v>6</v>
      </c>
      <c r="P136">
        <v>5</v>
      </c>
      <c r="Q136">
        <v>5</v>
      </c>
      <c r="R136">
        <v>711</v>
      </c>
      <c r="S136">
        <v>689</v>
      </c>
      <c r="T136">
        <v>443</v>
      </c>
      <c r="U136">
        <v>535</v>
      </c>
      <c r="V136">
        <v>485</v>
      </c>
      <c r="W136">
        <v>485</v>
      </c>
      <c r="X136">
        <v>1</v>
      </c>
      <c r="Y136">
        <v>7</v>
      </c>
      <c r="Z136">
        <v>709</v>
      </c>
    </row>
    <row r="137" spans="1:26" x14ac:dyDescent="0.35">
      <c r="A137" s="103" t="s">
        <v>263</v>
      </c>
      <c r="B137" t="s">
        <v>141</v>
      </c>
      <c r="C137" t="s">
        <v>421</v>
      </c>
      <c r="D137" t="s">
        <v>112</v>
      </c>
      <c r="E137" t="s">
        <v>170</v>
      </c>
      <c r="F137">
        <v>4</v>
      </c>
      <c r="G137">
        <v>0</v>
      </c>
      <c r="H137">
        <v>4</v>
      </c>
      <c r="I137">
        <v>4</v>
      </c>
      <c r="J137">
        <v>3</v>
      </c>
      <c r="K137">
        <v>3</v>
      </c>
      <c r="L137">
        <v>19</v>
      </c>
      <c r="M137">
        <v>0</v>
      </c>
      <c r="N137">
        <v>16</v>
      </c>
      <c r="O137">
        <v>18</v>
      </c>
      <c r="P137">
        <v>16</v>
      </c>
      <c r="Q137">
        <v>16</v>
      </c>
      <c r="R137">
        <v>1346</v>
      </c>
      <c r="S137">
        <v>1334</v>
      </c>
      <c r="T137">
        <v>767</v>
      </c>
      <c r="U137">
        <v>963</v>
      </c>
      <c r="V137">
        <v>868</v>
      </c>
      <c r="W137">
        <v>868</v>
      </c>
      <c r="X137">
        <v>4</v>
      </c>
      <c r="Y137">
        <v>19</v>
      </c>
      <c r="Z137">
        <v>1346</v>
      </c>
    </row>
    <row r="138" spans="1:26" x14ac:dyDescent="0.35">
      <c r="A138" s="103" t="s">
        <v>263</v>
      </c>
      <c r="B138" t="s">
        <v>141</v>
      </c>
      <c r="C138" t="s">
        <v>422</v>
      </c>
      <c r="D138" t="s">
        <v>112</v>
      </c>
      <c r="E138" t="s">
        <v>170</v>
      </c>
      <c r="F138">
        <v>9</v>
      </c>
      <c r="G138">
        <v>0</v>
      </c>
      <c r="H138">
        <v>6</v>
      </c>
      <c r="I138">
        <v>8</v>
      </c>
      <c r="J138">
        <v>8</v>
      </c>
      <c r="K138">
        <v>8</v>
      </c>
      <c r="L138">
        <v>52</v>
      </c>
      <c r="M138">
        <v>1</v>
      </c>
      <c r="N138">
        <v>29</v>
      </c>
      <c r="O138">
        <v>41</v>
      </c>
      <c r="P138">
        <v>41</v>
      </c>
      <c r="Q138">
        <v>41</v>
      </c>
      <c r="R138">
        <v>2758</v>
      </c>
      <c r="S138">
        <v>2696</v>
      </c>
      <c r="T138">
        <v>1704</v>
      </c>
      <c r="U138">
        <v>2191</v>
      </c>
      <c r="V138">
        <v>2165</v>
      </c>
      <c r="W138">
        <v>2165</v>
      </c>
      <c r="X138">
        <v>9</v>
      </c>
      <c r="Y138">
        <v>52</v>
      </c>
      <c r="Z138">
        <v>2755</v>
      </c>
    </row>
    <row r="139" spans="1:26" x14ac:dyDescent="0.35">
      <c r="A139" s="103" t="s">
        <v>263</v>
      </c>
      <c r="B139" t="s">
        <v>140</v>
      </c>
      <c r="C139" t="s">
        <v>423</v>
      </c>
      <c r="D139" t="s">
        <v>112</v>
      </c>
      <c r="E139" t="s">
        <v>170</v>
      </c>
      <c r="F139">
        <v>2</v>
      </c>
      <c r="G139">
        <v>0</v>
      </c>
      <c r="H139">
        <v>1</v>
      </c>
      <c r="I139">
        <v>1</v>
      </c>
      <c r="J139">
        <v>2</v>
      </c>
      <c r="K139">
        <v>2</v>
      </c>
      <c r="L139">
        <v>10</v>
      </c>
      <c r="M139">
        <v>0</v>
      </c>
      <c r="N139">
        <v>5</v>
      </c>
      <c r="O139">
        <v>7</v>
      </c>
      <c r="P139">
        <v>10</v>
      </c>
      <c r="Q139">
        <v>10</v>
      </c>
      <c r="R139">
        <v>774</v>
      </c>
      <c r="S139">
        <v>770</v>
      </c>
      <c r="T139">
        <v>486</v>
      </c>
      <c r="U139">
        <v>634</v>
      </c>
      <c r="V139">
        <v>632</v>
      </c>
      <c r="W139">
        <v>632</v>
      </c>
      <c r="X139">
        <v>2</v>
      </c>
      <c r="Y139">
        <v>10</v>
      </c>
      <c r="Z139">
        <v>775</v>
      </c>
    </row>
    <row r="140" spans="1:26" x14ac:dyDescent="0.35">
      <c r="A140" s="103" t="s">
        <v>263</v>
      </c>
      <c r="B140" t="s">
        <v>141</v>
      </c>
      <c r="C140" t="s">
        <v>424</v>
      </c>
      <c r="D140" t="s">
        <v>112</v>
      </c>
      <c r="E140" t="s">
        <v>170</v>
      </c>
      <c r="F140">
        <v>2</v>
      </c>
      <c r="G140">
        <v>0</v>
      </c>
      <c r="H140">
        <v>2</v>
      </c>
      <c r="I140">
        <v>2</v>
      </c>
      <c r="J140">
        <v>2</v>
      </c>
      <c r="K140">
        <v>2</v>
      </c>
      <c r="L140">
        <v>10</v>
      </c>
      <c r="M140">
        <v>0</v>
      </c>
      <c r="N140">
        <v>9</v>
      </c>
      <c r="O140">
        <v>10</v>
      </c>
      <c r="P140">
        <v>8</v>
      </c>
      <c r="Q140">
        <v>8</v>
      </c>
      <c r="R140">
        <v>818</v>
      </c>
      <c r="S140">
        <v>799</v>
      </c>
      <c r="T140">
        <v>466</v>
      </c>
      <c r="U140">
        <v>578</v>
      </c>
      <c r="V140">
        <v>490</v>
      </c>
      <c r="W140">
        <v>490</v>
      </c>
      <c r="X140">
        <v>2</v>
      </c>
      <c r="Y140">
        <v>10</v>
      </c>
      <c r="Z140">
        <v>819</v>
      </c>
    </row>
    <row r="141" spans="1:26" x14ac:dyDescent="0.35">
      <c r="A141" s="103" t="s">
        <v>263</v>
      </c>
      <c r="B141" t="s">
        <v>141</v>
      </c>
      <c r="C141" t="s">
        <v>425</v>
      </c>
      <c r="D141" t="s">
        <v>112</v>
      </c>
      <c r="E141" t="s">
        <v>170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1</v>
      </c>
      <c r="M141">
        <v>0</v>
      </c>
      <c r="N141">
        <v>1</v>
      </c>
      <c r="O141">
        <v>1</v>
      </c>
      <c r="P141">
        <v>1</v>
      </c>
      <c r="Q141">
        <v>1</v>
      </c>
      <c r="R141">
        <v>162</v>
      </c>
      <c r="S141">
        <v>146</v>
      </c>
      <c r="T141">
        <v>98</v>
      </c>
      <c r="U141">
        <v>120</v>
      </c>
      <c r="V141">
        <v>88</v>
      </c>
      <c r="W141">
        <v>88</v>
      </c>
      <c r="X141">
        <v>0</v>
      </c>
      <c r="Y141">
        <v>1</v>
      </c>
      <c r="Z141">
        <v>163</v>
      </c>
    </row>
    <row r="142" spans="1:26" x14ac:dyDescent="0.35">
      <c r="A142" s="103" t="s">
        <v>263</v>
      </c>
      <c r="B142" t="s">
        <v>141</v>
      </c>
      <c r="C142" t="s">
        <v>426</v>
      </c>
      <c r="D142" t="s">
        <v>112</v>
      </c>
      <c r="E142" t="s">
        <v>170</v>
      </c>
      <c r="F142">
        <v>5</v>
      </c>
      <c r="G142">
        <v>0</v>
      </c>
      <c r="H142">
        <v>4</v>
      </c>
      <c r="I142">
        <v>4</v>
      </c>
      <c r="J142">
        <v>3</v>
      </c>
      <c r="K142">
        <v>3</v>
      </c>
      <c r="L142">
        <v>25</v>
      </c>
      <c r="M142">
        <v>0</v>
      </c>
      <c r="N142">
        <v>11</v>
      </c>
      <c r="O142">
        <v>17</v>
      </c>
      <c r="P142">
        <v>11</v>
      </c>
      <c r="Q142">
        <v>11</v>
      </c>
      <c r="R142">
        <v>1067</v>
      </c>
      <c r="S142">
        <v>1052</v>
      </c>
      <c r="T142">
        <v>631</v>
      </c>
      <c r="U142">
        <v>783</v>
      </c>
      <c r="V142">
        <v>685</v>
      </c>
      <c r="W142">
        <v>685</v>
      </c>
      <c r="X142">
        <v>5</v>
      </c>
      <c r="Y142">
        <v>25</v>
      </c>
      <c r="Z142">
        <v>1068</v>
      </c>
    </row>
    <row r="143" spans="1:26" x14ac:dyDescent="0.35">
      <c r="A143" s="103" t="s">
        <v>263</v>
      </c>
      <c r="B143" t="s">
        <v>141</v>
      </c>
      <c r="C143" t="s">
        <v>427</v>
      </c>
      <c r="D143" t="s">
        <v>112</v>
      </c>
      <c r="E143" t="s">
        <v>170</v>
      </c>
      <c r="F143">
        <v>5</v>
      </c>
      <c r="G143">
        <v>0</v>
      </c>
      <c r="H143">
        <v>2</v>
      </c>
      <c r="I143">
        <v>2</v>
      </c>
      <c r="J143">
        <v>4</v>
      </c>
      <c r="K143">
        <v>4</v>
      </c>
      <c r="L143">
        <v>27</v>
      </c>
      <c r="M143">
        <v>0</v>
      </c>
      <c r="N143">
        <v>11</v>
      </c>
      <c r="O143">
        <v>19</v>
      </c>
      <c r="P143">
        <v>24</v>
      </c>
      <c r="Q143">
        <v>24</v>
      </c>
      <c r="R143">
        <v>1882</v>
      </c>
      <c r="S143">
        <v>1871</v>
      </c>
      <c r="T143">
        <v>1034</v>
      </c>
      <c r="U143">
        <v>1346</v>
      </c>
      <c r="V143">
        <v>1204</v>
      </c>
      <c r="W143">
        <v>1204</v>
      </c>
      <c r="X143">
        <v>5</v>
      </c>
      <c r="Y143">
        <v>27</v>
      </c>
      <c r="Z143">
        <v>1883</v>
      </c>
    </row>
    <row r="144" spans="1:26" x14ac:dyDescent="0.35">
      <c r="A144" s="103" t="s">
        <v>263</v>
      </c>
      <c r="B144" t="s">
        <v>141</v>
      </c>
      <c r="C144" t="s">
        <v>428</v>
      </c>
      <c r="D144" t="s">
        <v>112</v>
      </c>
      <c r="E144" t="s">
        <v>170</v>
      </c>
      <c r="F144">
        <v>7</v>
      </c>
      <c r="G144">
        <v>0</v>
      </c>
      <c r="H144">
        <v>7</v>
      </c>
      <c r="I144">
        <v>7</v>
      </c>
      <c r="J144">
        <v>6</v>
      </c>
      <c r="K144">
        <v>6</v>
      </c>
      <c r="L144">
        <v>36</v>
      </c>
      <c r="M144">
        <v>1</v>
      </c>
      <c r="N144">
        <v>25</v>
      </c>
      <c r="O144">
        <v>29</v>
      </c>
      <c r="P144">
        <v>26</v>
      </c>
      <c r="Q144">
        <v>26</v>
      </c>
      <c r="R144">
        <v>2126</v>
      </c>
      <c r="S144">
        <v>2062</v>
      </c>
      <c r="T144">
        <v>1477</v>
      </c>
      <c r="U144">
        <v>1732</v>
      </c>
      <c r="V144">
        <v>1680</v>
      </c>
      <c r="W144">
        <v>1680</v>
      </c>
      <c r="X144">
        <v>8</v>
      </c>
      <c r="Y144">
        <v>36</v>
      </c>
      <c r="Z144">
        <v>2127</v>
      </c>
    </row>
    <row r="145" spans="1:26" x14ac:dyDescent="0.35">
      <c r="A145" s="103" t="s">
        <v>263</v>
      </c>
      <c r="B145" t="s">
        <v>141</v>
      </c>
      <c r="C145" t="s">
        <v>429</v>
      </c>
      <c r="D145" t="s">
        <v>112</v>
      </c>
      <c r="E145" t="s">
        <v>170</v>
      </c>
      <c r="F145">
        <v>2</v>
      </c>
      <c r="G145">
        <v>0</v>
      </c>
      <c r="H145">
        <v>1</v>
      </c>
      <c r="I145">
        <v>1</v>
      </c>
      <c r="J145">
        <v>2</v>
      </c>
      <c r="K145">
        <v>2</v>
      </c>
      <c r="L145">
        <v>8</v>
      </c>
      <c r="M145">
        <v>0</v>
      </c>
      <c r="N145">
        <v>7</v>
      </c>
      <c r="O145">
        <v>7</v>
      </c>
      <c r="P145">
        <v>8</v>
      </c>
      <c r="Q145">
        <v>8</v>
      </c>
      <c r="R145">
        <v>530</v>
      </c>
      <c r="S145">
        <v>514</v>
      </c>
      <c r="T145">
        <v>345</v>
      </c>
      <c r="U145">
        <v>405</v>
      </c>
      <c r="V145">
        <v>390</v>
      </c>
      <c r="W145">
        <v>390</v>
      </c>
      <c r="X145">
        <v>2</v>
      </c>
      <c r="Y145">
        <v>8</v>
      </c>
      <c r="Z145">
        <v>531</v>
      </c>
    </row>
    <row r="146" spans="1:26" x14ac:dyDescent="0.35">
      <c r="A146" s="103" t="s">
        <v>263</v>
      </c>
      <c r="B146" t="s">
        <v>141</v>
      </c>
      <c r="C146" t="s">
        <v>430</v>
      </c>
      <c r="D146" t="s">
        <v>112</v>
      </c>
      <c r="E146" t="s">
        <v>170</v>
      </c>
      <c r="F146">
        <v>2</v>
      </c>
      <c r="G146">
        <v>0</v>
      </c>
      <c r="H146">
        <v>1</v>
      </c>
      <c r="I146">
        <v>1</v>
      </c>
      <c r="J146">
        <v>2</v>
      </c>
      <c r="K146">
        <v>2</v>
      </c>
      <c r="L146">
        <v>10</v>
      </c>
      <c r="M146">
        <v>0</v>
      </c>
      <c r="N146">
        <v>7</v>
      </c>
      <c r="O146">
        <v>8</v>
      </c>
      <c r="P146">
        <v>10</v>
      </c>
      <c r="Q146">
        <v>10</v>
      </c>
      <c r="R146">
        <v>618</v>
      </c>
      <c r="S146">
        <v>606</v>
      </c>
      <c r="T146">
        <v>357</v>
      </c>
      <c r="U146">
        <v>441</v>
      </c>
      <c r="V146">
        <v>474</v>
      </c>
      <c r="W146">
        <v>474</v>
      </c>
      <c r="X146">
        <v>2</v>
      </c>
      <c r="Y146">
        <v>10</v>
      </c>
      <c r="Z146">
        <v>618</v>
      </c>
    </row>
    <row r="147" spans="1:26" x14ac:dyDescent="0.35">
      <c r="A147" s="103" t="s">
        <v>263</v>
      </c>
      <c r="B147" t="s">
        <v>141</v>
      </c>
      <c r="C147" t="s">
        <v>431</v>
      </c>
      <c r="D147" t="s">
        <v>112</v>
      </c>
      <c r="E147" t="s">
        <v>170</v>
      </c>
      <c r="F147">
        <v>4</v>
      </c>
      <c r="G147">
        <v>0</v>
      </c>
      <c r="H147">
        <v>4</v>
      </c>
      <c r="I147">
        <v>4</v>
      </c>
      <c r="J147">
        <v>4</v>
      </c>
      <c r="K147">
        <v>4</v>
      </c>
      <c r="L147">
        <v>19</v>
      </c>
      <c r="M147">
        <v>0</v>
      </c>
      <c r="N147">
        <v>17</v>
      </c>
      <c r="O147">
        <v>19</v>
      </c>
      <c r="P147">
        <v>18</v>
      </c>
      <c r="Q147">
        <v>18</v>
      </c>
      <c r="R147">
        <v>1303</v>
      </c>
      <c r="S147">
        <v>1291</v>
      </c>
      <c r="T147">
        <v>733</v>
      </c>
      <c r="U147">
        <v>975</v>
      </c>
      <c r="V147">
        <v>899</v>
      </c>
      <c r="W147">
        <v>899</v>
      </c>
      <c r="X147">
        <v>4</v>
      </c>
      <c r="Y147">
        <v>19</v>
      </c>
      <c r="Z147">
        <v>1305</v>
      </c>
    </row>
    <row r="148" spans="1:26" x14ac:dyDescent="0.35">
      <c r="A148" s="103" t="s">
        <v>263</v>
      </c>
      <c r="B148" t="s">
        <v>141</v>
      </c>
      <c r="C148" t="s">
        <v>432</v>
      </c>
      <c r="D148" t="s">
        <v>112</v>
      </c>
      <c r="E148" t="s">
        <v>170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1</v>
      </c>
      <c r="M148">
        <v>0</v>
      </c>
      <c r="N148">
        <v>0</v>
      </c>
      <c r="O148">
        <v>1</v>
      </c>
      <c r="P148">
        <v>1</v>
      </c>
      <c r="Q148">
        <v>1</v>
      </c>
      <c r="R148">
        <v>52</v>
      </c>
      <c r="S148">
        <v>52</v>
      </c>
      <c r="T148">
        <v>32</v>
      </c>
      <c r="U148">
        <v>48</v>
      </c>
      <c r="V148">
        <v>39</v>
      </c>
      <c r="W148">
        <v>39</v>
      </c>
      <c r="X148">
        <v>0</v>
      </c>
      <c r="Y148">
        <v>1</v>
      </c>
      <c r="Z148">
        <v>52</v>
      </c>
    </row>
    <row r="149" spans="1:26" x14ac:dyDescent="0.35">
      <c r="A149" s="103" t="s">
        <v>263</v>
      </c>
      <c r="B149" t="s">
        <v>141</v>
      </c>
      <c r="C149" t="s">
        <v>433</v>
      </c>
      <c r="D149" t="s">
        <v>112</v>
      </c>
      <c r="E149" t="s">
        <v>170</v>
      </c>
      <c r="F149">
        <v>11</v>
      </c>
      <c r="G149">
        <v>0</v>
      </c>
      <c r="H149">
        <v>7</v>
      </c>
      <c r="I149">
        <v>9</v>
      </c>
      <c r="J149">
        <v>10</v>
      </c>
      <c r="K149">
        <v>10</v>
      </c>
      <c r="L149">
        <v>53</v>
      </c>
      <c r="M149">
        <v>0</v>
      </c>
      <c r="N149">
        <v>38</v>
      </c>
      <c r="O149">
        <v>44</v>
      </c>
      <c r="P149">
        <v>44</v>
      </c>
      <c r="Q149">
        <v>44</v>
      </c>
      <c r="R149">
        <v>3404</v>
      </c>
      <c r="S149">
        <v>3353</v>
      </c>
      <c r="T149">
        <v>2139</v>
      </c>
      <c r="U149">
        <v>2586</v>
      </c>
      <c r="V149">
        <v>2554</v>
      </c>
      <c r="W149">
        <v>2554</v>
      </c>
      <c r="X149">
        <v>11</v>
      </c>
      <c r="Y149">
        <v>53</v>
      </c>
      <c r="Z149">
        <v>3403</v>
      </c>
    </row>
    <row r="150" spans="1:26" x14ac:dyDescent="0.35">
      <c r="A150" s="103" t="s">
        <v>263</v>
      </c>
      <c r="B150" t="s">
        <v>141</v>
      </c>
      <c r="C150" t="s">
        <v>434</v>
      </c>
      <c r="D150" t="s">
        <v>112</v>
      </c>
      <c r="E150" t="s">
        <v>170</v>
      </c>
      <c r="F150">
        <v>3</v>
      </c>
      <c r="G150">
        <v>0</v>
      </c>
      <c r="H150">
        <v>3</v>
      </c>
      <c r="I150">
        <v>3</v>
      </c>
      <c r="J150">
        <v>3</v>
      </c>
      <c r="K150">
        <v>3</v>
      </c>
      <c r="L150">
        <v>15</v>
      </c>
      <c r="M150">
        <v>0</v>
      </c>
      <c r="N150">
        <v>12</v>
      </c>
      <c r="O150">
        <v>13</v>
      </c>
      <c r="P150">
        <v>13</v>
      </c>
      <c r="Q150">
        <v>13</v>
      </c>
      <c r="R150">
        <v>1146</v>
      </c>
      <c r="S150">
        <v>1122</v>
      </c>
      <c r="T150">
        <v>694</v>
      </c>
      <c r="U150">
        <v>832</v>
      </c>
      <c r="V150">
        <v>822</v>
      </c>
      <c r="W150">
        <v>822</v>
      </c>
      <c r="X150">
        <v>3</v>
      </c>
      <c r="Y150">
        <v>15</v>
      </c>
      <c r="Z150">
        <v>1145</v>
      </c>
    </row>
    <row r="151" spans="1:26" x14ac:dyDescent="0.35">
      <c r="A151" s="103" t="s">
        <v>263</v>
      </c>
      <c r="B151" t="s">
        <v>141</v>
      </c>
      <c r="C151" t="s">
        <v>435</v>
      </c>
      <c r="D151" t="s">
        <v>112</v>
      </c>
      <c r="E151" t="s">
        <v>170</v>
      </c>
      <c r="F151">
        <v>1</v>
      </c>
      <c r="G151">
        <v>0</v>
      </c>
      <c r="H151">
        <v>0</v>
      </c>
      <c r="I151">
        <v>1</v>
      </c>
      <c r="J151">
        <v>1</v>
      </c>
      <c r="K151">
        <v>1</v>
      </c>
      <c r="L151">
        <v>5</v>
      </c>
      <c r="M151">
        <v>0</v>
      </c>
      <c r="N151">
        <v>1</v>
      </c>
      <c r="O151">
        <v>3</v>
      </c>
      <c r="P151">
        <v>3</v>
      </c>
      <c r="Q151">
        <v>3</v>
      </c>
      <c r="R151">
        <v>206</v>
      </c>
      <c r="S151">
        <v>203</v>
      </c>
      <c r="T151">
        <v>128</v>
      </c>
      <c r="U151">
        <v>165</v>
      </c>
      <c r="V151">
        <v>138</v>
      </c>
      <c r="W151">
        <v>138</v>
      </c>
      <c r="X151">
        <v>1</v>
      </c>
      <c r="Y151">
        <v>5</v>
      </c>
      <c r="Z151">
        <v>206</v>
      </c>
    </row>
    <row r="152" spans="1:26" x14ac:dyDescent="0.35">
      <c r="A152" s="103" t="s">
        <v>263</v>
      </c>
      <c r="B152" t="s">
        <v>141</v>
      </c>
      <c r="C152" t="s">
        <v>436</v>
      </c>
      <c r="D152" t="s">
        <v>112</v>
      </c>
      <c r="E152" t="s">
        <v>170</v>
      </c>
      <c r="F152">
        <v>9</v>
      </c>
      <c r="G152">
        <v>0</v>
      </c>
      <c r="H152">
        <v>5</v>
      </c>
      <c r="I152">
        <v>5</v>
      </c>
      <c r="J152">
        <v>4</v>
      </c>
      <c r="K152">
        <v>4</v>
      </c>
      <c r="L152">
        <v>43</v>
      </c>
      <c r="M152">
        <v>0</v>
      </c>
      <c r="N152">
        <v>26</v>
      </c>
      <c r="O152">
        <v>33</v>
      </c>
      <c r="P152">
        <v>27</v>
      </c>
      <c r="Q152">
        <v>27</v>
      </c>
      <c r="R152">
        <v>1776</v>
      </c>
      <c r="S152">
        <v>1772</v>
      </c>
      <c r="T152">
        <v>1178</v>
      </c>
      <c r="U152">
        <v>1472</v>
      </c>
      <c r="V152">
        <v>1377</v>
      </c>
      <c r="W152">
        <v>1377</v>
      </c>
      <c r="X152">
        <v>9</v>
      </c>
      <c r="Y152">
        <v>43</v>
      </c>
      <c r="Z152">
        <v>1776</v>
      </c>
    </row>
    <row r="153" spans="1:26" x14ac:dyDescent="0.35">
      <c r="A153" s="103" t="s">
        <v>263</v>
      </c>
      <c r="B153" t="s">
        <v>141</v>
      </c>
      <c r="C153" t="s">
        <v>437</v>
      </c>
      <c r="D153" t="s">
        <v>112</v>
      </c>
      <c r="E153" t="s">
        <v>170</v>
      </c>
      <c r="F153">
        <v>2</v>
      </c>
      <c r="G153">
        <v>0</v>
      </c>
      <c r="H153">
        <v>2</v>
      </c>
      <c r="I153">
        <v>2</v>
      </c>
      <c r="J153">
        <v>2</v>
      </c>
      <c r="K153">
        <v>2</v>
      </c>
      <c r="L153">
        <v>8</v>
      </c>
      <c r="M153">
        <v>0</v>
      </c>
      <c r="N153">
        <v>7</v>
      </c>
      <c r="O153">
        <v>7</v>
      </c>
      <c r="P153">
        <v>7</v>
      </c>
      <c r="Q153">
        <v>7</v>
      </c>
      <c r="R153">
        <v>530</v>
      </c>
      <c r="S153">
        <v>518</v>
      </c>
      <c r="T153">
        <v>387</v>
      </c>
      <c r="U153">
        <v>423</v>
      </c>
      <c r="V153">
        <v>414</v>
      </c>
      <c r="W153">
        <v>414</v>
      </c>
      <c r="X153">
        <v>2</v>
      </c>
      <c r="Y153">
        <v>8</v>
      </c>
      <c r="Z153">
        <v>530</v>
      </c>
    </row>
    <row r="154" spans="1:26" x14ac:dyDescent="0.35">
      <c r="A154" s="103" t="s">
        <v>263</v>
      </c>
      <c r="B154" t="s">
        <v>141</v>
      </c>
      <c r="C154" t="s">
        <v>438</v>
      </c>
      <c r="D154" t="s">
        <v>112</v>
      </c>
      <c r="E154" t="s">
        <v>170</v>
      </c>
      <c r="F154">
        <v>1</v>
      </c>
      <c r="G154">
        <v>0</v>
      </c>
      <c r="H154">
        <v>1</v>
      </c>
      <c r="I154">
        <v>1</v>
      </c>
      <c r="J154">
        <v>1</v>
      </c>
      <c r="K154">
        <v>1</v>
      </c>
      <c r="L154">
        <v>5</v>
      </c>
      <c r="M154">
        <v>0</v>
      </c>
      <c r="N154">
        <v>5</v>
      </c>
      <c r="O154">
        <v>5</v>
      </c>
      <c r="P154">
        <v>5</v>
      </c>
      <c r="Q154">
        <v>5</v>
      </c>
      <c r="R154">
        <v>799</v>
      </c>
      <c r="S154">
        <v>789</v>
      </c>
      <c r="T154">
        <v>538</v>
      </c>
      <c r="U154">
        <v>634</v>
      </c>
      <c r="V154">
        <v>524</v>
      </c>
      <c r="W154">
        <v>524</v>
      </c>
      <c r="X154">
        <v>1</v>
      </c>
      <c r="Y154">
        <v>5</v>
      </c>
      <c r="Z154">
        <v>798</v>
      </c>
    </row>
    <row r="155" spans="1:26" x14ac:dyDescent="0.35">
      <c r="A155" s="103" t="s">
        <v>263</v>
      </c>
      <c r="B155" t="s">
        <v>141</v>
      </c>
      <c r="C155" t="s">
        <v>439</v>
      </c>
      <c r="D155" t="s">
        <v>112</v>
      </c>
      <c r="E155" t="s">
        <v>170</v>
      </c>
      <c r="F155">
        <v>7</v>
      </c>
      <c r="G155">
        <v>0</v>
      </c>
      <c r="H155">
        <v>6</v>
      </c>
      <c r="I155">
        <v>6</v>
      </c>
      <c r="J155">
        <v>7</v>
      </c>
      <c r="K155">
        <v>7</v>
      </c>
      <c r="L155">
        <v>37</v>
      </c>
      <c r="M155">
        <v>0</v>
      </c>
      <c r="N155">
        <v>28</v>
      </c>
      <c r="O155">
        <v>34</v>
      </c>
      <c r="P155">
        <v>34</v>
      </c>
      <c r="Q155">
        <v>34</v>
      </c>
      <c r="R155">
        <v>1739</v>
      </c>
      <c r="S155">
        <v>1710</v>
      </c>
      <c r="T155">
        <v>1015</v>
      </c>
      <c r="U155">
        <v>1309</v>
      </c>
      <c r="V155">
        <v>1278</v>
      </c>
      <c r="W155">
        <v>1278</v>
      </c>
      <c r="X155">
        <v>7</v>
      </c>
      <c r="Y155">
        <v>37</v>
      </c>
      <c r="Z155">
        <v>1740</v>
      </c>
    </row>
    <row r="156" spans="1:26" x14ac:dyDescent="0.35">
      <c r="A156" s="103" t="s">
        <v>263</v>
      </c>
      <c r="B156" t="s">
        <v>141</v>
      </c>
      <c r="C156" t="s">
        <v>440</v>
      </c>
      <c r="D156" t="s">
        <v>112</v>
      </c>
      <c r="E156" t="s">
        <v>170</v>
      </c>
      <c r="F156">
        <v>4</v>
      </c>
      <c r="G156">
        <v>0</v>
      </c>
      <c r="H156">
        <v>4</v>
      </c>
      <c r="I156">
        <v>4</v>
      </c>
      <c r="J156">
        <v>4</v>
      </c>
      <c r="K156">
        <v>4</v>
      </c>
      <c r="L156">
        <v>20</v>
      </c>
      <c r="M156">
        <v>0</v>
      </c>
      <c r="N156">
        <v>14</v>
      </c>
      <c r="O156">
        <v>18</v>
      </c>
      <c r="P156">
        <v>18</v>
      </c>
      <c r="Q156">
        <v>18</v>
      </c>
      <c r="R156">
        <v>1273</v>
      </c>
      <c r="S156">
        <v>1236</v>
      </c>
      <c r="T156">
        <v>854</v>
      </c>
      <c r="U156">
        <v>999</v>
      </c>
      <c r="V156">
        <v>1002</v>
      </c>
      <c r="W156">
        <v>1002</v>
      </c>
      <c r="X156">
        <v>4</v>
      </c>
      <c r="Y156">
        <v>20</v>
      </c>
      <c r="Z156">
        <v>1273</v>
      </c>
    </row>
    <row r="157" spans="1:26" x14ac:dyDescent="0.35">
      <c r="A157" s="103" t="s">
        <v>263</v>
      </c>
      <c r="B157" t="s">
        <v>141</v>
      </c>
      <c r="C157" t="s">
        <v>441</v>
      </c>
      <c r="D157" t="s">
        <v>112</v>
      </c>
      <c r="E157" t="s">
        <v>170</v>
      </c>
      <c r="F157">
        <v>6</v>
      </c>
      <c r="G157">
        <v>0</v>
      </c>
      <c r="H157">
        <v>5</v>
      </c>
      <c r="I157">
        <v>5</v>
      </c>
      <c r="J157">
        <v>5</v>
      </c>
      <c r="K157">
        <v>5</v>
      </c>
      <c r="L157">
        <v>32</v>
      </c>
      <c r="M157">
        <v>0</v>
      </c>
      <c r="N157">
        <v>24</v>
      </c>
      <c r="O157">
        <v>26</v>
      </c>
      <c r="P157">
        <v>25</v>
      </c>
      <c r="Q157">
        <v>25</v>
      </c>
      <c r="R157">
        <v>2174</v>
      </c>
      <c r="S157">
        <v>2117</v>
      </c>
      <c r="T157">
        <v>1375</v>
      </c>
      <c r="U157">
        <v>1661</v>
      </c>
      <c r="V157">
        <v>1580</v>
      </c>
      <c r="W157">
        <v>1580</v>
      </c>
      <c r="X157">
        <v>6</v>
      </c>
      <c r="Y157">
        <v>32</v>
      </c>
      <c r="Z157">
        <v>2168</v>
      </c>
    </row>
    <row r="158" spans="1:26" x14ac:dyDescent="0.35">
      <c r="A158" s="103" t="s">
        <v>263</v>
      </c>
      <c r="B158" t="s">
        <v>140</v>
      </c>
      <c r="C158" t="s">
        <v>442</v>
      </c>
      <c r="D158" t="s">
        <v>112</v>
      </c>
      <c r="E158" t="s">
        <v>170</v>
      </c>
      <c r="F158">
        <v>1</v>
      </c>
      <c r="G158">
        <v>0</v>
      </c>
      <c r="H158">
        <v>1</v>
      </c>
      <c r="I158">
        <v>1</v>
      </c>
      <c r="J158">
        <v>1</v>
      </c>
      <c r="K158">
        <v>1</v>
      </c>
      <c r="L158">
        <v>2</v>
      </c>
      <c r="M158">
        <v>0</v>
      </c>
      <c r="N158">
        <v>1</v>
      </c>
      <c r="O158">
        <v>1</v>
      </c>
      <c r="P158">
        <v>1</v>
      </c>
      <c r="Q158">
        <v>1</v>
      </c>
      <c r="R158">
        <v>46</v>
      </c>
      <c r="S158">
        <v>46</v>
      </c>
      <c r="T158">
        <v>29</v>
      </c>
      <c r="U158">
        <v>42</v>
      </c>
      <c r="V158">
        <v>41</v>
      </c>
      <c r="W158">
        <v>41</v>
      </c>
      <c r="X158">
        <v>1</v>
      </c>
      <c r="Y158">
        <v>2</v>
      </c>
      <c r="Z158">
        <v>46</v>
      </c>
    </row>
    <row r="159" spans="1:26" x14ac:dyDescent="0.35">
      <c r="A159" s="103" t="s">
        <v>263</v>
      </c>
      <c r="B159" t="s">
        <v>141</v>
      </c>
      <c r="C159" t="s">
        <v>443</v>
      </c>
      <c r="D159" t="s">
        <v>112</v>
      </c>
      <c r="E159" t="s">
        <v>170</v>
      </c>
      <c r="F159">
        <v>4</v>
      </c>
      <c r="G159">
        <v>0</v>
      </c>
      <c r="H159">
        <v>4</v>
      </c>
      <c r="I159">
        <v>4</v>
      </c>
      <c r="J159">
        <v>4</v>
      </c>
      <c r="K159">
        <v>4</v>
      </c>
      <c r="L159">
        <v>20</v>
      </c>
      <c r="M159">
        <v>0</v>
      </c>
      <c r="N159">
        <v>16</v>
      </c>
      <c r="O159">
        <v>20</v>
      </c>
      <c r="P159">
        <v>17</v>
      </c>
      <c r="Q159">
        <v>17</v>
      </c>
      <c r="R159">
        <v>1296</v>
      </c>
      <c r="S159">
        <v>1283</v>
      </c>
      <c r="T159">
        <v>843</v>
      </c>
      <c r="U159">
        <v>996</v>
      </c>
      <c r="V159">
        <v>836</v>
      </c>
      <c r="W159">
        <v>836</v>
      </c>
      <c r="X159">
        <v>4</v>
      </c>
      <c r="Y159">
        <v>20</v>
      </c>
      <c r="Z159">
        <v>1296</v>
      </c>
    </row>
    <row r="160" spans="1:26" x14ac:dyDescent="0.35">
      <c r="A160" s="103" t="s">
        <v>263</v>
      </c>
      <c r="B160" t="s">
        <v>141</v>
      </c>
      <c r="C160" t="s">
        <v>444</v>
      </c>
      <c r="D160" t="s">
        <v>112</v>
      </c>
      <c r="E160" t="s">
        <v>170</v>
      </c>
      <c r="F160">
        <v>13</v>
      </c>
      <c r="G160">
        <v>7</v>
      </c>
      <c r="H160">
        <v>8</v>
      </c>
      <c r="I160">
        <v>10</v>
      </c>
      <c r="J160">
        <v>4</v>
      </c>
      <c r="K160">
        <v>4</v>
      </c>
      <c r="L160">
        <v>64</v>
      </c>
      <c r="M160">
        <v>8</v>
      </c>
      <c r="N160">
        <v>33</v>
      </c>
      <c r="O160">
        <v>43</v>
      </c>
      <c r="P160">
        <v>39</v>
      </c>
      <c r="Q160">
        <v>39</v>
      </c>
      <c r="R160">
        <v>3937</v>
      </c>
      <c r="S160">
        <v>3853</v>
      </c>
      <c r="T160">
        <v>2572</v>
      </c>
      <c r="U160">
        <v>3090</v>
      </c>
      <c r="V160">
        <v>2920</v>
      </c>
      <c r="W160">
        <v>2922</v>
      </c>
      <c r="X160">
        <v>13</v>
      </c>
      <c r="Y160">
        <v>64</v>
      </c>
      <c r="Z160">
        <v>3939</v>
      </c>
    </row>
    <row r="161" spans="1:26" x14ac:dyDescent="0.35">
      <c r="A161" s="103" t="s">
        <v>263</v>
      </c>
      <c r="B161" t="s">
        <v>141</v>
      </c>
      <c r="C161" t="s">
        <v>445</v>
      </c>
      <c r="D161" t="s">
        <v>112</v>
      </c>
      <c r="E161" t="s">
        <v>170</v>
      </c>
      <c r="F161">
        <v>4</v>
      </c>
      <c r="G161">
        <v>0</v>
      </c>
      <c r="H161">
        <v>2</v>
      </c>
      <c r="I161">
        <v>2</v>
      </c>
      <c r="J161">
        <v>2</v>
      </c>
      <c r="K161">
        <v>2</v>
      </c>
      <c r="L161">
        <v>23</v>
      </c>
      <c r="M161">
        <v>0</v>
      </c>
      <c r="N161">
        <v>16</v>
      </c>
      <c r="O161">
        <v>18</v>
      </c>
      <c r="P161">
        <v>18</v>
      </c>
      <c r="Q161">
        <v>18</v>
      </c>
      <c r="R161">
        <v>1723</v>
      </c>
      <c r="S161">
        <v>1703</v>
      </c>
      <c r="T161">
        <v>1222</v>
      </c>
      <c r="U161">
        <v>1439</v>
      </c>
      <c r="V161">
        <v>1334</v>
      </c>
      <c r="W161">
        <v>1334</v>
      </c>
      <c r="X161">
        <v>4</v>
      </c>
      <c r="Y161">
        <v>23</v>
      </c>
      <c r="Z161">
        <v>1725</v>
      </c>
    </row>
    <row r="162" spans="1:26" x14ac:dyDescent="0.35">
      <c r="A162" s="103" t="s">
        <v>263</v>
      </c>
      <c r="B162" t="s">
        <v>141</v>
      </c>
      <c r="C162" t="s">
        <v>446</v>
      </c>
      <c r="D162" t="s">
        <v>112</v>
      </c>
      <c r="E162" t="s">
        <v>170</v>
      </c>
      <c r="F162">
        <v>9</v>
      </c>
      <c r="G162">
        <v>0</v>
      </c>
      <c r="H162">
        <v>5</v>
      </c>
      <c r="I162">
        <v>7</v>
      </c>
      <c r="J162">
        <v>6</v>
      </c>
      <c r="K162">
        <v>6</v>
      </c>
      <c r="L162">
        <v>44</v>
      </c>
      <c r="M162">
        <v>0</v>
      </c>
      <c r="N162">
        <v>22</v>
      </c>
      <c r="O162">
        <v>31</v>
      </c>
      <c r="P162">
        <v>32</v>
      </c>
      <c r="Q162">
        <v>32</v>
      </c>
      <c r="R162">
        <v>2241</v>
      </c>
      <c r="S162">
        <v>2212</v>
      </c>
      <c r="T162">
        <v>1177</v>
      </c>
      <c r="U162">
        <v>1551</v>
      </c>
      <c r="V162">
        <v>1536</v>
      </c>
      <c r="W162">
        <v>1536</v>
      </c>
      <c r="X162">
        <v>9</v>
      </c>
      <c r="Y162">
        <v>44</v>
      </c>
      <c r="Z162">
        <v>2241</v>
      </c>
    </row>
    <row r="163" spans="1:26" x14ac:dyDescent="0.35">
      <c r="A163" s="103" t="s">
        <v>263</v>
      </c>
      <c r="B163" t="s">
        <v>141</v>
      </c>
      <c r="C163" t="s">
        <v>447</v>
      </c>
      <c r="D163" t="s">
        <v>112</v>
      </c>
      <c r="E163" t="s">
        <v>170</v>
      </c>
      <c r="F163">
        <v>14</v>
      </c>
      <c r="G163">
        <v>0</v>
      </c>
      <c r="H163">
        <v>9</v>
      </c>
      <c r="I163">
        <v>13</v>
      </c>
      <c r="J163">
        <v>11</v>
      </c>
      <c r="K163">
        <v>11</v>
      </c>
      <c r="L163">
        <v>69</v>
      </c>
      <c r="M163">
        <v>1</v>
      </c>
      <c r="N163">
        <v>48</v>
      </c>
      <c r="O163">
        <v>63</v>
      </c>
      <c r="P163">
        <v>51</v>
      </c>
      <c r="Q163">
        <v>51</v>
      </c>
      <c r="R163">
        <v>4025</v>
      </c>
      <c r="S163">
        <v>3952</v>
      </c>
      <c r="T163">
        <v>2362</v>
      </c>
      <c r="U163">
        <v>2952</v>
      </c>
      <c r="V163">
        <v>2702</v>
      </c>
      <c r="W163">
        <v>2702</v>
      </c>
      <c r="X163">
        <v>14</v>
      </c>
      <c r="Y163">
        <v>69</v>
      </c>
      <c r="Z163">
        <v>4025</v>
      </c>
    </row>
    <row r="164" spans="1:26" x14ac:dyDescent="0.35">
      <c r="A164" s="103" t="s">
        <v>263</v>
      </c>
      <c r="B164" t="s">
        <v>141</v>
      </c>
      <c r="C164" t="s">
        <v>448</v>
      </c>
      <c r="D164" t="s">
        <v>112</v>
      </c>
      <c r="E164" t="s">
        <v>170</v>
      </c>
      <c r="F164">
        <v>5</v>
      </c>
      <c r="G164">
        <v>0</v>
      </c>
      <c r="H164">
        <v>5</v>
      </c>
      <c r="I164">
        <v>5</v>
      </c>
      <c r="J164">
        <v>5</v>
      </c>
      <c r="K164">
        <v>5</v>
      </c>
      <c r="L164">
        <v>24</v>
      </c>
      <c r="M164">
        <v>0</v>
      </c>
      <c r="N164">
        <v>16</v>
      </c>
      <c r="O164">
        <v>20</v>
      </c>
      <c r="P164">
        <v>20</v>
      </c>
      <c r="Q164">
        <v>20</v>
      </c>
      <c r="R164">
        <v>1321</v>
      </c>
      <c r="S164">
        <v>1299</v>
      </c>
      <c r="T164">
        <v>947</v>
      </c>
      <c r="U164">
        <v>1059</v>
      </c>
      <c r="V164">
        <v>1036</v>
      </c>
      <c r="W164">
        <v>1036</v>
      </c>
      <c r="X164">
        <v>5</v>
      </c>
      <c r="Y164">
        <v>24</v>
      </c>
      <c r="Z164">
        <v>1322</v>
      </c>
    </row>
    <row r="165" spans="1:26" x14ac:dyDescent="0.35">
      <c r="A165" s="103" t="s">
        <v>263</v>
      </c>
      <c r="B165" t="s">
        <v>140</v>
      </c>
      <c r="C165" t="s">
        <v>449</v>
      </c>
      <c r="D165" t="s">
        <v>112</v>
      </c>
      <c r="E165" t="s">
        <v>170</v>
      </c>
      <c r="F165">
        <v>2</v>
      </c>
      <c r="G165">
        <v>0</v>
      </c>
      <c r="H165">
        <v>2</v>
      </c>
      <c r="I165">
        <v>2</v>
      </c>
      <c r="J165">
        <v>2</v>
      </c>
      <c r="K165">
        <v>2</v>
      </c>
      <c r="L165">
        <v>10</v>
      </c>
      <c r="M165">
        <v>0</v>
      </c>
      <c r="N165">
        <v>6</v>
      </c>
      <c r="O165">
        <v>8</v>
      </c>
      <c r="P165">
        <v>10</v>
      </c>
      <c r="Q165">
        <v>10</v>
      </c>
      <c r="R165">
        <v>425</v>
      </c>
      <c r="S165">
        <v>423</v>
      </c>
      <c r="T165">
        <v>307</v>
      </c>
      <c r="U165">
        <v>354</v>
      </c>
      <c r="V165">
        <v>374</v>
      </c>
      <c r="W165">
        <v>374</v>
      </c>
      <c r="X165">
        <v>2</v>
      </c>
      <c r="Y165">
        <v>10</v>
      </c>
      <c r="Z165">
        <v>426</v>
      </c>
    </row>
    <row r="166" spans="1:26" x14ac:dyDescent="0.35">
      <c r="A166" s="103" t="s">
        <v>263</v>
      </c>
      <c r="B166" t="s">
        <v>141</v>
      </c>
      <c r="C166" t="s">
        <v>450</v>
      </c>
      <c r="D166" t="s">
        <v>112</v>
      </c>
      <c r="E166" t="s">
        <v>170</v>
      </c>
      <c r="F166">
        <v>4</v>
      </c>
      <c r="G166">
        <v>0</v>
      </c>
      <c r="H166">
        <v>3</v>
      </c>
      <c r="I166">
        <v>4</v>
      </c>
      <c r="J166">
        <v>4</v>
      </c>
      <c r="K166">
        <v>4</v>
      </c>
      <c r="L166">
        <v>23</v>
      </c>
      <c r="M166">
        <v>0</v>
      </c>
      <c r="N166">
        <v>17</v>
      </c>
      <c r="O166">
        <v>20</v>
      </c>
      <c r="P166">
        <v>20</v>
      </c>
      <c r="Q166">
        <v>20</v>
      </c>
      <c r="R166">
        <v>1043</v>
      </c>
      <c r="S166">
        <v>1021</v>
      </c>
      <c r="T166">
        <v>706</v>
      </c>
      <c r="U166">
        <v>815</v>
      </c>
      <c r="V166">
        <v>796</v>
      </c>
      <c r="W166">
        <v>797</v>
      </c>
      <c r="X166">
        <v>4</v>
      </c>
      <c r="Y166">
        <v>23</v>
      </c>
      <c r="Z166">
        <v>1044</v>
      </c>
    </row>
    <row r="167" spans="1:26" x14ac:dyDescent="0.35">
      <c r="A167" s="103" t="s">
        <v>263</v>
      </c>
      <c r="B167" t="s">
        <v>140</v>
      </c>
      <c r="C167" t="s">
        <v>451</v>
      </c>
      <c r="D167" t="s">
        <v>112</v>
      </c>
      <c r="E167" t="s">
        <v>170</v>
      </c>
      <c r="F167">
        <v>13</v>
      </c>
      <c r="G167">
        <v>0</v>
      </c>
      <c r="H167">
        <v>3</v>
      </c>
      <c r="I167">
        <v>4</v>
      </c>
      <c r="J167">
        <v>8</v>
      </c>
      <c r="K167">
        <v>8</v>
      </c>
      <c r="L167">
        <v>62</v>
      </c>
      <c r="M167">
        <v>1</v>
      </c>
      <c r="N167">
        <v>25</v>
      </c>
      <c r="O167">
        <v>35</v>
      </c>
      <c r="P167">
        <v>41</v>
      </c>
      <c r="Q167">
        <v>41</v>
      </c>
      <c r="R167">
        <v>4163</v>
      </c>
      <c r="S167">
        <v>4027</v>
      </c>
      <c r="T167">
        <v>2679</v>
      </c>
      <c r="U167">
        <v>3242</v>
      </c>
      <c r="V167">
        <v>3205</v>
      </c>
      <c r="W167">
        <v>3205</v>
      </c>
      <c r="X167">
        <v>13</v>
      </c>
      <c r="Y167">
        <v>62</v>
      </c>
      <c r="Z167">
        <v>4160</v>
      </c>
    </row>
    <row r="168" spans="1:26" x14ac:dyDescent="0.35">
      <c r="A168" s="103" t="s">
        <v>263</v>
      </c>
      <c r="B168" t="s">
        <v>141</v>
      </c>
      <c r="C168" t="s">
        <v>452</v>
      </c>
      <c r="D168" t="s">
        <v>112</v>
      </c>
      <c r="E168" t="s">
        <v>170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201</v>
      </c>
      <c r="S168">
        <v>194</v>
      </c>
      <c r="T168">
        <v>107</v>
      </c>
      <c r="U168">
        <v>140</v>
      </c>
      <c r="V168">
        <v>132</v>
      </c>
      <c r="W168">
        <v>132</v>
      </c>
      <c r="X168">
        <v>0</v>
      </c>
      <c r="Y168">
        <v>0</v>
      </c>
      <c r="Z168">
        <v>201</v>
      </c>
    </row>
    <row r="169" spans="1:26" x14ac:dyDescent="0.35">
      <c r="A169" s="103" t="s">
        <v>263</v>
      </c>
      <c r="B169" t="s">
        <v>141</v>
      </c>
      <c r="C169" t="s">
        <v>453</v>
      </c>
      <c r="D169" t="s">
        <v>112</v>
      </c>
      <c r="E169" t="s">
        <v>170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234</v>
      </c>
      <c r="S169">
        <v>223</v>
      </c>
      <c r="T169">
        <v>158</v>
      </c>
      <c r="U169">
        <v>188</v>
      </c>
      <c r="V169">
        <v>149</v>
      </c>
      <c r="W169">
        <v>149</v>
      </c>
      <c r="X169">
        <v>0</v>
      </c>
      <c r="Y169">
        <v>0</v>
      </c>
      <c r="Z169">
        <v>234</v>
      </c>
    </row>
    <row r="170" spans="1:26" x14ac:dyDescent="0.35">
      <c r="A170" s="103" t="s">
        <v>263</v>
      </c>
      <c r="B170" t="s">
        <v>141</v>
      </c>
      <c r="C170" t="s">
        <v>454</v>
      </c>
      <c r="D170" t="s">
        <v>112</v>
      </c>
      <c r="E170" t="s">
        <v>170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796</v>
      </c>
      <c r="S170">
        <v>793</v>
      </c>
      <c r="T170">
        <v>527</v>
      </c>
      <c r="U170">
        <v>665</v>
      </c>
      <c r="V170">
        <v>599</v>
      </c>
      <c r="W170">
        <v>600</v>
      </c>
      <c r="X170">
        <v>0</v>
      </c>
      <c r="Y170">
        <v>0</v>
      </c>
      <c r="Z170">
        <v>796</v>
      </c>
    </row>
    <row r="171" spans="1:26" x14ac:dyDescent="0.35">
      <c r="A171" s="103" t="s">
        <v>263</v>
      </c>
      <c r="B171" t="s">
        <v>141</v>
      </c>
      <c r="C171" t="s">
        <v>455</v>
      </c>
      <c r="D171" t="s">
        <v>112</v>
      </c>
      <c r="E171" t="s">
        <v>170</v>
      </c>
      <c r="F171">
        <v>2</v>
      </c>
      <c r="G171">
        <v>0</v>
      </c>
      <c r="H171">
        <v>2</v>
      </c>
      <c r="I171">
        <v>2</v>
      </c>
      <c r="J171">
        <v>2</v>
      </c>
      <c r="K171">
        <v>2</v>
      </c>
      <c r="L171">
        <v>10</v>
      </c>
      <c r="M171">
        <v>0</v>
      </c>
      <c r="N171">
        <v>9</v>
      </c>
      <c r="O171">
        <v>9</v>
      </c>
      <c r="P171">
        <v>8</v>
      </c>
      <c r="Q171">
        <v>8</v>
      </c>
      <c r="R171">
        <v>618</v>
      </c>
      <c r="S171">
        <v>605</v>
      </c>
      <c r="T171">
        <v>387</v>
      </c>
      <c r="U171">
        <v>472</v>
      </c>
      <c r="V171">
        <v>448</v>
      </c>
      <c r="W171">
        <v>448</v>
      </c>
      <c r="X171">
        <v>2</v>
      </c>
      <c r="Y171">
        <v>10</v>
      </c>
      <c r="Z171">
        <v>618</v>
      </c>
    </row>
    <row r="172" spans="1:26" x14ac:dyDescent="0.35">
      <c r="A172" s="103" t="s">
        <v>263</v>
      </c>
      <c r="B172" t="s">
        <v>141</v>
      </c>
      <c r="C172" t="s">
        <v>456</v>
      </c>
      <c r="D172" t="s">
        <v>112</v>
      </c>
      <c r="E172" t="s">
        <v>170</v>
      </c>
      <c r="F172">
        <v>6</v>
      </c>
      <c r="G172">
        <v>0</v>
      </c>
      <c r="H172">
        <v>1</v>
      </c>
      <c r="I172">
        <v>2</v>
      </c>
      <c r="J172">
        <v>2</v>
      </c>
      <c r="K172">
        <v>2</v>
      </c>
      <c r="L172">
        <v>30</v>
      </c>
      <c r="M172">
        <v>0</v>
      </c>
      <c r="N172">
        <v>16</v>
      </c>
      <c r="O172">
        <v>21</v>
      </c>
      <c r="P172">
        <v>19</v>
      </c>
      <c r="Q172">
        <v>19</v>
      </c>
      <c r="R172">
        <v>1657</v>
      </c>
      <c r="S172">
        <v>1650</v>
      </c>
      <c r="T172">
        <v>1049</v>
      </c>
      <c r="U172">
        <v>1350</v>
      </c>
      <c r="V172">
        <v>1291</v>
      </c>
      <c r="W172">
        <v>1291</v>
      </c>
      <c r="X172">
        <v>6</v>
      </c>
      <c r="Y172">
        <v>30</v>
      </c>
      <c r="Z172">
        <v>1659</v>
      </c>
    </row>
    <row r="173" spans="1:26" x14ac:dyDescent="0.35">
      <c r="A173" s="103" t="s">
        <v>263</v>
      </c>
      <c r="B173" t="s">
        <v>141</v>
      </c>
      <c r="C173" t="s">
        <v>457</v>
      </c>
      <c r="D173" t="s">
        <v>112</v>
      </c>
      <c r="E173" t="s">
        <v>170</v>
      </c>
      <c r="F173">
        <v>5</v>
      </c>
      <c r="G173">
        <v>0</v>
      </c>
      <c r="H173">
        <v>1</v>
      </c>
      <c r="I173">
        <v>2</v>
      </c>
      <c r="J173">
        <v>2</v>
      </c>
      <c r="K173">
        <v>2</v>
      </c>
      <c r="L173">
        <v>25</v>
      </c>
      <c r="M173">
        <v>0</v>
      </c>
      <c r="N173">
        <v>13</v>
      </c>
      <c r="O173">
        <v>17</v>
      </c>
      <c r="P173">
        <v>18</v>
      </c>
      <c r="Q173">
        <v>18</v>
      </c>
      <c r="R173">
        <v>1213</v>
      </c>
      <c r="S173">
        <v>1207</v>
      </c>
      <c r="T173">
        <v>799</v>
      </c>
      <c r="U173">
        <v>1001</v>
      </c>
      <c r="V173">
        <v>951</v>
      </c>
      <c r="W173">
        <v>951</v>
      </c>
      <c r="X173">
        <v>5</v>
      </c>
      <c r="Y173">
        <v>25</v>
      </c>
      <c r="Z173">
        <v>1213</v>
      </c>
    </row>
    <row r="174" spans="1:26" x14ac:dyDescent="0.35">
      <c r="A174" s="103" t="s">
        <v>263</v>
      </c>
      <c r="B174" t="s">
        <v>141</v>
      </c>
      <c r="C174" t="s">
        <v>458</v>
      </c>
      <c r="D174" t="s">
        <v>112</v>
      </c>
      <c r="E174" t="s">
        <v>170</v>
      </c>
      <c r="F174">
        <v>1</v>
      </c>
      <c r="G174">
        <v>0</v>
      </c>
      <c r="H174">
        <v>1</v>
      </c>
      <c r="I174">
        <v>1</v>
      </c>
      <c r="J174">
        <v>1</v>
      </c>
      <c r="K174">
        <v>1</v>
      </c>
      <c r="L174">
        <v>7</v>
      </c>
      <c r="M174">
        <v>0</v>
      </c>
      <c r="N174">
        <v>4</v>
      </c>
      <c r="O174">
        <v>5</v>
      </c>
      <c r="P174">
        <v>6</v>
      </c>
      <c r="Q174">
        <v>6</v>
      </c>
      <c r="R174">
        <v>145</v>
      </c>
      <c r="S174">
        <v>145</v>
      </c>
      <c r="T174">
        <v>76</v>
      </c>
      <c r="U174">
        <v>99</v>
      </c>
      <c r="V174">
        <v>108</v>
      </c>
      <c r="W174">
        <v>108</v>
      </c>
      <c r="X174">
        <v>1</v>
      </c>
      <c r="Y174">
        <v>7</v>
      </c>
      <c r="Z174">
        <v>146</v>
      </c>
    </row>
    <row r="175" spans="1:26" x14ac:dyDescent="0.35">
      <c r="A175" s="103" t="s">
        <v>263</v>
      </c>
      <c r="B175" t="s">
        <v>141</v>
      </c>
      <c r="C175" t="s">
        <v>459</v>
      </c>
      <c r="D175" t="s">
        <v>112</v>
      </c>
      <c r="E175" t="s">
        <v>170</v>
      </c>
      <c r="F175">
        <v>6</v>
      </c>
      <c r="G175">
        <v>0</v>
      </c>
      <c r="H175">
        <v>5</v>
      </c>
      <c r="I175">
        <v>5</v>
      </c>
      <c r="J175">
        <v>5</v>
      </c>
      <c r="K175">
        <v>5</v>
      </c>
      <c r="L175">
        <v>29</v>
      </c>
      <c r="M175">
        <v>0</v>
      </c>
      <c r="N175">
        <v>24</v>
      </c>
      <c r="O175">
        <v>26</v>
      </c>
      <c r="P175">
        <v>27</v>
      </c>
      <c r="Q175">
        <v>27</v>
      </c>
      <c r="R175">
        <v>2299</v>
      </c>
      <c r="S175">
        <v>2251</v>
      </c>
      <c r="T175">
        <v>1541</v>
      </c>
      <c r="U175">
        <v>1794</v>
      </c>
      <c r="V175">
        <v>1788</v>
      </c>
      <c r="W175">
        <v>1788</v>
      </c>
      <c r="X175">
        <v>5</v>
      </c>
      <c r="Y175">
        <v>29</v>
      </c>
      <c r="Z175">
        <v>2298</v>
      </c>
    </row>
    <row r="176" spans="1:26" x14ac:dyDescent="0.35">
      <c r="A176" s="103" t="s">
        <v>263</v>
      </c>
      <c r="B176" t="s">
        <v>141</v>
      </c>
      <c r="C176" t="s">
        <v>460</v>
      </c>
      <c r="D176" t="s">
        <v>112</v>
      </c>
      <c r="E176" t="s">
        <v>170</v>
      </c>
      <c r="F176">
        <v>2</v>
      </c>
      <c r="G176">
        <v>0</v>
      </c>
      <c r="H176">
        <v>2</v>
      </c>
      <c r="I176">
        <v>2</v>
      </c>
      <c r="J176">
        <v>2</v>
      </c>
      <c r="K176">
        <v>2</v>
      </c>
      <c r="L176">
        <v>8</v>
      </c>
      <c r="M176">
        <v>0</v>
      </c>
      <c r="N176">
        <v>6</v>
      </c>
      <c r="O176">
        <v>7</v>
      </c>
      <c r="P176">
        <v>8</v>
      </c>
      <c r="Q176">
        <v>8</v>
      </c>
      <c r="R176">
        <v>530</v>
      </c>
      <c r="S176">
        <v>516</v>
      </c>
      <c r="T176">
        <v>331</v>
      </c>
      <c r="U176">
        <v>393</v>
      </c>
      <c r="V176">
        <v>387</v>
      </c>
      <c r="W176">
        <v>387</v>
      </c>
      <c r="X176">
        <v>2</v>
      </c>
      <c r="Y176">
        <v>8</v>
      </c>
      <c r="Z176">
        <v>530</v>
      </c>
    </row>
    <row r="177" spans="1:26" x14ac:dyDescent="0.35">
      <c r="A177" s="103" t="s">
        <v>263</v>
      </c>
      <c r="B177" t="s">
        <v>140</v>
      </c>
      <c r="C177" t="s">
        <v>461</v>
      </c>
      <c r="D177" t="s">
        <v>112</v>
      </c>
      <c r="E177" t="s">
        <v>170</v>
      </c>
      <c r="F177">
        <v>1</v>
      </c>
      <c r="G177">
        <v>0</v>
      </c>
      <c r="H177">
        <v>1</v>
      </c>
      <c r="I177">
        <v>1</v>
      </c>
      <c r="J177">
        <v>1</v>
      </c>
      <c r="K177">
        <v>1</v>
      </c>
      <c r="L177">
        <v>5</v>
      </c>
      <c r="M177">
        <v>0</v>
      </c>
      <c r="N177">
        <v>3</v>
      </c>
      <c r="O177">
        <v>4</v>
      </c>
      <c r="P177">
        <v>4</v>
      </c>
      <c r="Q177">
        <v>4</v>
      </c>
      <c r="R177">
        <v>325</v>
      </c>
      <c r="S177">
        <v>320</v>
      </c>
      <c r="T177">
        <v>206</v>
      </c>
      <c r="U177">
        <v>268</v>
      </c>
      <c r="V177">
        <v>267</v>
      </c>
      <c r="W177">
        <v>267</v>
      </c>
      <c r="X177">
        <v>1</v>
      </c>
      <c r="Y177">
        <v>5</v>
      </c>
      <c r="Z177">
        <v>325</v>
      </c>
    </row>
    <row r="178" spans="1:26" x14ac:dyDescent="0.35">
      <c r="A178" s="103" t="s">
        <v>263</v>
      </c>
      <c r="B178" t="s">
        <v>141</v>
      </c>
      <c r="C178" t="s">
        <v>462</v>
      </c>
      <c r="D178" t="s">
        <v>112</v>
      </c>
      <c r="E178" t="s">
        <v>170</v>
      </c>
      <c r="F178">
        <v>2</v>
      </c>
      <c r="G178">
        <v>0</v>
      </c>
      <c r="H178">
        <v>2</v>
      </c>
      <c r="I178">
        <v>2</v>
      </c>
      <c r="J178">
        <v>2</v>
      </c>
      <c r="K178">
        <v>2</v>
      </c>
      <c r="L178">
        <v>10</v>
      </c>
      <c r="M178">
        <v>0</v>
      </c>
      <c r="N178">
        <v>10</v>
      </c>
      <c r="O178">
        <v>10</v>
      </c>
      <c r="P178">
        <v>10</v>
      </c>
      <c r="Q178">
        <v>10</v>
      </c>
      <c r="R178">
        <v>618</v>
      </c>
      <c r="S178">
        <v>614</v>
      </c>
      <c r="T178">
        <v>363</v>
      </c>
      <c r="U178">
        <v>443</v>
      </c>
      <c r="V178">
        <v>456</v>
      </c>
      <c r="W178">
        <v>456</v>
      </c>
      <c r="X178">
        <v>2</v>
      </c>
      <c r="Y178">
        <v>10</v>
      </c>
      <c r="Z178">
        <v>618</v>
      </c>
    </row>
    <row r="179" spans="1:26" x14ac:dyDescent="0.35">
      <c r="A179" s="103" t="s">
        <v>263</v>
      </c>
      <c r="B179" t="s">
        <v>141</v>
      </c>
      <c r="C179" t="s">
        <v>463</v>
      </c>
      <c r="D179" t="s">
        <v>112</v>
      </c>
      <c r="E179" t="s">
        <v>170</v>
      </c>
      <c r="F179">
        <v>2</v>
      </c>
      <c r="G179">
        <v>0</v>
      </c>
      <c r="H179">
        <v>2</v>
      </c>
      <c r="I179">
        <v>2</v>
      </c>
      <c r="J179">
        <v>2</v>
      </c>
      <c r="K179">
        <v>2</v>
      </c>
      <c r="L179">
        <v>8</v>
      </c>
      <c r="M179">
        <v>0</v>
      </c>
      <c r="N179">
        <v>6</v>
      </c>
      <c r="O179">
        <v>6</v>
      </c>
      <c r="P179">
        <v>8</v>
      </c>
      <c r="Q179">
        <v>8</v>
      </c>
      <c r="R179">
        <v>530</v>
      </c>
      <c r="S179">
        <v>521</v>
      </c>
      <c r="T179">
        <v>332</v>
      </c>
      <c r="U179">
        <v>388</v>
      </c>
      <c r="V179">
        <v>407</v>
      </c>
      <c r="W179">
        <v>407</v>
      </c>
      <c r="X179">
        <v>2</v>
      </c>
      <c r="Y179">
        <v>8</v>
      </c>
      <c r="Z179">
        <v>530</v>
      </c>
    </row>
    <row r="180" spans="1:26" x14ac:dyDescent="0.35">
      <c r="A180" s="103" t="s">
        <v>263</v>
      </c>
      <c r="B180" t="s">
        <v>141</v>
      </c>
      <c r="C180" t="s">
        <v>464</v>
      </c>
      <c r="D180" t="s">
        <v>112</v>
      </c>
      <c r="E180" t="s">
        <v>170</v>
      </c>
      <c r="F180">
        <v>5</v>
      </c>
      <c r="G180">
        <v>0</v>
      </c>
      <c r="H180">
        <v>3</v>
      </c>
      <c r="I180">
        <v>4</v>
      </c>
      <c r="J180">
        <v>4</v>
      </c>
      <c r="K180">
        <v>4</v>
      </c>
      <c r="L180">
        <v>27</v>
      </c>
      <c r="M180">
        <v>0</v>
      </c>
      <c r="N180">
        <v>18</v>
      </c>
      <c r="O180">
        <v>23</v>
      </c>
      <c r="P180">
        <v>19</v>
      </c>
      <c r="Q180">
        <v>19</v>
      </c>
      <c r="R180">
        <v>1743</v>
      </c>
      <c r="S180">
        <v>1711</v>
      </c>
      <c r="T180">
        <v>1115</v>
      </c>
      <c r="U180">
        <v>1297</v>
      </c>
      <c r="V180">
        <v>1228</v>
      </c>
      <c r="W180">
        <v>1228</v>
      </c>
      <c r="X180">
        <v>5</v>
      </c>
      <c r="Y180">
        <v>27</v>
      </c>
      <c r="Z180">
        <v>1743</v>
      </c>
    </row>
    <row r="181" spans="1:26" x14ac:dyDescent="0.35">
      <c r="A181" s="103" t="s">
        <v>263</v>
      </c>
      <c r="B181" t="s">
        <v>140</v>
      </c>
      <c r="C181" t="s">
        <v>465</v>
      </c>
      <c r="D181" t="s">
        <v>112</v>
      </c>
      <c r="E181" t="s">
        <v>170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27</v>
      </c>
      <c r="S181">
        <v>27</v>
      </c>
      <c r="T181">
        <v>21</v>
      </c>
      <c r="U181">
        <v>23</v>
      </c>
      <c r="V181">
        <v>25</v>
      </c>
      <c r="W181">
        <v>25</v>
      </c>
      <c r="X181">
        <v>0</v>
      </c>
      <c r="Y181">
        <v>1</v>
      </c>
      <c r="Z181">
        <v>27</v>
      </c>
    </row>
    <row r="182" spans="1:26" x14ac:dyDescent="0.35">
      <c r="A182" s="103" t="s">
        <v>263</v>
      </c>
      <c r="B182" t="s">
        <v>141</v>
      </c>
      <c r="C182" t="s">
        <v>466</v>
      </c>
      <c r="D182" t="s">
        <v>112</v>
      </c>
      <c r="E182" t="s">
        <v>170</v>
      </c>
      <c r="F182">
        <v>3</v>
      </c>
      <c r="G182">
        <v>0</v>
      </c>
      <c r="H182">
        <v>2</v>
      </c>
      <c r="I182">
        <v>2</v>
      </c>
      <c r="J182">
        <v>2</v>
      </c>
      <c r="K182">
        <v>2</v>
      </c>
      <c r="L182">
        <v>13</v>
      </c>
      <c r="M182">
        <v>0</v>
      </c>
      <c r="N182">
        <v>9</v>
      </c>
      <c r="O182">
        <v>11</v>
      </c>
      <c r="P182">
        <v>10</v>
      </c>
      <c r="Q182">
        <v>10</v>
      </c>
      <c r="R182">
        <v>986</v>
      </c>
      <c r="S182">
        <v>986</v>
      </c>
      <c r="T182">
        <v>743</v>
      </c>
      <c r="U182">
        <v>876</v>
      </c>
      <c r="V182">
        <v>842</v>
      </c>
      <c r="W182">
        <v>845</v>
      </c>
      <c r="X182">
        <v>3</v>
      </c>
      <c r="Y182">
        <v>13</v>
      </c>
      <c r="Z182">
        <v>986</v>
      </c>
    </row>
    <row r="183" spans="1:26" x14ac:dyDescent="0.35">
      <c r="A183" s="103" t="s">
        <v>263</v>
      </c>
      <c r="B183" t="s">
        <v>141</v>
      </c>
      <c r="C183" t="s">
        <v>467</v>
      </c>
      <c r="D183" t="s">
        <v>112</v>
      </c>
      <c r="E183" t="s">
        <v>170</v>
      </c>
      <c r="F183">
        <v>3</v>
      </c>
      <c r="G183">
        <v>0</v>
      </c>
      <c r="H183">
        <v>1</v>
      </c>
      <c r="I183">
        <v>1</v>
      </c>
      <c r="J183">
        <v>1</v>
      </c>
      <c r="K183">
        <v>1</v>
      </c>
      <c r="L183">
        <v>19</v>
      </c>
      <c r="M183">
        <v>0</v>
      </c>
      <c r="N183">
        <v>13</v>
      </c>
      <c r="O183">
        <v>14</v>
      </c>
      <c r="P183">
        <v>13</v>
      </c>
      <c r="Q183">
        <v>13</v>
      </c>
      <c r="R183">
        <v>1165</v>
      </c>
      <c r="S183">
        <v>1156</v>
      </c>
      <c r="T183">
        <v>840</v>
      </c>
      <c r="U183">
        <v>994</v>
      </c>
      <c r="V183">
        <v>947</v>
      </c>
      <c r="W183">
        <v>947</v>
      </c>
      <c r="X183">
        <v>3</v>
      </c>
      <c r="Y183">
        <v>19</v>
      </c>
      <c r="Z183">
        <v>1165</v>
      </c>
    </row>
    <row r="184" spans="1:26" x14ac:dyDescent="0.35">
      <c r="A184" s="103" t="s">
        <v>263</v>
      </c>
      <c r="B184" t="s">
        <v>141</v>
      </c>
      <c r="C184" t="s">
        <v>468</v>
      </c>
      <c r="D184" t="s">
        <v>112</v>
      </c>
      <c r="E184" t="s">
        <v>170</v>
      </c>
      <c r="F184">
        <v>2</v>
      </c>
      <c r="G184">
        <v>0</v>
      </c>
      <c r="H184">
        <v>2</v>
      </c>
      <c r="I184">
        <v>2</v>
      </c>
      <c r="J184">
        <v>2</v>
      </c>
      <c r="K184">
        <v>2</v>
      </c>
      <c r="L184">
        <v>10</v>
      </c>
      <c r="M184">
        <v>0</v>
      </c>
      <c r="N184">
        <v>7</v>
      </c>
      <c r="O184">
        <v>8</v>
      </c>
      <c r="P184">
        <v>10</v>
      </c>
      <c r="Q184">
        <v>10</v>
      </c>
      <c r="R184">
        <v>618</v>
      </c>
      <c r="S184">
        <v>606</v>
      </c>
      <c r="T184">
        <v>318</v>
      </c>
      <c r="U184">
        <v>376</v>
      </c>
      <c r="V184">
        <v>424</v>
      </c>
      <c r="W184">
        <v>424</v>
      </c>
      <c r="X184">
        <v>2</v>
      </c>
      <c r="Y184">
        <v>10</v>
      </c>
      <c r="Z184">
        <v>618</v>
      </c>
    </row>
    <row r="185" spans="1:26" x14ac:dyDescent="0.35">
      <c r="A185" s="103" t="s">
        <v>263</v>
      </c>
      <c r="B185" t="s">
        <v>141</v>
      </c>
      <c r="C185" t="s">
        <v>469</v>
      </c>
      <c r="D185" t="s">
        <v>112</v>
      </c>
      <c r="E185" t="s">
        <v>170</v>
      </c>
      <c r="F185">
        <v>3</v>
      </c>
      <c r="G185">
        <v>0</v>
      </c>
      <c r="H185">
        <v>2</v>
      </c>
      <c r="I185">
        <v>3</v>
      </c>
      <c r="J185">
        <v>3</v>
      </c>
      <c r="K185">
        <v>3</v>
      </c>
      <c r="L185">
        <v>13</v>
      </c>
      <c r="M185">
        <v>0</v>
      </c>
      <c r="N185">
        <v>7</v>
      </c>
      <c r="O185">
        <v>10</v>
      </c>
      <c r="P185">
        <v>11</v>
      </c>
      <c r="Q185">
        <v>11</v>
      </c>
      <c r="R185">
        <v>765</v>
      </c>
      <c r="S185">
        <v>748</v>
      </c>
      <c r="T185">
        <v>528</v>
      </c>
      <c r="U185">
        <v>605</v>
      </c>
      <c r="V185">
        <v>584</v>
      </c>
      <c r="W185">
        <v>584</v>
      </c>
      <c r="X185">
        <v>3</v>
      </c>
      <c r="Y185">
        <v>13</v>
      </c>
      <c r="Z185">
        <v>765</v>
      </c>
    </row>
    <row r="186" spans="1:26" x14ac:dyDescent="0.35">
      <c r="A186" s="103" t="s">
        <v>263</v>
      </c>
      <c r="B186" t="s">
        <v>141</v>
      </c>
      <c r="C186" t="s">
        <v>470</v>
      </c>
      <c r="D186" t="s">
        <v>112</v>
      </c>
      <c r="E186" t="s">
        <v>170</v>
      </c>
      <c r="F186">
        <v>5</v>
      </c>
      <c r="G186">
        <v>0</v>
      </c>
      <c r="H186">
        <v>4</v>
      </c>
      <c r="I186">
        <v>6</v>
      </c>
      <c r="J186">
        <v>4</v>
      </c>
      <c r="K186">
        <v>4</v>
      </c>
      <c r="L186">
        <v>25</v>
      </c>
      <c r="M186">
        <v>0</v>
      </c>
      <c r="N186">
        <v>22</v>
      </c>
      <c r="O186">
        <v>26</v>
      </c>
      <c r="P186">
        <v>22</v>
      </c>
      <c r="Q186">
        <v>22</v>
      </c>
      <c r="R186">
        <v>1473</v>
      </c>
      <c r="S186">
        <v>1447</v>
      </c>
      <c r="T186">
        <v>936</v>
      </c>
      <c r="U186">
        <v>1096</v>
      </c>
      <c r="V186">
        <v>1056</v>
      </c>
      <c r="W186">
        <v>1056</v>
      </c>
      <c r="X186">
        <v>6</v>
      </c>
      <c r="Y186">
        <v>26</v>
      </c>
      <c r="Z186">
        <v>1475</v>
      </c>
    </row>
    <row r="187" spans="1:26" x14ac:dyDescent="0.35">
      <c r="A187" s="103" t="s">
        <v>263</v>
      </c>
      <c r="B187" t="s">
        <v>141</v>
      </c>
      <c r="C187" t="s">
        <v>471</v>
      </c>
      <c r="D187" t="s">
        <v>112</v>
      </c>
      <c r="E187" t="s">
        <v>170</v>
      </c>
      <c r="F187">
        <v>6</v>
      </c>
      <c r="G187">
        <v>0</v>
      </c>
      <c r="H187">
        <v>3</v>
      </c>
      <c r="I187">
        <v>6</v>
      </c>
      <c r="J187">
        <v>6</v>
      </c>
      <c r="K187">
        <v>6</v>
      </c>
      <c r="L187">
        <v>28</v>
      </c>
      <c r="M187">
        <v>0</v>
      </c>
      <c r="N187">
        <v>15</v>
      </c>
      <c r="O187">
        <v>25</v>
      </c>
      <c r="P187">
        <v>25</v>
      </c>
      <c r="Q187">
        <v>25</v>
      </c>
      <c r="R187">
        <v>1954</v>
      </c>
      <c r="S187">
        <v>1938</v>
      </c>
      <c r="T187">
        <v>1272</v>
      </c>
      <c r="U187">
        <v>1514</v>
      </c>
      <c r="V187">
        <v>1434</v>
      </c>
      <c r="W187">
        <v>1434</v>
      </c>
      <c r="X187">
        <v>6</v>
      </c>
      <c r="Y187">
        <v>28</v>
      </c>
      <c r="Z187">
        <v>1949</v>
      </c>
    </row>
    <row r="188" spans="1:26" x14ac:dyDescent="0.35">
      <c r="A188" s="103" t="s">
        <v>263</v>
      </c>
      <c r="B188" t="s">
        <v>141</v>
      </c>
      <c r="C188" t="s">
        <v>472</v>
      </c>
      <c r="D188" t="s">
        <v>112</v>
      </c>
      <c r="E188" t="s">
        <v>170</v>
      </c>
      <c r="F188">
        <v>7</v>
      </c>
      <c r="G188">
        <v>0</v>
      </c>
      <c r="H188">
        <v>7</v>
      </c>
      <c r="I188">
        <v>7</v>
      </c>
      <c r="J188">
        <v>7</v>
      </c>
      <c r="K188">
        <v>7</v>
      </c>
      <c r="L188">
        <v>34</v>
      </c>
      <c r="M188">
        <v>0</v>
      </c>
      <c r="N188">
        <v>28</v>
      </c>
      <c r="O188">
        <v>31</v>
      </c>
      <c r="P188">
        <v>29</v>
      </c>
      <c r="Q188">
        <v>29</v>
      </c>
      <c r="R188">
        <v>2098</v>
      </c>
      <c r="S188">
        <v>2059</v>
      </c>
      <c r="T188">
        <v>1405</v>
      </c>
      <c r="U188">
        <v>1657</v>
      </c>
      <c r="V188">
        <v>1597</v>
      </c>
      <c r="W188">
        <v>1597</v>
      </c>
      <c r="X188">
        <v>7</v>
      </c>
      <c r="Y188">
        <v>34</v>
      </c>
      <c r="Z188">
        <v>2099</v>
      </c>
    </row>
    <row r="189" spans="1:26" x14ac:dyDescent="0.35">
      <c r="A189" s="103" t="s">
        <v>263</v>
      </c>
      <c r="B189" t="s">
        <v>141</v>
      </c>
      <c r="C189" t="s">
        <v>264</v>
      </c>
      <c r="D189" t="s">
        <v>112</v>
      </c>
      <c r="E189" t="s">
        <v>170</v>
      </c>
      <c r="F189">
        <v>14</v>
      </c>
      <c r="G189">
        <v>0</v>
      </c>
      <c r="H189">
        <v>1</v>
      </c>
      <c r="I189">
        <v>5</v>
      </c>
      <c r="J189">
        <v>5</v>
      </c>
      <c r="K189">
        <v>5</v>
      </c>
      <c r="L189">
        <v>63</v>
      </c>
      <c r="M189">
        <v>4</v>
      </c>
      <c r="N189">
        <v>14</v>
      </c>
      <c r="O189">
        <v>25</v>
      </c>
      <c r="P189">
        <v>26</v>
      </c>
      <c r="Q189">
        <v>26</v>
      </c>
      <c r="R189">
        <v>2980</v>
      </c>
      <c r="S189">
        <v>2783</v>
      </c>
      <c r="T189">
        <v>1554</v>
      </c>
      <c r="U189">
        <v>1909</v>
      </c>
      <c r="V189">
        <v>1775</v>
      </c>
      <c r="W189">
        <v>1777</v>
      </c>
      <c r="X189">
        <v>14</v>
      </c>
      <c r="Y189">
        <v>63</v>
      </c>
      <c r="Z189">
        <v>2981</v>
      </c>
    </row>
    <row r="190" spans="1:26" x14ac:dyDescent="0.35">
      <c r="A190" s="103" t="s">
        <v>263</v>
      </c>
      <c r="B190" t="s">
        <v>141</v>
      </c>
      <c r="C190" t="s">
        <v>473</v>
      </c>
      <c r="D190" t="s">
        <v>112</v>
      </c>
      <c r="E190" t="s">
        <v>170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401</v>
      </c>
      <c r="S190">
        <v>397</v>
      </c>
      <c r="T190">
        <v>263</v>
      </c>
      <c r="U190">
        <v>324</v>
      </c>
      <c r="V190">
        <v>281</v>
      </c>
      <c r="W190">
        <v>281</v>
      </c>
      <c r="X190">
        <v>0</v>
      </c>
      <c r="Y190">
        <v>0</v>
      </c>
      <c r="Z190">
        <v>401</v>
      </c>
    </row>
    <row r="191" spans="1:26" x14ac:dyDescent="0.35">
      <c r="A191" s="103" t="s">
        <v>263</v>
      </c>
      <c r="B191" t="s">
        <v>141</v>
      </c>
      <c r="C191" t="s">
        <v>474</v>
      </c>
      <c r="D191" t="s">
        <v>112</v>
      </c>
      <c r="E191" t="s">
        <v>170</v>
      </c>
      <c r="F191">
        <v>7</v>
      </c>
      <c r="G191">
        <v>0</v>
      </c>
      <c r="H191">
        <v>5</v>
      </c>
      <c r="I191">
        <v>5</v>
      </c>
      <c r="J191">
        <v>5</v>
      </c>
      <c r="K191">
        <v>5</v>
      </c>
      <c r="L191">
        <v>36</v>
      </c>
      <c r="M191">
        <v>0</v>
      </c>
      <c r="N191">
        <v>29</v>
      </c>
      <c r="O191">
        <v>33</v>
      </c>
      <c r="P191">
        <v>31</v>
      </c>
      <c r="Q191">
        <v>31</v>
      </c>
      <c r="R191">
        <v>2275</v>
      </c>
      <c r="S191">
        <v>2274</v>
      </c>
      <c r="T191">
        <v>1521</v>
      </c>
      <c r="U191">
        <v>1829</v>
      </c>
      <c r="V191">
        <v>1871</v>
      </c>
      <c r="W191">
        <v>1872</v>
      </c>
      <c r="X191">
        <v>7</v>
      </c>
      <c r="Y191">
        <v>35</v>
      </c>
      <c r="Z191">
        <v>2273</v>
      </c>
    </row>
    <row r="192" spans="1:26" x14ac:dyDescent="0.35">
      <c r="A192" s="103" t="s">
        <v>263</v>
      </c>
      <c r="B192" t="s">
        <v>141</v>
      </c>
      <c r="C192" t="s">
        <v>475</v>
      </c>
      <c r="D192" t="s">
        <v>112</v>
      </c>
      <c r="E192" t="s">
        <v>170</v>
      </c>
      <c r="F192">
        <v>9</v>
      </c>
      <c r="G192">
        <v>0</v>
      </c>
      <c r="H192">
        <v>8</v>
      </c>
      <c r="I192">
        <v>9</v>
      </c>
      <c r="J192">
        <v>9</v>
      </c>
      <c r="K192">
        <v>9</v>
      </c>
      <c r="L192">
        <v>49</v>
      </c>
      <c r="M192">
        <v>0</v>
      </c>
      <c r="N192">
        <v>34</v>
      </c>
      <c r="O192">
        <v>42</v>
      </c>
      <c r="P192">
        <v>35</v>
      </c>
      <c r="Q192">
        <v>35</v>
      </c>
      <c r="R192">
        <v>3077</v>
      </c>
      <c r="S192">
        <v>3036</v>
      </c>
      <c r="T192">
        <v>1881</v>
      </c>
      <c r="U192">
        <v>2272</v>
      </c>
      <c r="V192">
        <v>2015</v>
      </c>
      <c r="W192">
        <v>2015</v>
      </c>
      <c r="X192">
        <v>9</v>
      </c>
      <c r="Y192">
        <v>49</v>
      </c>
      <c r="Z192">
        <v>3078</v>
      </c>
    </row>
    <row r="193" spans="1:26" x14ac:dyDescent="0.35">
      <c r="A193" s="103" t="s">
        <v>263</v>
      </c>
      <c r="B193" t="s">
        <v>141</v>
      </c>
      <c r="C193" t="s">
        <v>476</v>
      </c>
      <c r="D193" t="s">
        <v>112</v>
      </c>
      <c r="E193" t="s">
        <v>170</v>
      </c>
      <c r="F193">
        <v>7</v>
      </c>
      <c r="G193">
        <v>0</v>
      </c>
      <c r="H193">
        <v>4</v>
      </c>
      <c r="I193">
        <v>6</v>
      </c>
      <c r="J193">
        <v>5</v>
      </c>
      <c r="K193">
        <v>5</v>
      </c>
      <c r="L193">
        <v>33</v>
      </c>
      <c r="M193">
        <v>0</v>
      </c>
      <c r="N193">
        <v>17</v>
      </c>
      <c r="O193">
        <v>28</v>
      </c>
      <c r="P193">
        <v>26</v>
      </c>
      <c r="Q193">
        <v>26</v>
      </c>
      <c r="R193">
        <v>1778</v>
      </c>
      <c r="S193">
        <v>1740</v>
      </c>
      <c r="T193">
        <v>1184</v>
      </c>
      <c r="U193">
        <v>1391</v>
      </c>
      <c r="V193">
        <v>1379</v>
      </c>
      <c r="W193">
        <v>1379</v>
      </c>
      <c r="X193">
        <v>7</v>
      </c>
      <c r="Y193">
        <v>33</v>
      </c>
      <c r="Z193">
        <v>1779</v>
      </c>
    </row>
    <row r="194" spans="1:26" x14ac:dyDescent="0.35">
      <c r="A194" s="103" t="s">
        <v>263</v>
      </c>
      <c r="B194" t="s">
        <v>141</v>
      </c>
      <c r="C194" t="s">
        <v>477</v>
      </c>
      <c r="D194" t="s">
        <v>112</v>
      </c>
      <c r="E194" t="s">
        <v>170</v>
      </c>
      <c r="F194">
        <v>4</v>
      </c>
      <c r="G194">
        <v>0</v>
      </c>
      <c r="H194">
        <v>3</v>
      </c>
      <c r="I194">
        <v>4</v>
      </c>
      <c r="J194">
        <v>3</v>
      </c>
      <c r="K194">
        <v>3</v>
      </c>
      <c r="L194">
        <v>19</v>
      </c>
      <c r="M194">
        <v>0</v>
      </c>
      <c r="N194">
        <v>16</v>
      </c>
      <c r="O194">
        <v>17</v>
      </c>
      <c r="P194">
        <v>15</v>
      </c>
      <c r="Q194">
        <v>15</v>
      </c>
      <c r="R194">
        <v>1076</v>
      </c>
      <c r="S194">
        <v>1058</v>
      </c>
      <c r="T194">
        <v>792</v>
      </c>
      <c r="U194">
        <v>874</v>
      </c>
      <c r="V194">
        <v>904</v>
      </c>
      <c r="W194">
        <v>904</v>
      </c>
      <c r="X194">
        <v>4</v>
      </c>
      <c r="Y194">
        <v>19</v>
      </c>
      <c r="Z194">
        <v>1077</v>
      </c>
    </row>
    <row r="195" spans="1:26" x14ac:dyDescent="0.35">
      <c r="A195" s="103" t="s">
        <v>263</v>
      </c>
      <c r="B195" t="s">
        <v>141</v>
      </c>
      <c r="C195" t="s">
        <v>478</v>
      </c>
      <c r="D195" t="s">
        <v>112</v>
      </c>
      <c r="E195" t="s">
        <v>170</v>
      </c>
      <c r="F195">
        <v>12</v>
      </c>
      <c r="G195">
        <v>0</v>
      </c>
      <c r="H195">
        <v>7</v>
      </c>
      <c r="I195">
        <v>10</v>
      </c>
      <c r="J195">
        <v>9</v>
      </c>
      <c r="K195">
        <v>9</v>
      </c>
      <c r="L195">
        <v>61</v>
      </c>
      <c r="M195">
        <v>2</v>
      </c>
      <c r="N195">
        <v>34</v>
      </c>
      <c r="O195">
        <v>42</v>
      </c>
      <c r="P195">
        <v>42</v>
      </c>
      <c r="Q195">
        <v>42</v>
      </c>
      <c r="R195">
        <v>3990</v>
      </c>
      <c r="S195">
        <v>3901</v>
      </c>
      <c r="T195">
        <v>2663</v>
      </c>
      <c r="U195">
        <v>3158</v>
      </c>
      <c r="V195">
        <v>3199</v>
      </c>
      <c r="W195">
        <v>3202</v>
      </c>
      <c r="X195">
        <v>12</v>
      </c>
      <c r="Y195">
        <v>61</v>
      </c>
      <c r="Z195">
        <v>3983</v>
      </c>
    </row>
    <row r="196" spans="1:26" x14ac:dyDescent="0.35">
      <c r="A196" s="103" t="s">
        <v>263</v>
      </c>
      <c r="B196" t="s">
        <v>140</v>
      </c>
      <c r="C196" t="s">
        <v>479</v>
      </c>
      <c r="D196" t="s">
        <v>112</v>
      </c>
      <c r="E196" t="s">
        <v>170</v>
      </c>
      <c r="F196">
        <v>1</v>
      </c>
      <c r="G196">
        <v>0</v>
      </c>
      <c r="H196">
        <v>1</v>
      </c>
      <c r="I196">
        <v>1</v>
      </c>
      <c r="J196">
        <v>1</v>
      </c>
      <c r="K196">
        <v>1</v>
      </c>
      <c r="L196">
        <v>5</v>
      </c>
      <c r="M196">
        <v>0</v>
      </c>
      <c r="N196">
        <v>4</v>
      </c>
      <c r="O196">
        <v>4</v>
      </c>
      <c r="P196">
        <v>4</v>
      </c>
      <c r="Q196">
        <v>4</v>
      </c>
      <c r="R196">
        <v>309</v>
      </c>
      <c r="S196">
        <v>297</v>
      </c>
      <c r="T196">
        <v>194</v>
      </c>
      <c r="U196">
        <v>239</v>
      </c>
      <c r="V196">
        <v>257</v>
      </c>
      <c r="W196">
        <v>257</v>
      </c>
      <c r="X196">
        <v>1</v>
      </c>
      <c r="Y196">
        <v>5</v>
      </c>
      <c r="Z196">
        <v>309</v>
      </c>
    </row>
    <row r="197" spans="1:26" x14ac:dyDescent="0.35">
      <c r="A197" s="103" t="s">
        <v>263</v>
      </c>
      <c r="B197" t="s">
        <v>141</v>
      </c>
      <c r="C197" t="s">
        <v>480</v>
      </c>
      <c r="D197" t="s">
        <v>112</v>
      </c>
      <c r="E197" t="s">
        <v>170</v>
      </c>
      <c r="F197">
        <v>0</v>
      </c>
      <c r="G197">
        <v>0</v>
      </c>
      <c r="H197">
        <v>1</v>
      </c>
      <c r="I197">
        <v>1</v>
      </c>
      <c r="J197">
        <v>0</v>
      </c>
      <c r="K197">
        <v>0</v>
      </c>
      <c r="L197">
        <v>8</v>
      </c>
      <c r="M197">
        <v>0</v>
      </c>
      <c r="N197">
        <v>5</v>
      </c>
      <c r="O197">
        <v>5</v>
      </c>
      <c r="P197">
        <v>6</v>
      </c>
      <c r="Q197">
        <v>6</v>
      </c>
      <c r="R197">
        <v>763</v>
      </c>
      <c r="S197">
        <v>745</v>
      </c>
      <c r="T197">
        <v>505</v>
      </c>
      <c r="U197">
        <v>575</v>
      </c>
      <c r="V197">
        <v>545</v>
      </c>
      <c r="W197">
        <v>545</v>
      </c>
      <c r="X197">
        <v>1</v>
      </c>
      <c r="Y197">
        <v>7</v>
      </c>
      <c r="Z197">
        <v>763</v>
      </c>
    </row>
    <row r="198" spans="1:26" x14ac:dyDescent="0.35">
      <c r="A198" s="103" t="s">
        <v>263</v>
      </c>
      <c r="B198" t="s">
        <v>141</v>
      </c>
      <c r="C198" t="s">
        <v>481</v>
      </c>
      <c r="D198" t="s">
        <v>112</v>
      </c>
      <c r="E198" t="s">
        <v>170</v>
      </c>
      <c r="F198">
        <v>9</v>
      </c>
      <c r="G198">
        <v>0</v>
      </c>
      <c r="H198">
        <v>8</v>
      </c>
      <c r="I198">
        <v>9</v>
      </c>
      <c r="J198">
        <v>8</v>
      </c>
      <c r="K198">
        <v>8</v>
      </c>
      <c r="L198">
        <v>42</v>
      </c>
      <c r="M198">
        <v>0</v>
      </c>
      <c r="N198">
        <v>36</v>
      </c>
      <c r="O198">
        <v>39</v>
      </c>
      <c r="P198">
        <v>39</v>
      </c>
      <c r="Q198">
        <v>39</v>
      </c>
      <c r="R198">
        <v>2798</v>
      </c>
      <c r="S198">
        <v>2758</v>
      </c>
      <c r="T198">
        <v>1755</v>
      </c>
      <c r="U198">
        <v>2098</v>
      </c>
      <c r="V198">
        <v>2034</v>
      </c>
      <c r="W198">
        <v>2034</v>
      </c>
      <c r="X198">
        <v>9</v>
      </c>
      <c r="Y198">
        <v>42</v>
      </c>
      <c r="Z198">
        <v>2798</v>
      </c>
    </row>
    <row r="199" spans="1:26" x14ac:dyDescent="0.35">
      <c r="A199" s="103" t="s">
        <v>263</v>
      </c>
      <c r="B199" t="s">
        <v>141</v>
      </c>
      <c r="C199" t="s">
        <v>482</v>
      </c>
      <c r="D199" t="s">
        <v>112</v>
      </c>
      <c r="E199" t="s">
        <v>170</v>
      </c>
      <c r="F199">
        <v>11</v>
      </c>
      <c r="G199">
        <v>0</v>
      </c>
      <c r="H199">
        <v>6</v>
      </c>
      <c r="I199">
        <v>10</v>
      </c>
      <c r="J199">
        <v>8</v>
      </c>
      <c r="K199">
        <v>8</v>
      </c>
      <c r="L199">
        <v>58</v>
      </c>
      <c r="M199">
        <v>2</v>
      </c>
      <c r="N199">
        <v>32</v>
      </c>
      <c r="O199">
        <v>48</v>
      </c>
      <c r="P199">
        <v>44</v>
      </c>
      <c r="Q199">
        <v>44</v>
      </c>
      <c r="R199">
        <v>3393</v>
      </c>
      <c r="S199">
        <v>3309</v>
      </c>
      <c r="T199">
        <v>2159</v>
      </c>
      <c r="U199">
        <v>2637</v>
      </c>
      <c r="V199">
        <v>2550</v>
      </c>
      <c r="W199">
        <v>2550</v>
      </c>
      <c r="X199">
        <v>11</v>
      </c>
      <c r="Y199">
        <v>58</v>
      </c>
      <c r="Z199">
        <v>3396</v>
      </c>
    </row>
    <row r="200" spans="1:26" x14ac:dyDescent="0.35">
      <c r="A200" s="103" t="s">
        <v>263</v>
      </c>
      <c r="B200" t="s">
        <v>141</v>
      </c>
      <c r="C200" t="s">
        <v>483</v>
      </c>
      <c r="D200" t="s">
        <v>112</v>
      </c>
      <c r="E200" t="s">
        <v>170</v>
      </c>
      <c r="F200">
        <v>1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5</v>
      </c>
      <c r="M200">
        <v>0</v>
      </c>
      <c r="N200">
        <v>2</v>
      </c>
      <c r="O200">
        <v>2</v>
      </c>
      <c r="P200">
        <v>2</v>
      </c>
      <c r="Q200">
        <v>2</v>
      </c>
      <c r="R200">
        <v>428</v>
      </c>
      <c r="S200">
        <v>426</v>
      </c>
      <c r="T200">
        <v>237</v>
      </c>
      <c r="U200">
        <v>335</v>
      </c>
      <c r="V200">
        <v>273</v>
      </c>
      <c r="W200">
        <v>273</v>
      </c>
      <c r="X200">
        <v>1</v>
      </c>
      <c r="Y200">
        <v>5</v>
      </c>
      <c r="Z200">
        <v>428</v>
      </c>
    </row>
    <row r="201" spans="1:26" x14ac:dyDescent="0.35">
      <c r="A201" s="103" t="s">
        <v>263</v>
      </c>
      <c r="B201" t="s">
        <v>141</v>
      </c>
      <c r="C201" t="s">
        <v>484</v>
      </c>
      <c r="D201" t="s">
        <v>112</v>
      </c>
      <c r="E201" t="s">
        <v>170</v>
      </c>
      <c r="F201">
        <v>1</v>
      </c>
      <c r="G201">
        <v>0</v>
      </c>
      <c r="H201">
        <v>1</v>
      </c>
      <c r="I201">
        <v>1</v>
      </c>
      <c r="J201">
        <v>1</v>
      </c>
      <c r="K201">
        <v>1</v>
      </c>
      <c r="L201">
        <v>5</v>
      </c>
      <c r="M201">
        <v>0</v>
      </c>
      <c r="N201">
        <v>4</v>
      </c>
      <c r="O201">
        <v>4</v>
      </c>
      <c r="P201">
        <v>5</v>
      </c>
      <c r="Q201">
        <v>5</v>
      </c>
      <c r="R201">
        <v>181</v>
      </c>
      <c r="S201">
        <v>180</v>
      </c>
      <c r="T201">
        <v>121</v>
      </c>
      <c r="U201">
        <v>139</v>
      </c>
      <c r="V201">
        <v>133</v>
      </c>
      <c r="W201">
        <v>133</v>
      </c>
      <c r="X201">
        <v>1</v>
      </c>
      <c r="Y201">
        <v>5</v>
      </c>
      <c r="Z201">
        <v>182</v>
      </c>
    </row>
    <row r="202" spans="1:26" x14ac:dyDescent="0.35">
      <c r="A202" s="103" t="s">
        <v>263</v>
      </c>
      <c r="B202" t="s">
        <v>141</v>
      </c>
      <c r="C202" t="s">
        <v>485</v>
      </c>
      <c r="D202" t="s">
        <v>112</v>
      </c>
      <c r="E202" t="s">
        <v>170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374</v>
      </c>
      <c r="S202">
        <v>373</v>
      </c>
      <c r="T202">
        <v>261</v>
      </c>
      <c r="U202">
        <v>317</v>
      </c>
      <c r="V202">
        <v>294</v>
      </c>
      <c r="W202">
        <v>294</v>
      </c>
      <c r="X202">
        <v>0</v>
      </c>
      <c r="Y202">
        <v>0</v>
      </c>
      <c r="Z202">
        <v>374</v>
      </c>
    </row>
    <row r="203" spans="1:26" x14ac:dyDescent="0.35">
      <c r="A203" s="103" t="s">
        <v>263</v>
      </c>
      <c r="B203" t="s">
        <v>141</v>
      </c>
      <c r="C203" t="s">
        <v>486</v>
      </c>
      <c r="D203" t="s">
        <v>112</v>
      </c>
      <c r="E203" t="s">
        <v>170</v>
      </c>
      <c r="F203">
        <v>6</v>
      </c>
      <c r="G203">
        <v>0</v>
      </c>
      <c r="H203">
        <v>4</v>
      </c>
      <c r="I203">
        <v>5</v>
      </c>
      <c r="J203">
        <v>5</v>
      </c>
      <c r="K203">
        <v>5</v>
      </c>
      <c r="L203">
        <v>28</v>
      </c>
      <c r="M203">
        <v>0</v>
      </c>
      <c r="N203">
        <v>21</v>
      </c>
      <c r="O203">
        <v>24</v>
      </c>
      <c r="P203">
        <v>23</v>
      </c>
      <c r="Q203">
        <v>23</v>
      </c>
      <c r="R203">
        <v>1271</v>
      </c>
      <c r="S203">
        <v>1250</v>
      </c>
      <c r="T203">
        <v>795</v>
      </c>
      <c r="U203">
        <v>963</v>
      </c>
      <c r="V203">
        <v>835</v>
      </c>
      <c r="W203">
        <v>835</v>
      </c>
      <c r="X203">
        <v>6</v>
      </c>
      <c r="Y203">
        <v>28</v>
      </c>
      <c r="Z203">
        <v>1271</v>
      </c>
    </row>
    <row r="204" spans="1:26" x14ac:dyDescent="0.35">
      <c r="A204" s="103" t="s">
        <v>263</v>
      </c>
      <c r="B204" t="s">
        <v>141</v>
      </c>
      <c r="C204" t="s">
        <v>487</v>
      </c>
      <c r="D204" t="s">
        <v>112</v>
      </c>
      <c r="E204" t="s">
        <v>170</v>
      </c>
      <c r="F204">
        <v>14</v>
      </c>
      <c r="G204">
        <v>0</v>
      </c>
      <c r="H204">
        <v>10</v>
      </c>
      <c r="I204">
        <v>10</v>
      </c>
      <c r="J204">
        <v>12</v>
      </c>
      <c r="K204">
        <v>12</v>
      </c>
      <c r="L204">
        <v>66</v>
      </c>
      <c r="M204">
        <v>1</v>
      </c>
      <c r="N204">
        <v>43</v>
      </c>
      <c r="O204">
        <v>55</v>
      </c>
      <c r="P204">
        <v>54</v>
      </c>
      <c r="Q204">
        <v>54</v>
      </c>
      <c r="R204">
        <v>3986</v>
      </c>
      <c r="S204">
        <v>3912</v>
      </c>
      <c r="T204">
        <v>2586</v>
      </c>
      <c r="U204">
        <v>3026</v>
      </c>
      <c r="V204">
        <v>2808</v>
      </c>
      <c r="W204">
        <v>2809</v>
      </c>
      <c r="X204">
        <v>13</v>
      </c>
      <c r="Y204">
        <v>66</v>
      </c>
      <c r="Z204">
        <v>3989</v>
      </c>
    </row>
    <row r="205" spans="1:26" x14ac:dyDescent="0.35">
      <c r="A205" s="103" t="s">
        <v>263</v>
      </c>
      <c r="B205" t="s">
        <v>141</v>
      </c>
      <c r="C205" t="s">
        <v>488</v>
      </c>
      <c r="D205" t="s">
        <v>112</v>
      </c>
      <c r="E205" t="s">
        <v>170</v>
      </c>
      <c r="F205">
        <v>9</v>
      </c>
      <c r="G205">
        <v>0</v>
      </c>
      <c r="H205">
        <v>5</v>
      </c>
      <c r="I205">
        <v>9</v>
      </c>
      <c r="J205">
        <v>8</v>
      </c>
      <c r="K205">
        <v>8</v>
      </c>
      <c r="L205">
        <v>46</v>
      </c>
      <c r="M205">
        <v>0</v>
      </c>
      <c r="N205">
        <v>27</v>
      </c>
      <c r="O205">
        <v>39</v>
      </c>
      <c r="P205">
        <v>35</v>
      </c>
      <c r="Q205">
        <v>35</v>
      </c>
      <c r="R205">
        <v>2551</v>
      </c>
      <c r="S205">
        <v>2522</v>
      </c>
      <c r="T205">
        <v>1454</v>
      </c>
      <c r="U205">
        <v>1817</v>
      </c>
      <c r="V205">
        <v>1751</v>
      </c>
      <c r="W205">
        <v>1751</v>
      </c>
      <c r="X205">
        <v>9</v>
      </c>
      <c r="Y205">
        <v>46</v>
      </c>
      <c r="Z205">
        <v>2552</v>
      </c>
    </row>
    <row r="206" spans="1:26" x14ac:dyDescent="0.35">
      <c r="A206" s="103" t="s">
        <v>263</v>
      </c>
      <c r="B206" t="s">
        <v>140</v>
      </c>
      <c r="C206" t="s">
        <v>489</v>
      </c>
      <c r="D206" t="s">
        <v>112</v>
      </c>
      <c r="E206" t="s">
        <v>170</v>
      </c>
      <c r="F206">
        <v>1</v>
      </c>
      <c r="G206">
        <v>0</v>
      </c>
      <c r="H206">
        <v>1</v>
      </c>
      <c r="I206">
        <v>1</v>
      </c>
      <c r="J206">
        <v>1</v>
      </c>
      <c r="K206">
        <v>1</v>
      </c>
      <c r="L206">
        <v>5</v>
      </c>
      <c r="M206">
        <v>0</v>
      </c>
      <c r="N206">
        <v>5</v>
      </c>
      <c r="O206">
        <v>5</v>
      </c>
      <c r="P206">
        <v>5</v>
      </c>
      <c r="Q206">
        <v>5</v>
      </c>
      <c r="R206">
        <v>314</v>
      </c>
      <c r="S206">
        <v>310</v>
      </c>
      <c r="T206">
        <v>163</v>
      </c>
      <c r="U206">
        <v>223</v>
      </c>
      <c r="V206">
        <v>268</v>
      </c>
      <c r="W206">
        <v>268</v>
      </c>
      <c r="X206">
        <v>1</v>
      </c>
      <c r="Y206">
        <v>5</v>
      </c>
      <c r="Z206">
        <v>314</v>
      </c>
    </row>
    <row r="207" spans="1:26" x14ac:dyDescent="0.35">
      <c r="A207" s="103" t="s">
        <v>263</v>
      </c>
      <c r="B207" t="s">
        <v>141</v>
      </c>
      <c r="C207" t="s">
        <v>490</v>
      </c>
      <c r="D207" t="s">
        <v>112</v>
      </c>
      <c r="E207" t="s">
        <v>170</v>
      </c>
      <c r="F207">
        <v>10</v>
      </c>
      <c r="G207">
        <v>0</v>
      </c>
      <c r="H207">
        <v>5</v>
      </c>
      <c r="I207">
        <v>7</v>
      </c>
      <c r="J207">
        <v>6</v>
      </c>
      <c r="K207">
        <v>6</v>
      </c>
      <c r="L207">
        <v>51</v>
      </c>
      <c r="M207">
        <v>2</v>
      </c>
      <c r="N207">
        <v>27</v>
      </c>
      <c r="O207">
        <v>39</v>
      </c>
      <c r="P207">
        <v>32</v>
      </c>
      <c r="Q207">
        <v>32</v>
      </c>
      <c r="R207">
        <v>1998</v>
      </c>
      <c r="S207">
        <v>1965</v>
      </c>
      <c r="T207">
        <v>1192</v>
      </c>
      <c r="U207">
        <v>1497</v>
      </c>
      <c r="V207">
        <v>1370</v>
      </c>
      <c r="W207">
        <v>1371</v>
      </c>
      <c r="X207">
        <v>10</v>
      </c>
      <c r="Y207">
        <v>51</v>
      </c>
      <c r="Z207">
        <v>1997</v>
      </c>
    </row>
    <row r="208" spans="1:26" x14ac:dyDescent="0.35">
      <c r="A208" s="103" t="s">
        <v>263</v>
      </c>
      <c r="B208" t="s">
        <v>141</v>
      </c>
      <c r="C208" t="s">
        <v>491</v>
      </c>
      <c r="D208" t="s">
        <v>112</v>
      </c>
      <c r="E208" t="s">
        <v>170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188</v>
      </c>
      <c r="S208">
        <v>186</v>
      </c>
      <c r="T208">
        <v>123</v>
      </c>
      <c r="U208">
        <v>146</v>
      </c>
      <c r="V208">
        <v>117</v>
      </c>
      <c r="W208">
        <v>117</v>
      </c>
      <c r="X208">
        <v>0</v>
      </c>
      <c r="Y208">
        <v>0</v>
      </c>
      <c r="Z208">
        <v>188</v>
      </c>
    </row>
    <row r="209" spans="1:26" x14ac:dyDescent="0.35">
      <c r="A209" s="103" t="s">
        <v>263</v>
      </c>
      <c r="B209" t="s">
        <v>141</v>
      </c>
      <c r="C209" t="s">
        <v>492</v>
      </c>
      <c r="D209" t="s">
        <v>112</v>
      </c>
      <c r="E209" t="s">
        <v>170</v>
      </c>
      <c r="F209">
        <v>6</v>
      </c>
      <c r="G209">
        <v>0</v>
      </c>
      <c r="H209">
        <v>4</v>
      </c>
      <c r="I209">
        <v>5</v>
      </c>
      <c r="J209">
        <v>5</v>
      </c>
      <c r="K209">
        <v>5</v>
      </c>
      <c r="L209">
        <v>28</v>
      </c>
      <c r="M209">
        <v>0</v>
      </c>
      <c r="N209">
        <v>19</v>
      </c>
      <c r="O209">
        <v>25</v>
      </c>
      <c r="P209">
        <v>24</v>
      </c>
      <c r="Q209">
        <v>24</v>
      </c>
      <c r="R209">
        <v>1647</v>
      </c>
      <c r="S209">
        <v>1618</v>
      </c>
      <c r="T209">
        <v>1157</v>
      </c>
      <c r="U209">
        <v>1339</v>
      </c>
      <c r="V209">
        <v>1332</v>
      </c>
      <c r="W209">
        <v>1332</v>
      </c>
      <c r="X209">
        <v>6</v>
      </c>
      <c r="Y209">
        <v>28</v>
      </c>
      <c r="Z209">
        <v>1647</v>
      </c>
    </row>
    <row r="210" spans="1:26" x14ac:dyDescent="0.35">
      <c r="A210" s="103" t="s">
        <v>263</v>
      </c>
      <c r="B210" t="s">
        <v>141</v>
      </c>
      <c r="C210" t="s">
        <v>493</v>
      </c>
      <c r="D210" t="s">
        <v>112</v>
      </c>
      <c r="E210" t="s">
        <v>170</v>
      </c>
      <c r="F210">
        <v>6</v>
      </c>
      <c r="G210">
        <v>0</v>
      </c>
      <c r="H210">
        <v>4</v>
      </c>
      <c r="I210">
        <v>4</v>
      </c>
      <c r="J210">
        <v>5</v>
      </c>
      <c r="K210">
        <v>5</v>
      </c>
      <c r="L210">
        <v>29</v>
      </c>
      <c r="M210">
        <v>1</v>
      </c>
      <c r="N210">
        <v>14</v>
      </c>
      <c r="O210">
        <v>18</v>
      </c>
      <c r="P210">
        <v>18</v>
      </c>
      <c r="Q210">
        <v>18</v>
      </c>
      <c r="R210">
        <v>1949</v>
      </c>
      <c r="S210">
        <v>1892</v>
      </c>
      <c r="T210">
        <v>1255</v>
      </c>
      <c r="U210">
        <v>1514</v>
      </c>
      <c r="V210">
        <v>1363</v>
      </c>
      <c r="W210">
        <v>1363</v>
      </c>
      <c r="X210">
        <v>6</v>
      </c>
      <c r="Y210">
        <v>29</v>
      </c>
      <c r="Z210">
        <v>1953</v>
      </c>
    </row>
    <row r="211" spans="1:26" x14ac:dyDescent="0.35">
      <c r="A211" s="103" t="s">
        <v>263</v>
      </c>
      <c r="B211" t="s">
        <v>140</v>
      </c>
      <c r="C211" t="s">
        <v>494</v>
      </c>
      <c r="D211" t="s">
        <v>112</v>
      </c>
      <c r="E211" t="s">
        <v>170</v>
      </c>
      <c r="F211">
        <v>6</v>
      </c>
      <c r="G211">
        <v>0</v>
      </c>
      <c r="H211">
        <v>5</v>
      </c>
      <c r="I211">
        <v>5</v>
      </c>
      <c r="J211">
        <v>6</v>
      </c>
      <c r="K211">
        <v>6</v>
      </c>
      <c r="L211">
        <v>30</v>
      </c>
      <c r="M211">
        <v>1</v>
      </c>
      <c r="N211">
        <v>20</v>
      </c>
      <c r="O211">
        <v>23</v>
      </c>
      <c r="P211">
        <v>21</v>
      </c>
      <c r="Q211">
        <v>21</v>
      </c>
      <c r="R211">
        <v>2033</v>
      </c>
      <c r="S211">
        <v>1986</v>
      </c>
      <c r="T211">
        <v>1293</v>
      </c>
      <c r="U211">
        <v>1594</v>
      </c>
      <c r="V211">
        <v>1611</v>
      </c>
      <c r="W211">
        <v>1611</v>
      </c>
      <c r="X211">
        <v>6</v>
      </c>
      <c r="Y211">
        <v>30</v>
      </c>
      <c r="Z211">
        <v>2034</v>
      </c>
    </row>
    <row r="212" spans="1:26" x14ac:dyDescent="0.35">
      <c r="A212" s="103" t="s">
        <v>263</v>
      </c>
      <c r="B212" t="s">
        <v>141</v>
      </c>
      <c r="C212" t="s">
        <v>495</v>
      </c>
      <c r="D212" t="s">
        <v>112</v>
      </c>
      <c r="E212" t="s">
        <v>170</v>
      </c>
      <c r="F212">
        <v>5</v>
      </c>
      <c r="G212">
        <v>0</v>
      </c>
      <c r="H212">
        <v>2</v>
      </c>
      <c r="I212">
        <v>4</v>
      </c>
      <c r="J212">
        <v>5</v>
      </c>
      <c r="K212">
        <v>5</v>
      </c>
      <c r="L212">
        <v>24</v>
      </c>
      <c r="M212">
        <v>0</v>
      </c>
      <c r="N212">
        <v>11</v>
      </c>
      <c r="O212">
        <v>18</v>
      </c>
      <c r="P212">
        <v>22</v>
      </c>
      <c r="Q212">
        <v>22</v>
      </c>
      <c r="R212">
        <v>1341</v>
      </c>
      <c r="S212">
        <v>1328</v>
      </c>
      <c r="T212">
        <v>801</v>
      </c>
      <c r="U212">
        <v>1000</v>
      </c>
      <c r="V212">
        <v>1021</v>
      </c>
      <c r="W212">
        <v>1021</v>
      </c>
      <c r="X212">
        <v>5</v>
      </c>
      <c r="Y212">
        <v>24</v>
      </c>
      <c r="Z212">
        <v>1341</v>
      </c>
    </row>
    <row r="213" spans="1:26" x14ac:dyDescent="0.35">
      <c r="A213" s="103" t="s">
        <v>263</v>
      </c>
      <c r="B213" t="s">
        <v>141</v>
      </c>
      <c r="C213" t="s">
        <v>496</v>
      </c>
      <c r="D213" t="s">
        <v>112</v>
      </c>
      <c r="E213" t="s">
        <v>170</v>
      </c>
      <c r="F213">
        <v>2</v>
      </c>
      <c r="G213">
        <v>0</v>
      </c>
      <c r="H213">
        <v>2</v>
      </c>
      <c r="I213">
        <v>2</v>
      </c>
      <c r="J213">
        <v>1</v>
      </c>
      <c r="K213">
        <v>1</v>
      </c>
      <c r="L213">
        <v>10</v>
      </c>
      <c r="M213">
        <v>0</v>
      </c>
      <c r="N213">
        <v>8</v>
      </c>
      <c r="O213">
        <v>9</v>
      </c>
      <c r="P213">
        <v>9</v>
      </c>
      <c r="Q213">
        <v>9</v>
      </c>
      <c r="R213">
        <v>553</v>
      </c>
      <c r="S213">
        <v>551</v>
      </c>
      <c r="T213">
        <v>396</v>
      </c>
      <c r="U213">
        <v>469</v>
      </c>
      <c r="V213">
        <v>405</v>
      </c>
      <c r="W213">
        <v>405</v>
      </c>
      <c r="X213">
        <v>2</v>
      </c>
      <c r="Y213">
        <v>10</v>
      </c>
      <c r="Z213">
        <v>554</v>
      </c>
    </row>
    <row r="214" spans="1:26" x14ac:dyDescent="0.35">
      <c r="A214" s="103" t="s">
        <v>263</v>
      </c>
      <c r="B214" t="s">
        <v>141</v>
      </c>
      <c r="C214" t="s">
        <v>497</v>
      </c>
      <c r="D214" t="s">
        <v>112</v>
      </c>
      <c r="E214" t="s">
        <v>170</v>
      </c>
      <c r="F214">
        <v>14</v>
      </c>
      <c r="G214">
        <v>0</v>
      </c>
      <c r="H214">
        <v>6</v>
      </c>
      <c r="I214">
        <v>9</v>
      </c>
      <c r="J214">
        <v>7</v>
      </c>
      <c r="K214">
        <v>7</v>
      </c>
      <c r="L214">
        <v>70</v>
      </c>
      <c r="M214">
        <v>0</v>
      </c>
      <c r="N214">
        <v>32</v>
      </c>
      <c r="O214">
        <v>54</v>
      </c>
      <c r="P214">
        <v>47</v>
      </c>
      <c r="Q214">
        <v>47</v>
      </c>
      <c r="R214">
        <v>3662</v>
      </c>
      <c r="S214">
        <v>3603</v>
      </c>
      <c r="T214">
        <v>2297</v>
      </c>
      <c r="U214">
        <v>2804</v>
      </c>
      <c r="V214">
        <v>2872</v>
      </c>
      <c r="W214">
        <v>2872</v>
      </c>
      <c r="X214">
        <v>14</v>
      </c>
      <c r="Y214">
        <v>70</v>
      </c>
      <c r="Z214">
        <v>3663</v>
      </c>
    </row>
    <row r="215" spans="1:26" x14ac:dyDescent="0.35">
      <c r="A215" s="103" t="s">
        <v>263</v>
      </c>
      <c r="B215" t="s">
        <v>141</v>
      </c>
      <c r="C215" t="s">
        <v>498</v>
      </c>
      <c r="D215" t="s">
        <v>112</v>
      </c>
      <c r="E215" t="s">
        <v>170</v>
      </c>
      <c r="F215">
        <v>3</v>
      </c>
      <c r="G215">
        <v>0</v>
      </c>
      <c r="H215">
        <v>2</v>
      </c>
      <c r="I215">
        <v>3</v>
      </c>
      <c r="J215">
        <v>2</v>
      </c>
      <c r="K215">
        <v>2</v>
      </c>
      <c r="L215">
        <v>14</v>
      </c>
      <c r="M215">
        <v>0</v>
      </c>
      <c r="N215">
        <v>12</v>
      </c>
      <c r="O215">
        <v>14</v>
      </c>
      <c r="P215">
        <v>12</v>
      </c>
      <c r="Q215">
        <v>12</v>
      </c>
      <c r="R215">
        <v>1040</v>
      </c>
      <c r="S215">
        <v>1029</v>
      </c>
      <c r="T215">
        <v>638</v>
      </c>
      <c r="U215">
        <v>778</v>
      </c>
      <c r="V215">
        <v>723</v>
      </c>
      <c r="W215">
        <v>724</v>
      </c>
      <c r="X215">
        <v>3</v>
      </c>
      <c r="Y215">
        <v>14</v>
      </c>
      <c r="Z215">
        <v>1040</v>
      </c>
    </row>
    <row r="216" spans="1:26" x14ac:dyDescent="0.35">
      <c r="A216" s="103" t="s">
        <v>263</v>
      </c>
      <c r="B216" t="s">
        <v>141</v>
      </c>
      <c r="C216" t="s">
        <v>499</v>
      </c>
      <c r="D216" t="s">
        <v>112</v>
      </c>
      <c r="E216" t="s">
        <v>170</v>
      </c>
      <c r="F216">
        <v>7</v>
      </c>
      <c r="G216">
        <v>0</v>
      </c>
      <c r="H216">
        <v>6</v>
      </c>
      <c r="I216">
        <v>7</v>
      </c>
      <c r="J216">
        <v>5</v>
      </c>
      <c r="K216">
        <v>5</v>
      </c>
      <c r="L216">
        <v>33</v>
      </c>
      <c r="M216">
        <v>0</v>
      </c>
      <c r="N216">
        <v>25</v>
      </c>
      <c r="O216">
        <v>28</v>
      </c>
      <c r="P216">
        <v>28</v>
      </c>
      <c r="Q216">
        <v>28</v>
      </c>
      <c r="R216" s="3">
        <v>1697</v>
      </c>
      <c r="S216" s="3">
        <v>1660</v>
      </c>
      <c r="T216">
        <v>1158</v>
      </c>
      <c r="U216" s="3">
        <v>1350</v>
      </c>
      <c r="V216">
        <v>1302</v>
      </c>
      <c r="W216">
        <v>1302</v>
      </c>
      <c r="X216">
        <v>7</v>
      </c>
      <c r="Y216">
        <v>33</v>
      </c>
      <c r="Z216" s="3">
        <v>1698</v>
      </c>
    </row>
    <row r="217" spans="1:26" x14ac:dyDescent="0.35">
      <c r="A217" s="103" t="s">
        <v>263</v>
      </c>
      <c r="B217" t="s">
        <v>141</v>
      </c>
      <c r="C217" t="s">
        <v>500</v>
      </c>
      <c r="D217" t="s">
        <v>112</v>
      </c>
      <c r="E217" t="s">
        <v>170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258</v>
      </c>
      <c r="S217">
        <v>257</v>
      </c>
      <c r="T217">
        <v>152</v>
      </c>
      <c r="U217">
        <v>196</v>
      </c>
      <c r="V217">
        <v>180</v>
      </c>
      <c r="W217">
        <v>180</v>
      </c>
      <c r="X217">
        <v>0</v>
      </c>
      <c r="Y217">
        <v>0</v>
      </c>
      <c r="Z217">
        <v>258</v>
      </c>
    </row>
    <row r="218" spans="1:26" x14ac:dyDescent="0.35">
      <c r="A218" s="103" t="s">
        <v>263</v>
      </c>
      <c r="B218" t="s">
        <v>141</v>
      </c>
      <c r="C218" t="s">
        <v>501</v>
      </c>
      <c r="D218" t="s">
        <v>112</v>
      </c>
      <c r="E218" t="s">
        <v>170</v>
      </c>
      <c r="F218">
        <v>2</v>
      </c>
      <c r="G218">
        <v>0</v>
      </c>
      <c r="H218">
        <v>2</v>
      </c>
      <c r="I218">
        <v>2</v>
      </c>
      <c r="J218">
        <v>1</v>
      </c>
      <c r="K218">
        <v>1</v>
      </c>
      <c r="L218">
        <v>8</v>
      </c>
      <c r="M218">
        <v>0</v>
      </c>
      <c r="N218">
        <v>8</v>
      </c>
      <c r="O218">
        <v>8</v>
      </c>
      <c r="P218">
        <v>7</v>
      </c>
      <c r="Q218">
        <v>7</v>
      </c>
      <c r="R218">
        <v>555</v>
      </c>
      <c r="S218">
        <v>549</v>
      </c>
      <c r="T218">
        <v>398</v>
      </c>
      <c r="U218">
        <v>462</v>
      </c>
      <c r="V218">
        <v>376</v>
      </c>
      <c r="W218">
        <v>376</v>
      </c>
      <c r="X218">
        <v>2</v>
      </c>
      <c r="Y218">
        <v>8</v>
      </c>
      <c r="Z218">
        <v>556</v>
      </c>
    </row>
    <row r="219" spans="1:26" x14ac:dyDescent="0.35">
      <c r="A219" s="103" t="s">
        <v>263</v>
      </c>
      <c r="B219" t="s">
        <v>141</v>
      </c>
      <c r="C219" t="s">
        <v>502</v>
      </c>
      <c r="D219" t="s">
        <v>112</v>
      </c>
      <c r="E219" t="s">
        <v>170</v>
      </c>
      <c r="F219">
        <v>7</v>
      </c>
      <c r="G219">
        <v>0</v>
      </c>
      <c r="H219">
        <v>2</v>
      </c>
      <c r="I219">
        <v>4</v>
      </c>
      <c r="J219">
        <v>6</v>
      </c>
      <c r="K219">
        <v>6</v>
      </c>
      <c r="L219">
        <v>35</v>
      </c>
      <c r="M219">
        <v>0</v>
      </c>
      <c r="N219">
        <v>24</v>
      </c>
      <c r="O219">
        <v>28</v>
      </c>
      <c r="P219">
        <v>28</v>
      </c>
      <c r="Q219">
        <v>28</v>
      </c>
      <c r="R219" s="3">
        <v>1941</v>
      </c>
      <c r="S219" s="3">
        <v>1936</v>
      </c>
      <c r="T219">
        <v>1324</v>
      </c>
      <c r="U219">
        <v>1617</v>
      </c>
      <c r="V219">
        <v>1647</v>
      </c>
      <c r="W219">
        <v>1647</v>
      </c>
      <c r="X219">
        <v>7</v>
      </c>
      <c r="Y219">
        <v>35</v>
      </c>
      <c r="Z219" s="3">
        <v>1941</v>
      </c>
    </row>
    <row r="220" spans="1:26" x14ac:dyDescent="0.35">
      <c r="A220" s="103" t="s">
        <v>263</v>
      </c>
      <c r="B220" t="s">
        <v>141</v>
      </c>
      <c r="C220" t="s">
        <v>503</v>
      </c>
      <c r="D220" t="s">
        <v>112</v>
      </c>
      <c r="E220" t="s">
        <v>170</v>
      </c>
      <c r="F220">
        <v>6</v>
      </c>
      <c r="G220">
        <v>0</v>
      </c>
      <c r="H220">
        <v>6</v>
      </c>
      <c r="I220">
        <v>6</v>
      </c>
      <c r="J220">
        <v>6</v>
      </c>
      <c r="K220">
        <v>6</v>
      </c>
      <c r="L220">
        <v>31</v>
      </c>
      <c r="M220">
        <v>0</v>
      </c>
      <c r="N220">
        <v>25</v>
      </c>
      <c r="O220">
        <v>29</v>
      </c>
      <c r="P220">
        <v>29</v>
      </c>
      <c r="Q220">
        <v>29</v>
      </c>
      <c r="R220">
        <v>2141</v>
      </c>
      <c r="S220">
        <v>2101</v>
      </c>
      <c r="T220">
        <v>1253</v>
      </c>
      <c r="U220">
        <v>1557</v>
      </c>
      <c r="V220">
        <v>1467</v>
      </c>
      <c r="W220">
        <v>1467</v>
      </c>
      <c r="X220">
        <v>6</v>
      </c>
      <c r="Y220">
        <v>31</v>
      </c>
      <c r="Z220">
        <v>2139</v>
      </c>
    </row>
    <row r="221" spans="1:26" x14ac:dyDescent="0.35">
      <c r="A221" s="103" t="s">
        <v>263</v>
      </c>
      <c r="B221" t="s">
        <v>141</v>
      </c>
      <c r="C221" t="s">
        <v>504</v>
      </c>
      <c r="D221" t="s">
        <v>112</v>
      </c>
      <c r="E221" t="s">
        <v>170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1</v>
      </c>
      <c r="M221">
        <v>0</v>
      </c>
      <c r="N221">
        <v>1</v>
      </c>
      <c r="O221">
        <v>1</v>
      </c>
      <c r="P221">
        <v>1</v>
      </c>
      <c r="Q221">
        <v>1</v>
      </c>
      <c r="R221">
        <v>311</v>
      </c>
      <c r="S221">
        <v>308</v>
      </c>
      <c r="T221">
        <v>204</v>
      </c>
      <c r="U221">
        <v>249</v>
      </c>
      <c r="V221">
        <v>248</v>
      </c>
      <c r="W221">
        <v>248</v>
      </c>
      <c r="X221">
        <v>0</v>
      </c>
      <c r="Y221">
        <v>1</v>
      </c>
      <c r="Z221">
        <v>311</v>
      </c>
    </row>
    <row r="222" spans="1:26" x14ac:dyDescent="0.35">
      <c r="A222" s="103" t="s">
        <v>263</v>
      </c>
      <c r="B222" t="s">
        <v>141</v>
      </c>
      <c r="C222" t="s">
        <v>505</v>
      </c>
      <c r="D222" t="s">
        <v>112</v>
      </c>
      <c r="E222" t="s">
        <v>170</v>
      </c>
      <c r="F222">
        <v>4</v>
      </c>
      <c r="G222">
        <v>0</v>
      </c>
      <c r="H222">
        <v>2</v>
      </c>
      <c r="I222">
        <v>4</v>
      </c>
      <c r="J222">
        <v>3</v>
      </c>
      <c r="K222">
        <v>3</v>
      </c>
      <c r="L222">
        <v>20</v>
      </c>
      <c r="M222">
        <v>0</v>
      </c>
      <c r="N222">
        <v>13</v>
      </c>
      <c r="O222">
        <v>19</v>
      </c>
      <c r="P222">
        <v>17</v>
      </c>
      <c r="Q222">
        <v>17</v>
      </c>
      <c r="R222">
        <v>1124</v>
      </c>
      <c r="S222">
        <v>1109</v>
      </c>
      <c r="T222">
        <v>639</v>
      </c>
      <c r="U222">
        <v>818</v>
      </c>
      <c r="V222">
        <v>833</v>
      </c>
      <c r="W222">
        <v>833</v>
      </c>
      <c r="X222">
        <v>4</v>
      </c>
      <c r="Y222">
        <v>20</v>
      </c>
      <c r="Z222">
        <v>1125</v>
      </c>
    </row>
    <row r="223" spans="1:26" x14ac:dyDescent="0.35">
      <c r="A223" s="103" t="s">
        <v>263</v>
      </c>
      <c r="B223" t="s">
        <v>141</v>
      </c>
      <c r="C223" t="s">
        <v>506</v>
      </c>
      <c r="D223" t="s">
        <v>112</v>
      </c>
      <c r="E223" t="s">
        <v>170</v>
      </c>
      <c r="F223">
        <v>2</v>
      </c>
      <c r="G223">
        <v>0</v>
      </c>
      <c r="H223">
        <v>1</v>
      </c>
      <c r="I223">
        <v>1</v>
      </c>
      <c r="J223">
        <v>1</v>
      </c>
      <c r="K223">
        <v>1</v>
      </c>
      <c r="L223">
        <v>10</v>
      </c>
      <c r="M223">
        <v>0</v>
      </c>
      <c r="N223">
        <v>9</v>
      </c>
      <c r="O223">
        <v>9</v>
      </c>
      <c r="P223">
        <v>9</v>
      </c>
      <c r="Q223">
        <v>9</v>
      </c>
      <c r="R223">
        <v>624</v>
      </c>
      <c r="S223">
        <v>616</v>
      </c>
      <c r="T223">
        <v>353</v>
      </c>
      <c r="U223">
        <v>434</v>
      </c>
      <c r="V223">
        <v>463</v>
      </c>
      <c r="W223">
        <v>463</v>
      </c>
      <c r="X223">
        <v>2</v>
      </c>
      <c r="Y223">
        <v>10</v>
      </c>
      <c r="Z223">
        <v>624</v>
      </c>
    </row>
    <row r="224" spans="1:26" x14ac:dyDescent="0.35">
      <c r="A224" s="103" t="s">
        <v>263</v>
      </c>
      <c r="B224" t="s">
        <v>141</v>
      </c>
      <c r="C224" t="s">
        <v>507</v>
      </c>
      <c r="D224" t="s">
        <v>112</v>
      </c>
      <c r="E224" t="s">
        <v>170</v>
      </c>
      <c r="F224">
        <v>6</v>
      </c>
      <c r="G224">
        <v>0</v>
      </c>
      <c r="H224">
        <v>4</v>
      </c>
      <c r="I224">
        <v>5</v>
      </c>
      <c r="J224">
        <v>3</v>
      </c>
      <c r="K224">
        <v>3</v>
      </c>
      <c r="L224">
        <v>30</v>
      </c>
      <c r="M224">
        <v>0</v>
      </c>
      <c r="N224">
        <v>14</v>
      </c>
      <c r="O224">
        <v>19</v>
      </c>
      <c r="P224">
        <v>20</v>
      </c>
      <c r="Q224">
        <v>20</v>
      </c>
      <c r="R224" s="3">
        <v>1501</v>
      </c>
      <c r="S224" s="3">
        <v>1486</v>
      </c>
      <c r="T224" s="3">
        <v>766</v>
      </c>
      <c r="U224" s="3">
        <v>1041</v>
      </c>
      <c r="V224" s="3">
        <v>953</v>
      </c>
      <c r="W224" s="3">
        <v>953</v>
      </c>
      <c r="X224">
        <v>6</v>
      </c>
      <c r="Y224">
        <v>30</v>
      </c>
      <c r="Z224" s="3">
        <v>1502</v>
      </c>
    </row>
    <row r="225" spans="1:26" x14ac:dyDescent="0.35">
      <c r="A225" s="103" t="s">
        <v>263</v>
      </c>
      <c r="B225" t="s">
        <v>141</v>
      </c>
      <c r="C225" t="s">
        <v>508</v>
      </c>
      <c r="D225" t="s">
        <v>112</v>
      </c>
      <c r="E225" t="s">
        <v>170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53</v>
      </c>
      <c r="S225">
        <v>53</v>
      </c>
      <c r="T225">
        <v>44</v>
      </c>
      <c r="U225">
        <v>50</v>
      </c>
      <c r="V225">
        <v>48</v>
      </c>
      <c r="W225">
        <v>48</v>
      </c>
      <c r="X225">
        <v>0</v>
      </c>
      <c r="Y225">
        <v>0</v>
      </c>
      <c r="Z225">
        <v>53</v>
      </c>
    </row>
    <row r="226" spans="1:26" x14ac:dyDescent="0.35">
      <c r="A226" s="103" t="s">
        <v>263</v>
      </c>
      <c r="B226" t="s">
        <v>141</v>
      </c>
      <c r="C226" t="s">
        <v>509</v>
      </c>
      <c r="D226" t="s">
        <v>112</v>
      </c>
      <c r="E226" t="s">
        <v>170</v>
      </c>
      <c r="F226">
        <v>6</v>
      </c>
      <c r="G226">
        <v>0</v>
      </c>
      <c r="H226">
        <v>5</v>
      </c>
      <c r="I226">
        <v>6</v>
      </c>
      <c r="J226">
        <v>5</v>
      </c>
      <c r="K226">
        <v>5</v>
      </c>
      <c r="L226">
        <v>33</v>
      </c>
      <c r="M226">
        <v>0</v>
      </c>
      <c r="N226">
        <v>20</v>
      </c>
      <c r="O226">
        <v>26</v>
      </c>
      <c r="P226">
        <v>28</v>
      </c>
      <c r="Q226">
        <v>28</v>
      </c>
      <c r="R226" s="3">
        <v>1746</v>
      </c>
      <c r="S226" s="3">
        <v>1693</v>
      </c>
      <c r="T226" s="3">
        <v>1190</v>
      </c>
      <c r="U226" s="3">
        <v>1435</v>
      </c>
      <c r="V226" s="3">
        <v>1255</v>
      </c>
      <c r="W226" s="3">
        <v>1256</v>
      </c>
      <c r="X226">
        <v>6</v>
      </c>
      <c r="Y226">
        <v>33</v>
      </c>
      <c r="Z226" s="3">
        <v>1751</v>
      </c>
    </row>
    <row r="227" spans="1:26" x14ac:dyDescent="0.35">
      <c r="A227" s="103" t="s">
        <v>263</v>
      </c>
      <c r="B227" t="s">
        <v>141</v>
      </c>
      <c r="C227" t="s">
        <v>510</v>
      </c>
      <c r="D227" t="s">
        <v>112</v>
      </c>
      <c r="E227" t="s">
        <v>170</v>
      </c>
      <c r="F227">
        <v>3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14</v>
      </c>
      <c r="M227">
        <v>0</v>
      </c>
      <c r="N227">
        <v>7</v>
      </c>
      <c r="O227">
        <v>10</v>
      </c>
      <c r="P227">
        <v>8</v>
      </c>
      <c r="Q227">
        <v>8</v>
      </c>
      <c r="R227">
        <v>504</v>
      </c>
      <c r="S227">
        <v>501</v>
      </c>
      <c r="T227">
        <v>330</v>
      </c>
      <c r="U227">
        <v>417</v>
      </c>
      <c r="V227">
        <v>352</v>
      </c>
      <c r="W227">
        <v>352</v>
      </c>
      <c r="X227">
        <v>3</v>
      </c>
      <c r="Y227">
        <v>14</v>
      </c>
      <c r="Z227">
        <v>503</v>
      </c>
    </row>
    <row r="228" spans="1:26" x14ac:dyDescent="0.35">
      <c r="A228" s="103" t="s">
        <v>263</v>
      </c>
      <c r="B228" t="s">
        <v>141</v>
      </c>
      <c r="C228" t="s">
        <v>511</v>
      </c>
      <c r="D228" t="s">
        <v>112</v>
      </c>
      <c r="E228" t="s">
        <v>170</v>
      </c>
      <c r="F228">
        <v>1</v>
      </c>
      <c r="G228">
        <v>0</v>
      </c>
      <c r="H228">
        <v>0</v>
      </c>
      <c r="I228">
        <v>1</v>
      </c>
      <c r="J228">
        <v>1</v>
      </c>
      <c r="K228">
        <v>1</v>
      </c>
      <c r="L228">
        <v>8</v>
      </c>
      <c r="M228">
        <v>0</v>
      </c>
      <c r="N228">
        <v>4</v>
      </c>
      <c r="O228">
        <v>6</v>
      </c>
      <c r="P228">
        <v>7</v>
      </c>
      <c r="Q228">
        <v>7</v>
      </c>
      <c r="R228">
        <v>529</v>
      </c>
      <c r="S228">
        <v>516</v>
      </c>
      <c r="T228">
        <v>302</v>
      </c>
      <c r="U228">
        <v>398</v>
      </c>
      <c r="V228">
        <v>389</v>
      </c>
      <c r="W228">
        <v>389</v>
      </c>
      <c r="X228">
        <v>1</v>
      </c>
      <c r="Y228">
        <v>8</v>
      </c>
      <c r="Z228">
        <v>529</v>
      </c>
    </row>
    <row r="229" spans="1:26" x14ac:dyDescent="0.35">
      <c r="A229" s="103" t="s">
        <v>263</v>
      </c>
      <c r="B229" t="s">
        <v>141</v>
      </c>
      <c r="C229" t="s">
        <v>512</v>
      </c>
      <c r="D229" t="s">
        <v>112</v>
      </c>
      <c r="E229" t="s">
        <v>170</v>
      </c>
      <c r="F229">
        <v>2</v>
      </c>
      <c r="G229">
        <v>0</v>
      </c>
      <c r="H229">
        <v>2</v>
      </c>
      <c r="I229">
        <v>2</v>
      </c>
      <c r="J229">
        <v>1</v>
      </c>
      <c r="K229">
        <v>1</v>
      </c>
      <c r="L229">
        <v>10</v>
      </c>
      <c r="M229">
        <v>0</v>
      </c>
      <c r="N229">
        <v>6</v>
      </c>
      <c r="O229">
        <v>8</v>
      </c>
      <c r="P229">
        <v>6</v>
      </c>
      <c r="Q229">
        <v>6</v>
      </c>
      <c r="R229">
        <v>853</v>
      </c>
      <c r="S229">
        <v>840</v>
      </c>
      <c r="T229">
        <v>464</v>
      </c>
      <c r="U229">
        <v>600</v>
      </c>
      <c r="V229">
        <v>534</v>
      </c>
      <c r="W229">
        <v>534</v>
      </c>
      <c r="X229">
        <v>2</v>
      </c>
      <c r="Y229">
        <v>10</v>
      </c>
      <c r="Z229">
        <v>852</v>
      </c>
    </row>
    <row r="230" spans="1:26" x14ac:dyDescent="0.35">
      <c r="A230" s="103" t="s">
        <v>263</v>
      </c>
      <c r="B230" t="s">
        <v>140</v>
      </c>
      <c r="C230" t="s">
        <v>513</v>
      </c>
      <c r="D230" t="s">
        <v>112</v>
      </c>
      <c r="E230" t="s">
        <v>170</v>
      </c>
      <c r="F230">
        <v>2</v>
      </c>
      <c r="G230">
        <v>0</v>
      </c>
      <c r="H230">
        <v>2</v>
      </c>
      <c r="I230">
        <v>2</v>
      </c>
      <c r="J230">
        <v>2</v>
      </c>
      <c r="K230">
        <v>2</v>
      </c>
      <c r="L230">
        <v>11</v>
      </c>
      <c r="M230">
        <v>0</v>
      </c>
      <c r="N230">
        <v>10</v>
      </c>
      <c r="O230">
        <v>10</v>
      </c>
      <c r="P230">
        <v>7</v>
      </c>
      <c r="Q230">
        <v>7</v>
      </c>
      <c r="R230" s="3">
        <v>451</v>
      </c>
      <c r="S230" s="3">
        <v>447</v>
      </c>
      <c r="T230" s="3">
        <v>245</v>
      </c>
      <c r="U230" s="3">
        <v>343</v>
      </c>
      <c r="V230" s="3">
        <v>398</v>
      </c>
      <c r="W230" s="3">
        <v>398</v>
      </c>
      <c r="X230">
        <v>2</v>
      </c>
      <c r="Y230">
        <v>11</v>
      </c>
      <c r="Z230" s="3">
        <v>452</v>
      </c>
    </row>
    <row r="231" spans="1:26" x14ac:dyDescent="0.35">
      <c r="A231" s="103"/>
    </row>
    <row r="232" spans="1:26" x14ac:dyDescent="0.35">
      <c r="A232" s="103"/>
      <c r="R232" s="3"/>
      <c r="S232" s="3"/>
      <c r="Z232" s="3"/>
    </row>
    <row r="233" spans="1:26" x14ac:dyDescent="0.35">
      <c r="A233" s="103"/>
      <c r="R233" s="3"/>
      <c r="S233" s="3"/>
      <c r="T233" s="3"/>
      <c r="U233" s="3"/>
      <c r="V233" s="3"/>
      <c r="W233" s="3"/>
      <c r="Z233" s="3"/>
    </row>
    <row r="234" spans="1:26" x14ac:dyDescent="0.35">
      <c r="A234" s="103"/>
    </row>
    <row r="235" spans="1:26" x14ac:dyDescent="0.35">
      <c r="A235" s="103"/>
      <c r="R235" s="3"/>
      <c r="S235" s="3"/>
      <c r="Z235" s="3"/>
    </row>
    <row r="236" spans="1:26" x14ac:dyDescent="0.35">
      <c r="A236" s="103"/>
      <c r="R236" s="3"/>
      <c r="S236" s="3"/>
      <c r="U236" s="3"/>
      <c r="Z236" s="3"/>
    </row>
    <row r="237" spans="1:26" x14ac:dyDescent="0.35">
      <c r="A237" s="103"/>
    </row>
    <row r="238" spans="1:26" x14ac:dyDescent="0.35">
      <c r="A238" s="103"/>
    </row>
    <row r="239" spans="1:26" x14ac:dyDescent="0.35">
      <c r="A239" s="103"/>
    </row>
    <row r="240" spans="1:26" x14ac:dyDescent="0.35">
      <c r="A240" s="103"/>
      <c r="R240" s="3"/>
      <c r="S240" s="3"/>
      <c r="Z240" s="3"/>
    </row>
    <row r="241" spans="1:26" x14ac:dyDescent="0.35">
      <c r="A241" s="103"/>
    </row>
    <row r="242" spans="1:26" x14ac:dyDescent="0.35">
      <c r="A242" s="103"/>
    </row>
    <row r="243" spans="1:26" x14ac:dyDescent="0.35">
      <c r="A243" s="103"/>
    </row>
    <row r="244" spans="1:26" x14ac:dyDescent="0.35">
      <c r="A244" s="103"/>
      <c r="R244" s="3"/>
      <c r="S244" s="3"/>
      <c r="T244" s="3"/>
      <c r="U244" s="3"/>
      <c r="V244" s="3"/>
      <c r="W244" s="3"/>
      <c r="Z244" s="3"/>
    </row>
    <row r="245" spans="1:26" x14ac:dyDescent="0.35">
      <c r="A245" s="103"/>
    </row>
    <row r="246" spans="1:26" x14ac:dyDescent="0.35">
      <c r="A246" s="103"/>
    </row>
    <row r="247" spans="1:26" x14ac:dyDescent="0.35">
      <c r="A247" s="103"/>
    </row>
    <row r="248" spans="1:26" x14ac:dyDescent="0.35">
      <c r="A248" s="103"/>
      <c r="R248" s="3"/>
      <c r="S248" s="3"/>
      <c r="U248" s="3"/>
      <c r="V248" s="3"/>
      <c r="W248" s="3"/>
      <c r="Z248" s="3"/>
    </row>
    <row r="249" spans="1:26" x14ac:dyDescent="0.35">
      <c r="A249" s="103"/>
      <c r="R249" s="3"/>
      <c r="S249" s="3"/>
      <c r="T249" s="3"/>
      <c r="U249" s="3"/>
      <c r="V249" s="3"/>
      <c r="W249" s="3"/>
      <c r="Z249" s="3"/>
    </row>
    <row r="250" spans="1:26" x14ac:dyDescent="0.35">
      <c r="A250" s="103"/>
    </row>
    <row r="251" spans="1:26" x14ac:dyDescent="0.35">
      <c r="A251" s="103"/>
    </row>
    <row r="252" spans="1:26" x14ac:dyDescent="0.35">
      <c r="A252" s="103"/>
    </row>
    <row r="253" spans="1:26" x14ac:dyDescent="0.35">
      <c r="A253" s="103"/>
      <c r="R253" s="3"/>
      <c r="S253" s="3"/>
      <c r="T253" s="3"/>
      <c r="U253" s="3"/>
      <c r="V253" s="3"/>
      <c r="W253" s="3"/>
      <c r="Z253" s="3"/>
    </row>
    <row r="254" spans="1:26" x14ac:dyDescent="0.35">
      <c r="A254" s="103"/>
    </row>
    <row r="255" spans="1:26" x14ac:dyDescent="0.35">
      <c r="A255" s="10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9"/>
  <dimension ref="A1:R5"/>
  <sheetViews>
    <sheetView workbookViewId="0">
      <selection activeCell="A2" sqref="A2:R5"/>
    </sheetView>
  </sheetViews>
  <sheetFormatPr defaultRowHeight="14.5" x14ac:dyDescent="0.35"/>
  <sheetData>
    <row r="1" spans="1:18" x14ac:dyDescent="0.35">
      <c r="A1" t="s">
        <v>514</v>
      </c>
      <c r="B1" t="s">
        <v>515</v>
      </c>
      <c r="C1" t="s">
        <v>516</v>
      </c>
      <c r="D1" t="s">
        <v>517</v>
      </c>
      <c r="E1" t="s">
        <v>518</v>
      </c>
      <c r="F1" t="s">
        <v>519</v>
      </c>
      <c r="G1" t="s">
        <v>520</v>
      </c>
      <c r="H1" t="s">
        <v>521</v>
      </c>
      <c r="I1" t="s">
        <v>522</v>
      </c>
      <c r="J1" t="s">
        <v>523</v>
      </c>
      <c r="K1" t="s">
        <v>524</v>
      </c>
      <c r="L1" t="s">
        <v>525</v>
      </c>
      <c r="M1" t="s">
        <v>526</v>
      </c>
      <c r="N1" t="s">
        <v>527</v>
      </c>
      <c r="O1" t="s">
        <v>528</v>
      </c>
      <c r="P1" t="s">
        <v>529</v>
      </c>
      <c r="Q1" t="s">
        <v>530</v>
      </c>
      <c r="R1" t="s">
        <v>531</v>
      </c>
    </row>
    <row r="2" spans="1:18" x14ac:dyDescent="0.35">
      <c r="A2" t="s">
        <v>532</v>
      </c>
      <c r="B2">
        <v>167</v>
      </c>
      <c r="C2">
        <v>301</v>
      </c>
      <c r="D2">
        <v>468</v>
      </c>
      <c r="E2">
        <v>39</v>
      </c>
      <c r="F2">
        <v>13</v>
      </c>
      <c r="G2">
        <v>17</v>
      </c>
      <c r="H2">
        <v>1</v>
      </c>
      <c r="I2">
        <v>18</v>
      </c>
      <c r="J2">
        <v>6</v>
      </c>
      <c r="K2">
        <v>3</v>
      </c>
      <c r="L2">
        <v>4</v>
      </c>
      <c r="M2" s="3">
        <v>1973</v>
      </c>
      <c r="N2">
        <v>8.4642676127724208</v>
      </c>
      <c r="O2">
        <v>15.255955397871199</v>
      </c>
      <c r="P2">
        <v>23.720223010643601</v>
      </c>
      <c r="Q2">
        <v>1.9766852508869699</v>
      </c>
      <c r="R2">
        <v>0.65889508362899096</v>
      </c>
    </row>
    <row r="3" spans="1:18" x14ac:dyDescent="0.35">
      <c r="A3" t="s">
        <v>3</v>
      </c>
      <c r="B3" s="3">
        <v>1014</v>
      </c>
      <c r="C3" s="3">
        <v>1442</v>
      </c>
      <c r="D3" s="3">
        <v>2456</v>
      </c>
      <c r="E3">
        <v>241</v>
      </c>
      <c r="F3">
        <v>85</v>
      </c>
      <c r="G3">
        <v>74</v>
      </c>
      <c r="H3">
        <v>47</v>
      </c>
      <c r="I3">
        <v>86</v>
      </c>
      <c r="J3">
        <v>27</v>
      </c>
      <c r="K3">
        <v>24</v>
      </c>
      <c r="L3">
        <v>34</v>
      </c>
      <c r="M3" s="3">
        <v>9835</v>
      </c>
      <c r="N3">
        <v>10.310116929334001</v>
      </c>
      <c r="O3">
        <v>14.661921708185</v>
      </c>
      <c r="P3">
        <v>24.972038637518999</v>
      </c>
      <c r="Q3">
        <v>2.4504321301474299</v>
      </c>
      <c r="R3">
        <v>0.864260294865277</v>
      </c>
    </row>
    <row r="4" spans="1:18" x14ac:dyDescent="0.35">
      <c r="A4" t="s">
        <v>239</v>
      </c>
      <c r="B4" s="3">
        <v>1438</v>
      </c>
      <c r="C4" s="3">
        <v>2279</v>
      </c>
      <c r="D4" s="3">
        <v>3717</v>
      </c>
      <c r="E4">
        <v>351</v>
      </c>
      <c r="F4">
        <v>153</v>
      </c>
      <c r="G4">
        <v>117</v>
      </c>
      <c r="H4">
        <v>59</v>
      </c>
      <c r="I4">
        <v>125</v>
      </c>
      <c r="J4">
        <v>50</v>
      </c>
      <c r="K4">
        <v>48</v>
      </c>
      <c r="L4">
        <v>55</v>
      </c>
      <c r="M4" s="3">
        <v>13910</v>
      </c>
      <c r="N4">
        <v>10.337886412652701</v>
      </c>
      <c r="O4">
        <v>16.383896477354401</v>
      </c>
      <c r="P4">
        <v>26.721782890007098</v>
      </c>
      <c r="Q4">
        <v>2.5233644859813</v>
      </c>
      <c r="R4">
        <v>1.0999281092738999</v>
      </c>
    </row>
    <row r="5" spans="1:18" x14ac:dyDescent="0.35">
      <c r="A5">
        <v>2019</v>
      </c>
      <c r="B5" s="3">
        <v>1096</v>
      </c>
      <c r="C5" s="3">
        <v>1936</v>
      </c>
      <c r="D5" s="3">
        <v>3032</v>
      </c>
      <c r="E5" s="3">
        <v>519</v>
      </c>
      <c r="F5">
        <v>171</v>
      </c>
      <c r="G5">
        <v>119</v>
      </c>
      <c r="H5">
        <v>73</v>
      </c>
      <c r="I5">
        <v>138</v>
      </c>
      <c r="J5">
        <v>67</v>
      </c>
      <c r="K5">
        <v>17</v>
      </c>
      <c r="L5">
        <v>87</v>
      </c>
      <c r="M5" s="3">
        <v>13933</v>
      </c>
      <c r="N5">
        <v>7.8662168951410303</v>
      </c>
      <c r="O5">
        <v>13.8950692600301</v>
      </c>
      <c r="P5">
        <v>21.761286155171099</v>
      </c>
      <c r="Q5">
        <v>3.7249694968779101</v>
      </c>
      <c r="R5">
        <v>1.2273020885667101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2D6E8-E548-4D60-90BC-AE0B77CA8969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0"/>
  <dimension ref="A1:G9"/>
  <sheetViews>
    <sheetView workbookViewId="0">
      <selection activeCell="E12" sqref="E12"/>
    </sheetView>
  </sheetViews>
  <sheetFormatPr defaultRowHeight="14.5" x14ac:dyDescent="0.35"/>
  <sheetData>
    <row r="1" spans="1:7" ht="15" thickBot="1" x14ac:dyDescent="0.4">
      <c r="A1" s="178" t="s">
        <v>274</v>
      </c>
      <c r="B1" s="178" t="s">
        <v>275</v>
      </c>
      <c r="C1" s="178" t="s">
        <v>276</v>
      </c>
      <c r="D1" s="178" t="s">
        <v>219</v>
      </c>
      <c r="E1" s="178" t="s">
        <v>220</v>
      </c>
      <c r="F1" s="178" t="s">
        <v>221</v>
      </c>
    </row>
    <row r="2" spans="1:7" ht="15" thickBot="1" x14ac:dyDescent="0.4">
      <c r="A2" s="190" t="s">
        <v>92</v>
      </c>
      <c r="B2" s="190" t="s">
        <v>113</v>
      </c>
      <c r="C2" s="190" t="s">
        <v>533</v>
      </c>
      <c r="D2" s="190">
        <v>1410</v>
      </c>
      <c r="E2" s="190">
        <v>1104</v>
      </c>
      <c r="F2" s="190">
        <v>1395</v>
      </c>
      <c r="G2" s="190"/>
    </row>
    <row r="3" spans="1:7" ht="15" thickBot="1" x14ac:dyDescent="0.4">
      <c r="A3" s="191" t="s">
        <v>140</v>
      </c>
      <c r="B3" s="191" t="s">
        <v>113</v>
      </c>
      <c r="C3" s="191" t="s">
        <v>533</v>
      </c>
      <c r="D3" s="191">
        <v>61</v>
      </c>
      <c r="E3" s="191">
        <v>47</v>
      </c>
      <c r="F3" s="191">
        <v>61</v>
      </c>
      <c r="G3" s="191"/>
    </row>
    <row r="4" spans="1:7" ht="15" thickBot="1" x14ac:dyDescent="0.4">
      <c r="A4" s="192" t="s">
        <v>92</v>
      </c>
      <c r="B4" s="192" t="s">
        <v>152</v>
      </c>
      <c r="C4" s="192" t="s">
        <v>533</v>
      </c>
      <c r="D4" s="192">
        <v>500</v>
      </c>
      <c r="E4" s="192">
        <v>321</v>
      </c>
      <c r="F4" s="192">
        <v>473</v>
      </c>
      <c r="G4" s="192"/>
    </row>
    <row r="5" spans="1:7" ht="15" thickBot="1" x14ac:dyDescent="0.4">
      <c r="A5" s="191" t="s">
        <v>141</v>
      </c>
      <c r="B5" s="191" t="s">
        <v>114</v>
      </c>
      <c r="C5" s="191" t="s">
        <v>533</v>
      </c>
      <c r="D5" s="191">
        <v>837</v>
      </c>
      <c r="E5" s="191">
        <v>690</v>
      </c>
      <c r="F5" s="191">
        <v>836</v>
      </c>
      <c r="G5" s="191"/>
    </row>
    <row r="6" spans="1:7" ht="15" thickBot="1" x14ac:dyDescent="0.4">
      <c r="A6" s="192" t="s">
        <v>141</v>
      </c>
      <c r="B6" s="192" t="s">
        <v>113</v>
      </c>
      <c r="C6" s="192" t="s">
        <v>533</v>
      </c>
      <c r="D6" s="192">
        <v>1356</v>
      </c>
      <c r="E6" s="192">
        <v>1080</v>
      </c>
      <c r="F6" s="192">
        <v>1334</v>
      </c>
      <c r="G6" s="192"/>
    </row>
    <row r="7" spans="1:7" ht="15" thickBot="1" x14ac:dyDescent="0.4">
      <c r="A7" s="191" t="s">
        <v>92</v>
      </c>
      <c r="B7" s="191" t="s">
        <v>114</v>
      </c>
      <c r="C7" s="191" t="s">
        <v>533</v>
      </c>
      <c r="D7" s="191">
        <v>827</v>
      </c>
      <c r="E7" s="191">
        <v>658</v>
      </c>
      <c r="F7" s="191">
        <v>827</v>
      </c>
      <c r="G7" s="191"/>
    </row>
    <row r="8" spans="1:7" ht="15" thickBot="1" x14ac:dyDescent="0.4">
      <c r="A8" s="192" t="s">
        <v>140</v>
      </c>
      <c r="B8" s="192" t="s">
        <v>114</v>
      </c>
      <c r="C8" s="192" t="s">
        <v>533</v>
      </c>
      <c r="D8" s="192">
        <v>35</v>
      </c>
      <c r="E8" s="192">
        <v>24</v>
      </c>
      <c r="F8" s="192">
        <v>35</v>
      </c>
      <c r="G8" s="192"/>
    </row>
    <row r="9" spans="1:7" ht="15" thickBot="1" x14ac:dyDescent="0.4">
      <c r="A9" s="193"/>
      <c r="B9" s="17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6</vt:i4>
      </vt:variant>
    </vt:vector>
  </HeadingPairs>
  <TitlesOfParts>
    <vt:vector size="40" baseType="lpstr">
      <vt:lpstr>PDF_page</vt:lpstr>
      <vt:lpstr>HTML_NAME</vt:lpstr>
      <vt:lpstr>PAGE_1 (2)</vt:lpstr>
      <vt:lpstr>PAGE_1 (4)</vt:lpstr>
      <vt:lpstr>PAGE_1</vt:lpstr>
      <vt:lpstr>PAGE_1_old</vt:lpstr>
      <vt:lpstr>Pg1</vt:lpstr>
      <vt:lpstr>Pg2</vt:lpstr>
      <vt:lpstr>RANK</vt:lpstr>
      <vt:lpstr>ES_MATRIX</vt:lpstr>
      <vt:lpstr>EX_Goals</vt:lpstr>
      <vt:lpstr>UA_SQL_1</vt:lpstr>
      <vt:lpstr>UA_L7D</vt:lpstr>
      <vt:lpstr>UA_SQL_1_2019</vt:lpstr>
      <vt:lpstr>OA_SQL_1</vt:lpstr>
      <vt:lpstr>CNXL_SQL_2</vt:lpstr>
      <vt:lpstr>RES_CNXL_SQL_3</vt:lpstr>
      <vt:lpstr>SCH_DEP_SQL_4</vt:lpstr>
      <vt:lpstr>DIVERTS_SQL_5_2019</vt:lpstr>
      <vt:lpstr>TOTAL_DIVERTS_SQL_5</vt:lpstr>
      <vt:lpstr>UA_HUB_SQL_7</vt:lpstr>
      <vt:lpstr>UA_SeatCnxl_2019</vt:lpstr>
      <vt:lpstr>UA_Seat_cancels</vt:lpstr>
      <vt:lpstr>RECOVERED_DIVERTS_2019</vt:lpstr>
      <vt:lpstr>OA_SQL_2</vt:lpstr>
      <vt:lpstr>OA_SeatCnxl</vt:lpstr>
      <vt:lpstr>DIVERTS_RECOVERED_SQL_6</vt:lpstr>
      <vt:lpstr>FLIGHTS_NOT_DEPARTED_SQL_8</vt:lpstr>
      <vt:lpstr>REPOSITIONED_FLIGHTS_SQL_13</vt:lpstr>
      <vt:lpstr>UA_Line</vt:lpstr>
      <vt:lpstr>Delays_Info</vt:lpstr>
      <vt:lpstr>Sheet3</vt:lpstr>
      <vt:lpstr>Sheet2</vt:lpstr>
      <vt:lpstr>OA_Line</vt:lpstr>
      <vt:lpstr>PAGE_1!Print_Area</vt:lpstr>
      <vt:lpstr>'PAGE_1 (2)'!Print_Area</vt:lpstr>
      <vt:lpstr>'PAGE_1 (4)'!Print_Area</vt:lpstr>
      <vt:lpstr>PAGE_1_old!Print_Area</vt:lpstr>
      <vt:lpstr>'Pg1'!Print_Area</vt:lpstr>
      <vt:lpstr>'Pg2'!Print_Area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Hulen, Matt</dc:creator>
  <cp:keywords/>
  <dc:description/>
  <cp:lastModifiedBy>Singh, Harmanpreet</cp:lastModifiedBy>
  <cp:revision/>
  <dcterms:created xsi:type="dcterms:W3CDTF">2019-08-12T13:11:40Z</dcterms:created>
  <dcterms:modified xsi:type="dcterms:W3CDTF">2025-11-11T09:57:47Z</dcterms:modified>
  <cp:category/>
  <cp:contentStatus/>
</cp:coreProperties>
</file>