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comments/comment5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6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780" yWindow="2800" windowWidth="14400" windowHeight="7280" tabRatio="985" firstSheet="4" activeTab="4" autoFilterDateGrouping="1"/>
  </bookViews>
  <sheets>
    <sheet xmlns:r="http://schemas.openxmlformats.org/officeDocument/2006/relationships" name="PDF_page" sheetId="1" state="hidden" r:id="rId1"/>
    <sheet xmlns:r="http://schemas.openxmlformats.org/officeDocument/2006/relationships" name="HTML_NAME" sheetId="2" state="hidden" r:id="rId2"/>
    <sheet xmlns:r="http://schemas.openxmlformats.org/officeDocument/2006/relationships" name="PAGE_1 (2)" sheetId="3" state="hidden" r:id="rId3"/>
    <sheet xmlns:r="http://schemas.openxmlformats.org/officeDocument/2006/relationships" name="PAGE_1 (4)" sheetId="4" state="hidden" r:id="rId4"/>
    <sheet xmlns:r="http://schemas.openxmlformats.org/officeDocument/2006/relationships" name="PAGE_1" sheetId="5" state="visible" r:id="rId5"/>
    <sheet xmlns:r="http://schemas.openxmlformats.org/officeDocument/2006/relationships" name="PAGE_1_old" sheetId="6" state="hidden" r:id="rId6"/>
    <sheet xmlns:r="http://schemas.openxmlformats.org/officeDocument/2006/relationships" name="Pg1" sheetId="7" state="visible" r:id="rId7"/>
    <sheet xmlns:r="http://schemas.openxmlformats.org/officeDocument/2006/relationships" name="Pg2" sheetId="8" state="visible" r:id="rId8"/>
    <sheet xmlns:r="http://schemas.openxmlformats.org/officeDocument/2006/relationships" name="RANK" sheetId="9" state="visible" r:id="rId9"/>
    <sheet xmlns:r="http://schemas.openxmlformats.org/officeDocument/2006/relationships" name="ES_MATRIX" sheetId="10" state="visible" r:id="rId10"/>
    <sheet xmlns:r="http://schemas.openxmlformats.org/officeDocument/2006/relationships" name="EX_Goals" sheetId="11" state="visible" r:id="rId11"/>
    <sheet xmlns:r="http://schemas.openxmlformats.org/officeDocument/2006/relationships" name="OA_SQL_1" sheetId="12" state="visible" r:id="rId12"/>
    <sheet xmlns:r="http://schemas.openxmlformats.org/officeDocument/2006/relationships" name="TOTAL_DIVERTS_SQL_5" sheetId="13" state="visible" r:id="rId13"/>
    <sheet xmlns:r="http://schemas.openxmlformats.org/officeDocument/2006/relationships" name="OA_SQL_2" sheetId="14" state="visible" r:id="rId14"/>
    <sheet xmlns:r="http://schemas.openxmlformats.org/officeDocument/2006/relationships" name="OA_SeatCnxl" sheetId="15" state="visible" r:id="rId15"/>
    <sheet xmlns:r="http://schemas.openxmlformats.org/officeDocument/2006/relationships" name="DIVERTS_RECOVERED_SQL_6" sheetId="16" state="visible" r:id="rId16"/>
    <sheet xmlns:r="http://schemas.openxmlformats.org/officeDocument/2006/relationships" name="REPOSITIONED_FLIGHTS_SQL_13" sheetId="17" state="visible" r:id="rId17"/>
    <sheet xmlns:r="http://schemas.openxmlformats.org/officeDocument/2006/relationships" name="Delays_Info" sheetId="18" state="visible" r:id="rId18"/>
    <sheet xmlns:r="http://schemas.openxmlformats.org/officeDocument/2006/relationships" name="Sheet2" sheetId="19" state="visible" r:id="rId19"/>
    <sheet xmlns:r="http://schemas.openxmlformats.org/officeDocument/2006/relationships" name="OA_Line" sheetId="20" state="visible" r:id="rId20"/>
    <sheet xmlns:r="http://schemas.openxmlformats.org/officeDocument/2006/relationships" name="UA_SQL_1" sheetId="21" state="visible" r:id="rId21"/>
    <sheet xmlns:r="http://schemas.openxmlformats.org/officeDocument/2006/relationships" name="CNXL_SQL_2" sheetId="22" state="visible" r:id="rId22"/>
    <sheet xmlns:r="http://schemas.openxmlformats.org/officeDocument/2006/relationships" name="RES_CNXL_SQL_3" sheetId="23" state="visible" r:id="rId23"/>
    <sheet xmlns:r="http://schemas.openxmlformats.org/officeDocument/2006/relationships" name="SCH_DEP_SQL_4" sheetId="24" state="visible" r:id="rId24"/>
    <sheet xmlns:r="http://schemas.openxmlformats.org/officeDocument/2006/relationships" name="DIVERTS_SQL_5" sheetId="25" state="visible" r:id="rId25"/>
    <sheet xmlns:r="http://schemas.openxmlformats.org/officeDocument/2006/relationships" name="RECOVERED_DIVERTS_SQL_6" sheetId="26" state="visible" r:id="rId26"/>
    <sheet xmlns:r="http://schemas.openxmlformats.org/officeDocument/2006/relationships" name="UA_HUB_SQL_7" sheetId="27" state="visible" r:id="rId27"/>
    <sheet xmlns:r="http://schemas.openxmlformats.org/officeDocument/2006/relationships" name="FLIGHTS_NOT_DEPARTED_SQL_8" sheetId="28" state="visible" r:id="rId28"/>
    <sheet xmlns:r="http://schemas.openxmlformats.org/officeDocument/2006/relationships" name="Cancelled_flights_SQL_9" sheetId="29" state="visible" r:id="rId29"/>
    <sheet xmlns:r="http://schemas.openxmlformats.org/officeDocument/2006/relationships" name="Yet_to_Depart_flights_SQL_10" sheetId="30" state="visible" r:id="rId30"/>
    <sheet xmlns:r="http://schemas.openxmlformats.org/officeDocument/2006/relationships" name="Residual_cancels_SQL_11" sheetId="31" state="visible" r:id="rId31"/>
    <sheet xmlns:r="http://schemas.openxmlformats.org/officeDocument/2006/relationships" name="REPOSITIONED_FLIGHTS_SQL_12" sheetId="32" state="visible" r:id="rId32"/>
    <sheet xmlns:r="http://schemas.openxmlformats.org/officeDocument/2006/relationships" name="REPOSITIONED_FLIGHTS_COUNT_SQL_13" sheetId="33" state="visible" r:id="rId33"/>
    <sheet xmlns:r="http://schemas.openxmlformats.org/officeDocument/2006/relationships" name="DIVERTED_FLIGHTS_SQL_14" sheetId="34" state="visible" r:id="rId34"/>
    <sheet xmlns:r="http://schemas.openxmlformats.org/officeDocument/2006/relationships" name="DELAY_INFO" sheetId="35" state="visible" r:id="rId35"/>
    <sheet xmlns:r="http://schemas.openxmlformats.org/officeDocument/2006/relationships" name="UA_SQL_1_2019" sheetId="36" state="visible" r:id="rId36"/>
    <sheet xmlns:r="http://schemas.openxmlformats.org/officeDocument/2006/relationships" name="DIVERTS_SQL_5_2019" sheetId="37" state="visible" r:id="rId37"/>
    <sheet xmlns:r="http://schemas.openxmlformats.org/officeDocument/2006/relationships" name="RECOVERED_DIVERTS_2019" sheetId="38" state="visible" r:id="rId38"/>
    <sheet xmlns:r="http://schemas.openxmlformats.org/officeDocument/2006/relationships" name="UA_L7D" sheetId="39" state="visible" r:id="rId39"/>
    <sheet xmlns:r="http://schemas.openxmlformats.org/officeDocument/2006/relationships" name="UA_Line" sheetId="40" state="visible" r:id="rId40"/>
    <sheet xmlns:r="http://schemas.openxmlformats.org/officeDocument/2006/relationships" name="UA_Seat_cancels" sheetId="41" state="visible" r:id="rId41"/>
    <sheet xmlns:r="http://schemas.openxmlformats.org/officeDocument/2006/relationships" name="UA_SeatCnxl_2019" sheetId="42" state="visible" r:id="rId42"/>
  </sheets>
  <definedNames>
    <definedName name="_xlnm.Print_Area" localSheetId="2">'PAGE_1 (2)'!$A$1:$Q$44</definedName>
    <definedName name="_xlnm.Print_Area" localSheetId="3">'PAGE_1 (4)'!$A$1:$Q$52</definedName>
    <definedName name="_xlnm.Print_Area" localSheetId="4">'PAGE_1'!$A$1:$Q$55</definedName>
    <definedName name="_xlnm.Print_Area" localSheetId="5">'PAGE_1_old'!$A$1:$Q$52</definedName>
    <definedName name="_xlnm.Print_Area" localSheetId="6">'Pg1'!$A$1:$M$32</definedName>
    <definedName name="_xlnm.Print_Area" localSheetId="7">'Pg2'!$A$1:$R$64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\ \p.\p.;\(0.00\ \p.\p.\)"/>
    <numFmt numFmtId="165" formatCode="0.0%"/>
    <numFmt numFmtId="166" formatCode="0.0"/>
  </numFmts>
  <fonts count="44">
    <font>
      <name val="Calibri"/>
      <family val="2"/>
      <color theme="1"/>
      <sz val="11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color theme="1"/>
      <sz val="9"/>
      <scheme val="minor"/>
    </font>
    <font>
      <name val="Calibri"/>
      <family val="2"/>
      <b val="1"/>
      <color rgb="FF000000"/>
      <sz val="9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FF0000"/>
      <sz val="10"/>
      <scheme val="minor"/>
    </font>
    <font>
      <name val="Calibri"/>
      <family val="2"/>
      <color rgb="FF00B050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rgb="FF000000"/>
      <sz val="10"/>
      <scheme val="minor"/>
    </font>
    <font>
      <name val="Segoe UI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9"/>
      <scheme val="minor"/>
    </font>
    <font>
      <name val="Calibri"/>
      <family val="2"/>
      <sz val="9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FF0000"/>
      <sz val="9"/>
      <scheme val="minor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8"/>
      <scheme val="minor"/>
    </font>
    <font>
      <name val="Tahoma"/>
      <family val="2"/>
      <b val="1"/>
      <color rgb="FF555555"/>
      <sz val="8"/>
    </font>
    <font>
      <name val="Arial"/>
      <family val="2"/>
      <color rgb="FF222222"/>
      <sz val="9"/>
    </font>
    <font>
      <name val="Arial"/>
      <family val="2"/>
      <color rgb="FF1D5987"/>
      <sz val="9"/>
    </font>
    <font>
      <name val="Arial"/>
      <family val="2"/>
      <color rgb="FFE17009"/>
      <sz val="9"/>
    </font>
    <font>
      <name val="Arial"/>
      <family val="2"/>
      <color theme="1"/>
      <sz val="9"/>
    </font>
    <font>
      <name val="Calibri"/>
      <family val="2"/>
      <color indexed="8"/>
      <sz val="11"/>
      <scheme val="minor"/>
    </font>
    <font>
      <name val="Calibri"/>
      <family val="2"/>
      <b val="1"/>
      <sz val="11"/>
    </font>
  </fonts>
  <fills count="21">
    <fill>
      <patternFill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3">
    <xf numFmtId="0" fontId="15" fillId="0" borderId="0"/>
    <xf numFmtId="9" fontId="15" fillId="0" borderId="0"/>
    <xf numFmtId="0" fontId="42" fillId="0" borderId="0"/>
  </cellStyleXfs>
  <cellXfs count="380">
    <xf numFmtId="0" fontId="0" fillId="0" borderId="0" pivotButton="0" quotePrefix="0" xfId="0"/>
    <xf numFmtId="0" fontId="3" fillId="0" borderId="0" pivotButton="0" quotePrefix="0" xfId="0"/>
    <xf numFmtId="164" fontId="3" fillId="0" borderId="0" pivotButton="0" quotePrefix="0" xfId="0"/>
    <xf numFmtId="3" fontId="0" fillId="0" borderId="0" pivotButton="0" quotePrefix="0" xfId="0"/>
    <xf numFmtId="0" fontId="11" fillId="4" borderId="5" applyAlignment="1" pivotButton="0" quotePrefix="0" xfId="0">
      <alignment horizontal="center" vertical="center" wrapText="1"/>
    </xf>
    <xf numFmtId="0" fontId="11" fillId="4" borderId="8" applyAlignment="1" pivotButton="0" quotePrefix="0" xfId="0">
      <alignment horizontal="center" vertical="center" wrapText="1"/>
    </xf>
    <xf numFmtId="0" fontId="11" fillId="4" borderId="6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12" fillId="0" borderId="11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13" fillId="0" borderId="13" applyAlignment="1" pivotButton="0" quotePrefix="0" xfId="0">
      <alignment horizontal="center" vertical="center"/>
    </xf>
    <xf numFmtId="0" fontId="12" fillId="3" borderId="11" applyAlignment="1" pivotButton="0" quotePrefix="0" xfId="0">
      <alignment vertical="center"/>
    </xf>
    <xf numFmtId="0" fontId="13" fillId="3" borderId="12" applyAlignment="1" pivotButton="0" quotePrefix="0" xfId="0">
      <alignment horizontal="center" vertical="center"/>
    </xf>
    <xf numFmtId="0" fontId="13" fillId="3" borderId="0" applyAlignment="1" pivotButton="0" quotePrefix="0" xfId="0">
      <alignment horizontal="center" vertical="center"/>
    </xf>
    <xf numFmtId="0" fontId="13" fillId="3" borderId="13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2" fillId="0" borderId="1" applyAlignment="1" pivotButton="0" quotePrefix="0" xfId="0">
      <alignment vertical="center"/>
    </xf>
    <xf numFmtId="0" fontId="12" fillId="0" borderId="4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1" fillId="4" borderId="2" applyAlignment="1" pivotButton="0" quotePrefix="0" xfId="0">
      <alignment vertical="center" wrapText="1"/>
    </xf>
    <xf numFmtId="0" fontId="11" fillId="4" borderId="3" applyAlignment="1" pivotButton="0" quotePrefix="0" xfId="0">
      <alignment vertical="center" wrapText="1"/>
    </xf>
    <xf numFmtId="0" fontId="11" fillId="4" borderId="9" applyAlignment="1" pivotButton="0" quotePrefix="0" xfId="0">
      <alignment vertical="center" wrapText="1"/>
    </xf>
    <xf numFmtId="0" fontId="7" fillId="0" borderId="14" applyAlignment="1" pivotButton="0" quotePrefix="0" xfId="0">
      <alignment horizontal="center"/>
    </xf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2" fontId="9" fillId="0" borderId="14" applyAlignment="1" pivotButton="0" quotePrefix="0" xfId="0">
      <alignment horizontal="center"/>
    </xf>
    <xf numFmtId="0" fontId="11" fillId="4" borderId="18" applyAlignment="1" pivotButton="0" quotePrefix="0" xfId="0">
      <alignment horizontal="center" vertical="center" wrapText="1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2" fontId="9" fillId="0" borderId="17" applyAlignment="1" pivotButton="0" quotePrefix="0" xfId="0">
      <alignment horizontal="center"/>
    </xf>
    <xf numFmtId="2" fontId="10" fillId="0" borderId="17" applyAlignment="1" pivotButton="0" quotePrefix="0" xfId="0">
      <alignment horizontal="center"/>
    </xf>
    <xf numFmtId="0" fontId="7" fillId="0" borderId="17" applyAlignment="1" pivotButton="0" quotePrefix="0" xfId="0">
      <alignment horizontal="center"/>
    </xf>
    <xf numFmtId="0" fontId="7" fillId="0" borderId="13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/>
    </xf>
    <xf numFmtId="0" fontId="14" fillId="0" borderId="0" applyAlignment="1" pivotButton="0" quotePrefix="0" xfId="0">
      <alignment vertical="center"/>
    </xf>
    <xf numFmtId="0" fontId="7" fillId="0" borderId="12" applyAlignment="1" pivotButton="0" quotePrefix="0" xfId="0">
      <alignment horizontal="center"/>
    </xf>
    <xf numFmtId="0" fontId="13" fillId="3" borderId="13" applyAlignment="1" pivotButton="0" quotePrefix="1" xfId="0">
      <alignment horizontal="center" vertical="center"/>
    </xf>
    <xf numFmtId="0" fontId="7" fillId="0" borderId="13" applyAlignment="1" pivotButton="0" quotePrefix="1" xfId="0">
      <alignment horizontal="center"/>
    </xf>
    <xf numFmtId="0" fontId="6" fillId="0" borderId="17" pivotButton="0" quotePrefix="0" xfId="0"/>
    <xf numFmtId="0" fontId="6" fillId="0" borderId="14" pivotButton="0" quotePrefix="0" xfId="0"/>
    <xf numFmtId="0" fontId="6" fillId="4" borderId="20" applyAlignment="1" pivotButton="0" quotePrefix="0" xfId="0">
      <alignment horizontal="center" vertical="center"/>
    </xf>
    <xf numFmtId="0" fontId="6" fillId="7" borderId="21" applyAlignment="1" pivotButton="0" quotePrefix="0" xfId="0">
      <alignment horizontal="center" vertical="center"/>
    </xf>
    <xf numFmtId="16" fontId="6" fillId="4" borderId="19" applyAlignment="1" pivotButton="0" quotePrefix="0" xfId="0">
      <alignment horizontal="left" vertical="center"/>
    </xf>
    <xf numFmtId="0" fontId="13" fillId="0" borderId="0" applyAlignment="1" pivotButton="0" quotePrefix="0" xfId="0">
      <alignment horizontal="center" vertical="center"/>
    </xf>
    <xf numFmtId="14" fontId="6" fillId="4" borderId="20" applyAlignment="1" pivotButton="0" quotePrefix="0" xfId="0">
      <alignment horizontal="center" vertical="center"/>
    </xf>
    <xf numFmtId="165" fontId="0" fillId="0" borderId="0" pivotButton="0" quotePrefix="0" xfId="1"/>
    <xf numFmtId="1" fontId="0" fillId="0" borderId="0" pivotButton="0" quotePrefix="0" xfId="1"/>
    <xf numFmtId="1" fontId="7" fillId="0" borderId="14" applyAlignment="1" pivotButton="0" quotePrefix="0" xfId="0">
      <alignment horizontal="center"/>
    </xf>
    <xf numFmtId="14" fontId="0" fillId="0" borderId="0" pivotButton="0" quotePrefix="0" xfId="0"/>
    <xf numFmtId="10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left" indent="1"/>
    </xf>
    <xf numFmtId="3" fontId="18" fillId="0" borderId="0" applyAlignment="1" pivotButton="0" quotePrefix="0" xfId="0">
      <alignment horizontal="center" vertical="center"/>
    </xf>
    <xf numFmtId="0" fontId="19" fillId="0" borderId="0" pivotButton="0" quotePrefix="0" xfId="0"/>
    <xf numFmtId="0" fontId="20" fillId="0" borderId="0" pivotButton="0" quotePrefix="0" xfId="0"/>
    <xf numFmtId="0" fontId="20" fillId="0" borderId="0" pivotButton="0" quotePrefix="0" xfId="0"/>
    <xf numFmtId="0" fontId="19" fillId="0" borderId="0" pivotButton="0" quotePrefix="0" xfId="0"/>
    <xf numFmtId="0" fontId="17" fillId="0" borderId="0" pivotButton="0" quotePrefix="0" xfId="0"/>
    <xf numFmtId="0" fontId="6" fillId="0" borderId="14" applyAlignment="1" pivotButton="0" quotePrefix="0" xfId="0">
      <alignment horizontal="left" indent="1"/>
    </xf>
    <xf numFmtId="0" fontId="6" fillId="0" borderId="17" applyAlignment="1" pivotButton="0" quotePrefix="0" xfId="0">
      <alignment horizontal="left" indent="1"/>
    </xf>
    <xf numFmtId="16" fontId="6" fillId="4" borderId="19" applyAlignment="1" pivotButton="0" quotePrefix="0" xfId="0">
      <alignment horizontal="left" vertical="distributed" indent="1"/>
    </xf>
    <xf numFmtId="10" fontId="7" fillId="0" borderId="14" applyAlignment="1" pivotButton="0" quotePrefix="0" xfId="0">
      <alignment horizontal="center"/>
    </xf>
    <xf numFmtId="0" fontId="12" fillId="0" borderId="11" applyAlignment="1" pivotButton="0" quotePrefix="0" xfId="0">
      <alignment horizontal="left" vertical="center" indent="1"/>
    </xf>
    <xf numFmtId="0" fontId="12" fillId="3" borderId="11" applyAlignment="1" pivotButton="0" quotePrefix="0" xfId="0">
      <alignment horizontal="left" vertical="center" indent="1"/>
    </xf>
    <xf numFmtId="0" fontId="12" fillId="0" borderId="1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right" vertical="center" indent="2"/>
    </xf>
    <xf numFmtId="0" fontId="11" fillId="4" borderId="1" applyAlignment="1" pivotButton="0" quotePrefix="0" xfId="0">
      <alignment horizontal="left" vertical="center" wrapText="1" indent="1"/>
    </xf>
    <xf numFmtId="0" fontId="11" fillId="4" borderId="4" applyAlignment="1" pivotButton="0" quotePrefix="0" xfId="0">
      <alignment horizontal="center" vertical="center" wrapText="1"/>
    </xf>
    <xf numFmtId="0" fontId="11" fillId="4" borderId="7" applyAlignment="1" pivotButton="0" quotePrefix="0" xfId="0">
      <alignment horizontal="center" vertical="center" wrapText="1"/>
    </xf>
    <xf numFmtId="0" fontId="11" fillId="6" borderId="10" applyAlignment="1" pivotButton="0" quotePrefix="0" xfId="0">
      <alignment horizontal="center" vertical="center" wrapText="1"/>
    </xf>
    <xf numFmtId="0" fontId="11" fillId="5" borderId="1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165" fontId="7" fillId="0" borderId="14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0" fontId="7" fillId="0" borderId="14" applyAlignment="1" pivotButton="0" quotePrefix="0" xfId="0">
      <alignment horizontal="right" indent="1"/>
    </xf>
    <xf numFmtId="0" fontId="13" fillId="0" borderId="12" applyAlignment="1" pivotButton="0" quotePrefix="0" xfId="0">
      <alignment horizontal="right" vertical="center" indent="1"/>
    </xf>
    <xf numFmtId="0" fontId="13" fillId="3" borderId="12" applyAlignment="1" pivotButton="0" quotePrefix="0" xfId="0">
      <alignment horizontal="right" vertical="center" indent="1"/>
    </xf>
    <xf numFmtId="0" fontId="12" fillId="0" borderId="4" applyAlignment="1" pivotButton="0" quotePrefix="0" xfId="0">
      <alignment horizontal="right" vertical="center" indent="1"/>
    </xf>
    <xf numFmtId="166" fontId="9" fillId="0" borderId="14" applyAlignment="1" pivotButton="0" quotePrefix="0" xfId="1">
      <alignment horizontal="center"/>
    </xf>
    <xf numFmtId="0" fontId="22" fillId="0" borderId="0" pivotButton="0" quotePrefix="0" xfId="0"/>
    <xf numFmtId="0" fontId="17" fillId="0" borderId="0" pivotButton="0" quotePrefix="0" xfId="0"/>
    <xf numFmtId="10" fontId="7" fillId="0" borderId="0" applyAlignment="1" pivotButton="0" quotePrefix="0" xfId="0">
      <alignment horizontal="center"/>
    </xf>
    <xf numFmtId="1" fontId="7" fillId="0" borderId="14" applyAlignment="1" pivotButton="0" quotePrefix="0" xfId="0">
      <alignment horizontal="right" indent="2"/>
    </xf>
    <xf numFmtId="16" fontId="25" fillId="4" borderId="19" applyAlignment="1" pivotButton="0" quotePrefix="0" xfId="0">
      <alignment horizontal="left" vertical="distributed" indent="1"/>
    </xf>
    <xf numFmtId="14" fontId="25" fillId="4" borderId="20" applyAlignment="1" pivotButton="0" quotePrefix="0" xfId="0">
      <alignment horizontal="center" vertical="center"/>
    </xf>
    <xf numFmtId="0" fontId="25" fillId="4" borderId="20" applyAlignment="1" pivotButton="0" quotePrefix="0" xfId="0">
      <alignment horizontal="center" vertical="center"/>
    </xf>
    <xf numFmtId="0" fontId="25" fillId="7" borderId="21" applyAlignment="1" pivotButton="0" quotePrefix="0" xfId="0">
      <alignment horizontal="center" vertical="center"/>
    </xf>
    <xf numFmtId="0" fontId="25" fillId="0" borderId="14" applyAlignment="1" pivotButton="0" quotePrefix="0" xfId="0">
      <alignment horizontal="lef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6" fontId="23" fillId="0" borderId="14" applyAlignment="1" pivotButton="0" quotePrefix="0" xfId="1">
      <alignment horizontal="center"/>
    </xf>
    <xf numFmtId="0" fontId="25" fillId="0" borderId="17" applyAlignment="1" pivotButton="0" quotePrefix="0" xfId="0">
      <alignment horizontal="left" indent="1"/>
    </xf>
    <xf numFmtId="1" fontId="3" fillId="0" borderId="22" applyAlignment="1" pivotButton="0" quotePrefix="0" xfId="0">
      <alignment horizontal="center"/>
    </xf>
    <xf numFmtId="165" fontId="3" fillId="0" borderId="22" applyAlignment="1" pivotButton="0" quotePrefix="0" xfId="0">
      <alignment horizontal="right" indent="1"/>
    </xf>
    <xf numFmtId="14" fontId="25" fillId="4" borderId="23" applyAlignment="1" pivotButton="0" quotePrefix="0" xfId="0">
      <alignment horizontal="center" vertical="center"/>
    </xf>
    <xf numFmtId="166" fontId="23" fillId="0" borderId="24" applyAlignment="1" pivotButton="0" quotePrefix="0" xfId="1">
      <alignment horizontal="center"/>
    </xf>
    <xf numFmtId="165" fontId="3" fillId="0" borderId="25" applyAlignment="1" pivotButton="0" quotePrefix="0" xfId="0">
      <alignment horizontal="right" indent="1"/>
    </xf>
    <xf numFmtId="0" fontId="25" fillId="0" borderId="26" applyAlignment="1" pivotButton="0" quotePrefix="0" xfId="0">
      <alignment horizontal="lef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4" fontId="6" fillId="4" borderId="23" applyAlignment="1" pivotButton="0" quotePrefix="0" xfId="0">
      <alignment horizontal="center" vertical="center"/>
    </xf>
    <xf numFmtId="47" fontId="0" fillId="0" borderId="0" pivotButton="0" quotePrefix="0" xfId="0"/>
    <xf numFmtId="166" fontId="7" fillId="0" borderId="14" applyAlignment="1" pivotButton="0" quotePrefix="0" xfId="0">
      <alignment horizontal="center"/>
    </xf>
    <xf numFmtId="0" fontId="6" fillId="0" borderId="29" applyAlignment="1" pivotButton="0" quotePrefix="0" xfId="0">
      <alignment horizontal="left" indent="1"/>
    </xf>
    <xf numFmtId="0" fontId="6" fillId="0" borderId="30" applyAlignment="1" pivotButton="0" quotePrefix="0" xfId="0">
      <alignment horizontal="left" indent="1"/>
    </xf>
    <xf numFmtId="0" fontId="0" fillId="0" borderId="0" pivotButton="0" quotePrefix="0" xfId="0"/>
    <xf numFmtId="165" fontId="0" fillId="0" borderId="0" pivotButton="0" quotePrefix="0" xfId="1"/>
    <xf numFmtId="16" fontId="6" fillId="4" borderId="0" applyAlignment="1" pivotButton="0" quotePrefix="0" xfId="0">
      <alignment horizontal="left" vertical="center"/>
    </xf>
    <xf numFmtId="0" fontId="0" fillId="8" borderId="0" pivotButton="0" quotePrefix="0" xfId="0"/>
    <xf numFmtId="3" fontId="0" fillId="8" borderId="0" pivotButton="0" quotePrefix="0" xfId="0"/>
    <xf numFmtId="166" fontId="7" fillId="0" borderId="14" applyAlignment="1" pivotButton="0" quotePrefix="1" xfId="0">
      <alignment horizontal="center"/>
    </xf>
    <xf numFmtId="165" fontId="7" fillId="0" borderId="14" applyAlignment="1" pivotButton="0" quotePrefix="0" xfId="0">
      <alignment horizontal="center"/>
    </xf>
    <xf numFmtId="0" fontId="6" fillId="4" borderId="33" applyAlignment="1" pivotButton="0" quotePrefix="0" xfId="0">
      <alignment horizontal="center" vertical="center"/>
    </xf>
    <xf numFmtId="165" fontId="7" fillId="0" borderId="22" applyAlignment="1" pivotButton="0" quotePrefix="0" xfId="0">
      <alignment horizontal="center"/>
    </xf>
    <xf numFmtId="166" fontId="7" fillId="0" borderId="34" applyAlignment="1" pivotButton="0" quotePrefix="1" xfId="0">
      <alignment horizontal="center"/>
    </xf>
    <xf numFmtId="1" fontId="7" fillId="0" borderId="34" applyAlignment="1" pivotButton="0" quotePrefix="0" xfId="0">
      <alignment horizontal="center"/>
    </xf>
    <xf numFmtId="0" fontId="23" fillId="0" borderId="0" pivotButton="0" quotePrefix="0" xfId="0"/>
    <xf numFmtId="0" fontId="0" fillId="9" borderId="0" pivotButton="0" quotePrefix="0" xfId="0"/>
    <xf numFmtId="10" fontId="0" fillId="9" borderId="0" applyAlignment="1" pivotButton="0" quotePrefix="0" xfId="0">
      <alignment vertical="center"/>
    </xf>
    <xf numFmtId="165" fontId="0" fillId="9" borderId="0" pivotButton="0" quotePrefix="0" xfId="1"/>
    <xf numFmtId="3" fontId="18" fillId="9" borderId="0" applyAlignment="1" pivotButton="0" quotePrefix="0" xfId="0">
      <alignment horizontal="center" vertical="center"/>
    </xf>
    <xf numFmtId="10" fontId="0" fillId="9" borderId="0" pivotButton="0" quotePrefix="0" xfId="1"/>
    <xf numFmtId="10" fontId="0" fillId="0" borderId="0" pivotButton="0" quotePrefix="0" xfId="1"/>
    <xf numFmtId="0" fontId="0" fillId="0" borderId="0" pivotButton="0" quotePrefix="0" xfId="0"/>
    <xf numFmtId="10" fontId="7" fillId="0" borderId="14" pivotButton="0" quotePrefix="0" xfId="0"/>
    <xf numFmtId="10" fontId="7" fillId="0" borderId="14" applyAlignment="1" pivotButton="0" quotePrefix="0" xfId="1">
      <alignment horizontal="center"/>
    </xf>
    <xf numFmtId="10" fontId="0" fillId="0" borderId="0" pivotButton="0" quotePrefix="0" xfId="1"/>
    <xf numFmtId="10" fontId="0" fillId="0" borderId="0" applyAlignment="1" pivotButton="0" quotePrefix="0" xfId="0">
      <alignment vertical="center"/>
    </xf>
    <xf numFmtId="10" fontId="7" fillId="0" borderId="14" applyAlignment="1" pivotButton="0" quotePrefix="0" xfId="0">
      <alignment horizontal="center"/>
    </xf>
    <xf numFmtId="165" fontId="7" fillId="0" borderId="17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12" fillId="10" borderId="11" applyAlignment="1" pivotButton="0" quotePrefix="0" xfId="0">
      <alignment horizontal="left" vertical="center" indent="1"/>
    </xf>
    <xf numFmtId="0" fontId="13" fillId="10" borderId="12" applyAlignment="1" pivotButton="0" quotePrefix="0" xfId="0">
      <alignment horizontal="right" vertical="center" indent="1"/>
    </xf>
    <xf numFmtId="0" fontId="13" fillId="10" borderId="0" applyAlignment="1" pivotButton="0" quotePrefix="0" xfId="0">
      <alignment horizontal="center" vertical="center"/>
    </xf>
    <xf numFmtId="0" fontId="13" fillId="10" borderId="13" applyAlignment="1" pivotButton="0" quotePrefix="0" xfId="0">
      <alignment horizontal="center" vertical="center"/>
    </xf>
    <xf numFmtId="0" fontId="13" fillId="10" borderId="12" applyAlignment="1" pivotButton="0" quotePrefix="0" xfId="0">
      <alignment horizontal="center" vertical="center"/>
    </xf>
    <xf numFmtId="0" fontId="13" fillId="10" borderId="13" applyAlignment="1" pivotButton="0" quotePrefix="1" xfId="0">
      <alignment horizontal="center" vertical="center"/>
    </xf>
    <xf numFmtId="0" fontId="19" fillId="10" borderId="0" pivotButton="0" quotePrefix="0" xfId="0"/>
    <xf numFmtId="0" fontId="17" fillId="10" borderId="0" pivotButton="0" quotePrefix="0" xfId="0"/>
    <xf numFmtId="0" fontId="23" fillId="10" borderId="0" pivotButton="0" quotePrefix="0" xfId="0"/>
    <xf numFmtId="0" fontId="28" fillId="10" borderId="0" applyAlignment="1" pivotButton="0" quotePrefix="0" xfId="0">
      <alignment horizontal="center" vertical="center"/>
    </xf>
    <xf numFmtId="0" fontId="0" fillId="10" borderId="38" pivotButton="0" quotePrefix="0" xfId="0"/>
    <xf numFmtId="0" fontId="0" fillId="10" borderId="0" pivotButton="0" quotePrefix="0" xfId="0"/>
    <xf numFmtId="0" fontId="16" fillId="10" borderId="40" applyAlignment="1" pivotButton="0" quotePrefix="0" xfId="0">
      <alignment horizontal="center" vertical="center"/>
    </xf>
    <xf numFmtId="0" fontId="0" fillId="10" borderId="39" pivotButton="0" quotePrefix="0" xfId="0"/>
    <xf numFmtId="0" fontId="16" fillId="10" borderId="0" applyAlignment="1" pivotButton="0" quotePrefix="0" xfId="0">
      <alignment horizontal="left" vertical="center"/>
    </xf>
    <xf numFmtId="165" fontId="0" fillId="10" borderId="43" applyAlignment="1" pivotButton="0" quotePrefix="0" xfId="1">
      <alignment horizontal="center" vertical="center"/>
    </xf>
    <xf numFmtId="0" fontId="0" fillId="10" borderId="0" applyAlignment="1" pivotButton="0" quotePrefix="0" xfId="0">
      <alignment vertical="center"/>
    </xf>
    <xf numFmtId="0" fontId="29" fillId="10" borderId="0" applyAlignment="1" pivotButton="0" quotePrefix="0" xfId="0">
      <alignment horizontal="center" vertical="center" textRotation="90"/>
    </xf>
    <xf numFmtId="0" fontId="30" fillId="10" borderId="0" applyAlignment="1" pivotButton="0" quotePrefix="0" xfId="0">
      <alignment vertical="center"/>
    </xf>
    <xf numFmtId="0" fontId="16" fillId="10" borderId="0" applyAlignment="1" pivotButton="0" quotePrefix="0" xfId="0">
      <alignment vertical="center"/>
    </xf>
    <xf numFmtId="0" fontId="16" fillId="10" borderId="0" applyAlignment="1" pivotButton="0" quotePrefix="0" xfId="0">
      <alignment horizontal="center" vertical="center"/>
    </xf>
    <xf numFmtId="0" fontId="27" fillId="11" borderId="43" applyAlignment="1" pivotButton="0" quotePrefix="0" xfId="0">
      <alignment horizontal="center" vertical="center"/>
    </xf>
    <xf numFmtId="0" fontId="0" fillId="10" borderId="0" applyAlignment="1" pivotButton="0" quotePrefix="0" xfId="0">
      <alignment horizontal="center" vertical="center"/>
    </xf>
    <xf numFmtId="0" fontId="0" fillId="0" borderId="39" pivotButton="0" quotePrefix="0" xfId="0"/>
    <xf numFmtId="165" fontId="15" fillId="10" borderId="43" applyAlignment="1" pivotButton="0" quotePrefix="0" xfId="1">
      <alignment horizontal="center" vertical="center"/>
    </xf>
    <xf numFmtId="166" fontId="15" fillId="10" borderId="43" applyAlignment="1" pivotButton="0" quotePrefix="0" xfId="0">
      <alignment horizontal="center" vertical="center"/>
    </xf>
    <xf numFmtId="166" fontId="15" fillId="10" borderId="38" applyAlignment="1" pivotButton="0" quotePrefix="0" xfId="0">
      <alignment horizontal="center" vertical="center"/>
    </xf>
    <xf numFmtId="1" fontId="15" fillId="10" borderId="43" applyAlignment="1" pivotButton="0" quotePrefix="0" xfId="0">
      <alignment horizontal="center" vertical="center"/>
    </xf>
    <xf numFmtId="0" fontId="17" fillId="10" borderId="38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4" pivotButton="0" quotePrefix="0" xfId="0"/>
    <xf numFmtId="0" fontId="6" fillId="10" borderId="40" applyAlignment="1" pivotButton="0" quotePrefix="0" xfId="0">
      <alignment horizontal="center" vertical="center"/>
    </xf>
    <xf numFmtId="0" fontId="0" fillId="10" borderId="40" pivotButton="0" quotePrefix="0" xfId="0"/>
    <xf numFmtId="0" fontId="0" fillId="10" borderId="42" pivotButton="0" quotePrefix="0" xfId="0"/>
    <xf numFmtId="0" fontId="0" fillId="10" borderId="0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5" pivotButton="0" quotePrefix="0" xfId="0"/>
    <xf numFmtId="0" fontId="0" fillId="10" borderId="46" pivotButton="0" quotePrefix="0" xfId="0"/>
    <xf numFmtId="0" fontId="33" fillId="10" borderId="0" applyAlignment="1" pivotButton="0" quotePrefix="0" xfId="0">
      <alignment horizontal="center" vertical="center" wrapText="1"/>
    </xf>
    <xf numFmtId="0" fontId="34" fillId="13" borderId="39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7" fillId="13" borderId="0" applyAlignment="1" pivotButton="0" quotePrefix="0" xfId="0">
      <alignment horizontal="center" vertical="center"/>
    </xf>
    <xf numFmtId="0" fontId="13" fillId="10" borderId="0" applyAlignment="1" pivotButton="0" quotePrefix="0" xfId="0">
      <alignment horizontal="center" vertical="center"/>
    </xf>
    <xf numFmtId="0" fontId="34" fillId="10" borderId="39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35" fillId="10" borderId="47" applyAlignment="1" pivotButton="0" quotePrefix="0" xfId="0">
      <alignment horizontal="center" vertical="center"/>
    </xf>
    <xf numFmtId="0" fontId="35" fillId="10" borderId="48" applyAlignment="1" pivotButton="0" quotePrefix="0" xfId="0">
      <alignment horizontal="center" vertical="center"/>
    </xf>
    <xf numFmtId="0" fontId="35" fillId="10" borderId="49" applyAlignment="1" pivotButton="0" quotePrefix="0" xfId="0">
      <alignment horizontal="center" vertical="center"/>
    </xf>
    <xf numFmtId="0" fontId="35" fillId="10" borderId="50" applyAlignment="1" pivotButton="0" quotePrefix="0" xfId="0">
      <alignment horizontal="center" vertical="center"/>
    </xf>
    <xf numFmtId="0" fontId="36" fillId="10" borderId="0" pivotButton="0" quotePrefix="0" xfId="0"/>
    <xf numFmtId="0" fontId="36" fillId="10" borderId="0" applyAlignment="1" pivotButton="0" quotePrefix="0" xfId="0">
      <alignment vertical="center"/>
    </xf>
    <xf numFmtId="0" fontId="18" fillId="10" borderId="0" pivotButton="0" quotePrefix="0" xfId="0"/>
    <xf numFmtId="0" fontId="13" fillId="3" borderId="0" applyAlignment="1" pivotButton="0" quotePrefix="0" xfId="0">
      <alignment horizontal="center" vertical="center"/>
    </xf>
    <xf numFmtId="0" fontId="12" fillId="3" borderId="11" applyAlignment="1" pivotButton="0" quotePrefix="0" xfId="0">
      <alignment horizontal="left" vertical="center" indent="1"/>
    </xf>
    <xf numFmtId="0" fontId="12" fillId="10" borderId="11" applyAlignment="1" pivotButton="0" quotePrefix="0" xfId="0">
      <alignment horizontal="left" vertical="center" indent="1"/>
    </xf>
    <xf numFmtId="0" fontId="13" fillId="10" borderId="0" applyAlignment="1" pivotButton="0" quotePrefix="0" xfId="0">
      <alignment horizontal="center" vertical="center"/>
    </xf>
    <xf numFmtId="0" fontId="0" fillId="14" borderId="0" pivotButton="0" quotePrefix="0" xfId="0"/>
    <xf numFmtId="0" fontId="37" fillId="14" borderId="52" applyAlignment="1" pivotButton="0" quotePrefix="0" xfId="0">
      <alignment horizontal="left" vertical="center"/>
    </xf>
    <xf numFmtId="0" fontId="38" fillId="14" borderId="53" applyAlignment="1" pivotButton="0" quotePrefix="0" xfId="0">
      <alignment horizontal="left" vertical="center"/>
    </xf>
    <xf numFmtId="0" fontId="39" fillId="15" borderId="54" applyAlignment="1" pivotButton="0" quotePrefix="0" xfId="0">
      <alignment horizontal="right" vertical="center" wrapText="1"/>
    </xf>
    <xf numFmtId="0" fontId="39" fillId="16" borderId="54" applyAlignment="1" pivotButton="0" quotePrefix="0" xfId="0">
      <alignment horizontal="left" vertical="center"/>
    </xf>
    <xf numFmtId="0" fontId="39" fillId="16" borderId="54" applyAlignment="1" pivotButton="0" quotePrefix="0" xfId="0">
      <alignment horizontal="right" vertical="center"/>
    </xf>
    <xf numFmtId="0" fontId="40" fillId="17" borderId="54" applyAlignment="1" pivotButton="0" quotePrefix="0" xfId="0">
      <alignment horizontal="left" vertical="center"/>
    </xf>
    <xf numFmtId="0" fontId="40" fillId="17" borderId="54" applyAlignment="1" pivotButton="0" quotePrefix="0" xfId="0">
      <alignment horizontal="right" vertical="center"/>
    </xf>
    <xf numFmtId="0" fontId="40" fillId="16" borderId="54" applyAlignment="1" pivotButton="0" quotePrefix="0" xfId="0">
      <alignment horizontal="left" vertical="center"/>
    </xf>
    <xf numFmtId="0" fontId="40" fillId="16" borderId="54" applyAlignment="1" pivotButton="0" quotePrefix="0" xfId="0">
      <alignment horizontal="right" vertical="center"/>
    </xf>
    <xf numFmtId="0" fontId="6" fillId="0" borderId="0" pivotButton="0" quotePrefix="0" xfId="0"/>
    <xf numFmtId="165" fontId="0" fillId="0" borderId="0" pivotButton="0" quotePrefix="0" xfId="0"/>
    <xf numFmtId="165" fontId="7" fillId="0" borderId="55" applyAlignment="1" pivotButton="0" quotePrefix="0" xfId="0">
      <alignment horizontal="right" indent="1"/>
    </xf>
    <xf numFmtId="0" fontId="39" fillId="18" borderId="54" applyAlignment="1" pivotButton="0" quotePrefix="0" xfId="0">
      <alignment horizontal="left" vertical="center"/>
    </xf>
    <xf numFmtId="0" fontId="41" fillId="16" borderId="53" applyAlignment="1" pivotButton="0" quotePrefix="0" xfId="0">
      <alignment horizontal="left" vertical="center"/>
    </xf>
    <xf numFmtId="0" fontId="41" fillId="0" borderId="53" applyAlignment="1" pivotButton="0" quotePrefix="0" xfId="0">
      <alignment horizontal="left" vertical="center"/>
    </xf>
    <xf numFmtId="0" fontId="37" fillId="14" borderId="52" applyAlignment="1" pivotButton="0" quotePrefix="0" xfId="0">
      <alignment horizontal="left" vertical="center" wrapText="1"/>
    </xf>
    <xf numFmtId="0" fontId="6" fillId="0" borderId="56" applyAlignment="1" pivotButton="0" quotePrefix="0" xfId="0">
      <alignment horizontal="left" indent="1"/>
    </xf>
    <xf numFmtId="0" fontId="33" fillId="6" borderId="60" applyAlignment="1" pivotButton="0" quotePrefix="0" xfId="0">
      <alignment horizontal="center" vertical="center" wrapText="1"/>
    </xf>
    <xf numFmtId="0" fontId="33" fillId="12" borderId="61" applyAlignment="1" pivotButton="0" quotePrefix="0" xfId="0">
      <alignment horizontal="center" vertical="center" wrapText="1"/>
    </xf>
    <xf numFmtId="0" fontId="33" fillId="12" borderId="18" applyAlignment="1" pivotButton="0" quotePrefix="0" xfId="0">
      <alignment horizontal="center" vertical="center" wrapText="1"/>
    </xf>
    <xf numFmtId="0" fontId="33" fillId="12" borderId="58" applyAlignment="1" pivotButton="0" quotePrefix="0" xfId="0">
      <alignment horizontal="center" vertical="center" wrapText="1"/>
    </xf>
    <xf numFmtId="0" fontId="34" fillId="13" borderId="57" applyAlignment="1" pivotButton="0" quotePrefix="0" xfId="0">
      <alignment horizontal="center" vertical="center"/>
    </xf>
    <xf numFmtId="165" fontId="15" fillId="10" borderId="62" applyAlignment="1" pivotButton="0" quotePrefix="0" xfId="1">
      <alignment horizontal="center" vertical="center"/>
    </xf>
    <xf numFmtId="166" fontId="15" fillId="10" borderId="62" applyAlignment="1" pivotButton="0" quotePrefix="0" xfId="0">
      <alignment horizontal="center" vertical="center"/>
    </xf>
    <xf numFmtId="166" fontId="15" fillId="10" borderId="63" applyAlignment="1" pivotButton="0" quotePrefix="0" xfId="0">
      <alignment horizontal="center" vertical="center"/>
    </xf>
    <xf numFmtId="1" fontId="15" fillId="10" borderId="62" applyAlignment="1" pivotButton="0" quotePrefix="0" xfId="0">
      <alignment horizontal="center" vertical="center"/>
    </xf>
    <xf numFmtId="0" fontId="16" fillId="12" borderId="64" applyAlignment="1" pivotButton="0" quotePrefix="0" xfId="0">
      <alignment horizontal="center" vertical="center"/>
    </xf>
    <xf numFmtId="0" fontId="0" fillId="10" borderId="43" applyAlignment="1" pivotButton="0" quotePrefix="0" xfId="0">
      <alignment horizontal="center" vertical="center"/>
    </xf>
    <xf numFmtId="0" fontId="6" fillId="12" borderId="41" applyAlignment="1" pivotButton="0" quotePrefix="0" xfId="0">
      <alignment horizontal="center" vertical="center"/>
    </xf>
    <xf numFmtId="0" fontId="6" fillId="19" borderId="42" applyAlignment="1" pivotButton="0" quotePrefix="0" xfId="0">
      <alignment horizontal="center" vertical="center"/>
    </xf>
    <xf numFmtId="0" fontId="6" fillId="12" borderId="65" applyAlignment="1" pivotButton="0" quotePrefix="0" xfId="0">
      <alignment horizontal="center" vertical="center"/>
    </xf>
    <xf numFmtId="0" fontId="6" fillId="10" borderId="43" applyAlignment="1" pivotButton="0" quotePrefix="0" xfId="0">
      <alignment horizontal="center" vertical="center"/>
    </xf>
    <xf numFmtId="0" fontId="6" fillId="10" borderId="39" applyAlignment="1" pivotButton="0" quotePrefix="0" xfId="0">
      <alignment horizontal="center" vertical="center"/>
    </xf>
    <xf numFmtId="0" fontId="6" fillId="10" borderId="57" applyAlignment="1" pivotButton="0" quotePrefix="0" xfId="0">
      <alignment horizontal="center" vertical="center"/>
    </xf>
    <xf numFmtId="166" fontId="9" fillId="10" borderId="57" applyAlignment="1" pivotButton="0" quotePrefix="0" xfId="1">
      <alignment horizontal="center" vertical="center"/>
    </xf>
    <xf numFmtId="1" fontId="7" fillId="10" borderId="57" applyAlignment="1" pivotButton="0" quotePrefix="0" xfId="0">
      <alignment horizontal="center" vertical="center"/>
    </xf>
    <xf numFmtId="166" fontId="7" fillId="10" borderId="38" applyAlignment="1" pivotButton="0" quotePrefix="0" xfId="0">
      <alignment horizontal="center" vertical="center"/>
    </xf>
    <xf numFmtId="166" fontId="7" fillId="10" borderId="0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vertical="center"/>
    </xf>
    <xf numFmtId="0" fontId="7" fillId="10" borderId="38" applyAlignment="1" pivotButton="0" quotePrefix="0" xfId="0">
      <alignment vertical="center"/>
    </xf>
    <xf numFmtId="0" fontId="7" fillId="10" borderId="0" applyAlignment="1" pivotButton="0" quotePrefix="0" xfId="0">
      <alignment vertical="center"/>
    </xf>
    <xf numFmtId="10" fontId="7" fillId="10" borderId="43" applyAlignment="1" pivotButton="0" quotePrefix="0" xfId="1">
      <alignment horizontal="center" vertical="center"/>
    </xf>
    <xf numFmtId="0" fontId="7" fillId="0" borderId="38" applyAlignment="1" pivotButton="0" quotePrefix="0" xfId="0">
      <alignment vertical="center"/>
    </xf>
    <xf numFmtId="0" fontId="6" fillId="10" borderId="0" applyAlignment="1" pivotButton="0" quotePrefix="0" xfId="0">
      <alignment vertical="center" wrapText="1"/>
    </xf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6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 vertical="center"/>
    </xf>
    <xf numFmtId="1" fontId="7" fillId="10" borderId="43" applyAlignment="1" pivotButton="0" quotePrefix="0" xfId="0">
      <alignment horizontal="center" vertical="center"/>
    </xf>
    <xf numFmtId="1" fontId="7" fillId="10" borderId="39" applyAlignment="1" pivotButton="0" quotePrefix="0" xfId="0">
      <alignment horizontal="center" vertical="center"/>
    </xf>
    <xf numFmtId="0" fontId="7" fillId="10" borderId="39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/>
    </xf>
    <xf numFmtId="0" fontId="7" fillId="10" borderId="39" applyAlignment="1" pivotButton="0" quotePrefix="0" xfId="0">
      <alignment horizontal="center"/>
    </xf>
    <xf numFmtId="0" fontId="7" fillId="0" borderId="38" pivotButton="0" quotePrefix="0" xfId="0"/>
    <xf numFmtId="0" fontId="7" fillId="10" borderId="0" pivotButton="0" quotePrefix="0" xfId="0"/>
    <xf numFmtId="0" fontId="28" fillId="10" borderId="66" applyAlignment="1" pivotButton="0" quotePrefix="0" xfId="0">
      <alignment horizontal="center" vertical="center"/>
    </xf>
    <xf numFmtId="0" fontId="0" fillId="10" borderId="66" pivotButton="0" quotePrefix="0" xfId="0"/>
    <xf numFmtId="0" fontId="31" fillId="10" borderId="66" applyAlignment="1" pivotButton="0" quotePrefix="0" xfId="0">
      <alignment vertical="center" wrapText="1"/>
    </xf>
    <xf numFmtId="0" fontId="0" fillId="10" borderId="67" pivotButton="0" quotePrefix="0" xfId="0"/>
    <xf numFmtId="0" fontId="0" fillId="10" borderId="68" pivotButton="0" quotePrefix="0" xfId="0"/>
    <xf numFmtId="0" fontId="28" fillId="10" borderId="59" applyAlignment="1" pivotButton="0" quotePrefix="0" xfId="0">
      <alignment horizontal="center" vertical="center"/>
    </xf>
    <xf numFmtId="0" fontId="0" fillId="10" borderId="59" pivotButton="0" quotePrefix="0" xfId="0"/>
    <xf numFmtId="0" fontId="0" fillId="10" borderId="71" pivotButton="0" quotePrefix="0" xfId="0"/>
    <xf numFmtId="0" fontId="33" fillId="12" borderId="39" applyAlignment="1" pivotButton="0" quotePrefix="0" xfId="0">
      <alignment horizontal="center" vertical="center" wrapText="1"/>
    </xf>
    <xf numFmtId="0" fontId="34" fillId="10" borderId="57" applyAlignment="1" pivotButton="0" quotePrefix="0" xfId="0">
      <alignment horizontal="center" vertical="center"/>
    </xf>
    <xf numFmtId="0" fontId="34" fillId="10" borderId="65" applyAlignment="1" pivotButton="0" quotePrefix="0" xfId="0">
      <alignment horizontal="center" vertical="center"/>
    </xf>
    <xf numFmtId="0" fontId="35" fillId="10" borderId="72" applyAlignment="1" pivotButton="0" quotePrefix="0" xfId="0">
      <alignment horizontal="center" vertical="center"/>
    </xf>
    <xf numFmtId="0" fontId="34" fillId="10" borderId="0" applyAlignment="1" pivotButton="0" quotePrefix="0" xfId="0">
      <alignment horizontal="center" vertical="center"/>
    </xf>
    <xf numFmtId="0" fontId="35" fillId="10" borderId="0" applyAlignment="1" pivotButton="0" quotePrefix="0" xfId="0">
      <alignment horizontal="center" vertical="center"/>
    </xf>
    <xf numFmtId="0" fontId="32" fillId="10" borderId="0" applyAlignment="1" pivotButton="0" quotePrefix="0" xfId="0">
      <alignment vertical="center"/>
    </xf>
    <xf numFmtId="10" fontId="0" fillId="0" borderId="0" pivotButton="0" quotePrefix="0" xfId="0"/>
    <xf numFmtId="0" fontId="32" fillId="10" borderId="0" applyAlignment="1" pivotButton="0" quotePrefix="0" xfId="0">
      <alignment horizontal="center" vertical="center"/>
    </xf>
    <xf numFmtId="0" fontId="12" fillId="10" borderId="0" applyAlignment="1" pivotButton="0" quotePrefix="0" xfId="0">
      <alignment horizontal="left" vertical="center" indent="1"/>
    </xf>
    <xf numFmtId="0" fontId="0" fillId="10" borderId="73" pivotButton="0" quotePrefix="0" xfId="0"/>
    <xf numFmtId="0" fontId="0" fillId="10" borderId="74" pivotButton="0" quotePrefix="0" xfId="0"/>
    <xf numFmtId="0" fontId="0" fillId="10" borderId="75" pivotButton="0" quotePrefix="0" xfId="0"/>
    <xf numFmtId="0" fontId="0" fillId="10" borderId="76" pivotButton="0" quotePrefix="0" xfId="0"/>
    <xf numFmtId="0" fontId="0" fillId="10" borderId="77" pivotButton="0" quotePrefix="0" xfId="0"/>
    <xf numFmtId="0" fontId="36" fillId="10" borderId="0" applyAlignment="1" pivotButton="0" quotePrefix="0" xfId="0">
      <alignment vertical="center"/>
    </xf>
    <xf numFmtId="0" fontId="7" fillId="10" borderId="57" applyAlignment="1" pivotButton="0" quotePrefix="0" xfId="1">
      <alignment horizontal="center" vertical="center"/>
    </xf>
    <xf numFmtId="0" fontId="0" fillId="0" borderId="0" pivotButton="0" quotePrefix="0" xfId="0"/>
    <xf numFmtId="0" fontId="0" fillId="0" borderId="0" pivotButton="0" quotePrefix="0" xfId="0"/>
    <xf numFmtId="3" fontId="0" fillId="0" borderId="0" pivotButton="0" quotePrefix="0" xfId="0"/>
    <xf numFmtId="47" fontId="0" fillId="0" borderId="0" pivotButton="0" quotePrefix="0" xfId="0"/>
    <xf numFmtId="0" fontId="0" fillId="0" borderId="0" pivotButton="0" quotePrefix="0" xfId="0"/>
    <xf numFmtId="3" fontId="0" fillId="0" borderId="0" pivotButton="0" quotePrefix="0" xfId="0"/>
    <xf numFmtId="47" fontId="0" fillId="0" borderId="0" pivotButton="0" quotePrefix="0" xfId="0"/>
    <xf numFmtId="0" fontId="0" fillId="0" borderId="0" pivotButton="0" quotePrefix="0" xfId="0"/>
    <xf numFmtId="3" fontId="0" fillId="0" borderId="0" pivotButton="0" quotePrefix="0" xfId="0"/>
    <xf numFmtId="0" fontId="0" fillId="0" borderId="0" pivotButton="0" quotePrefix="0" xfId="0"/>
    <xf numFmtId="3" fontId="0" fillId="0" borderId="0" pivotButton="0" quotePrefix="0" xfId="0"/>
    <xf numFmtId="0" fontId="43" fillId="0" borderId="78" pivotButton="0" quotePrefix="0" xfId="2"/>
    <xf numFmtId="0" fontId="42" fillId="0" borderId="78" pivotButton="0" quotePrefix="0" xfId="2"/>
    <xf numFmtId="11" fontId="0" fillId="0" borderId="0" pivotButton="0" quotePrefix="0" xfId="0"/>
    <xf numFmtId="10" fontId="7" fillId="10" borderId="39" applyAlignment="1" pivotButton="0" quotePrefix="0" xfId="1">
      <alignment horizontal="center" vertical="center"/>
    </xf>
    <xf numFmtId="10" fontId="7" fillId="10" borderId="51" applyAlignment="1" pivotButton="0" quotePrefix="0" xfId="1">
      <alignment horizontal="center" vertical="center"/>
    </xf>
    <xf numFmtId="10" fontId="7" fillId="10" borderId="75" applyAlignment="1" pivotButton="0" quotePrefix="0" xfId="1">
      <alignment horizontal="center" vertical="center"/>
    </xf>
    <xf numFmtId="10" fontId="7" fillId="0" borderId="51" applyAlignment="1" pivotButton="0" quotePrefix="0" xfId="0">
      <alignment horizontal="center"/>
    </xf>
    <xf numFmtId="10" fontId="7" fillId="10" borderId="43" applyAlignment="1" pivotButton="0" quotePrefix="0" xfId="0">
      <alignment vertical="center"/>
    </xf>
    <xf numFmtId="10" fontId="7" fillId="10" borderId="39" applyAlignment="1" pivotButton="0" quotePrefix="0" xfId="0">
      <alignment vertical="center"/>
    </xf>
    <xf numFmtId="2" fontId="7" fillId="10" borderId="43" applyAlignment="1" pivotButton="0" quotePrefix="0" xfId="0">
      <alignment horizontal="center" vertical="center"/>
    </xf>
    <xf numFmtId="9" fontId="42" fillId="0" borderId="78" pivotButton="0" quotePrefix="0" xfId="1"/>
    <xf numFmtId="11" fontId="42" fillId="0" borderId="78" pivotButton="0" quotePrefix="0" xfId="1"/>
    <xf numFmtId="0" fontId="5" fillId="2" borderId="2" applyAlignment="1" pivotButton="0" quotePrefix="0" xfId="0">
      <alignment horizontal="center" vertical="center" wrapText="1"/>
    </xf>
    <xf numFmtId="0" fontId="5" fillId="2" borderId="5" applyAlignment="1" pivotButton="0" quotePrefix="0" xfId="0">
      <alignment horizontal="center" vertical="center" wrapText="1"/>
    </xf>
    <xf numFmtId="14" fontId="5" fillId="2" borderId="2" applyAlignment="1" pivotButton="0" quotePrefix="0" xfId="0">
      <alignment horizontal="center" vertical="center" wrapText="1"/>
    </xf>
    <xf numFmtId="14" fontId="5" fillId="2" borderId="5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11" fillId="4" borderId="18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11" fillId="6" borderId="15" applyAlignment="1" pivotButton="0" quotePrefix="0" xfId="0">
      <alignment horizontal="center" vertical="center" wrapText="1"/>
    </xf>
    <xf numFmtId="0" fontId="11" fillId="6" borderId="16" applyAlignment="1" pivotButton="0" quotePrefix="0" xfId="0">
      <alignment horizontal="center" vertical="center" wrapText="1"/>
    </xf>
    <xf numFmtId="0" fontId="11" fillId="5" borderId="15" applyAlignment="1" pivotButton="0" quotePrefix="0" xfId="0">
      <alignment horizontal="center" vertical="center" wrapText="1"/>
    </xf>
    <xf numFmtId="0" fontId="11" fillId="5" borderId="16" applyAlignment="1" pivotButton="0" quotePrefix="0" xfId="0">
      <alignment horizontal="center" vertical="center" wrapText="1"/>
    </xf>
    <xf numFmtId="0" fontId="8" fillId="2" borderId="1" applyAlignment="1" pivotButton="0" quotePrefix="0" xfId="0">
      <alignment horizontal="center" vertical="center"/>
    </xf>
    <xf numFmtId="0" fontId="8" fillId="2" borderId="7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0" fontId="21" fillId="2" borderId="8" applyAlignment="1" pivotButton="0" quotePrefix="0" xfId="0">
      <alignment horizontal="center" vertical="center"/>
    </xf>
    <xf numFmtId="0" fontId="21" fillId="2" borderId="1" applyAlignment="1" pivotButton="0" quotePrefix="0" xfId="0">
      <alignment horizontal="center" vertical="center"/>
    </xf>
    <xf numFmtId="0" fontId="21" fillId="2" borderId="7" applyAlignment="1" pivotButton="0" quotePrefix="0" xfId="0">
      <alignment horizontal="center" vertical="center"/>
    </xf>
    <xf numFmtId="0" fontId="24" fillId="2" borderId="3" applyAlignment="1" pivotButton="0" quotePrefix="0" xfId="0">
      <alignment horizontal="center" vertical="center"/>
    </xf>
    <xf numFmtId="0" fontId="24" fillId="2" borderId="9" applyAlignment="1" pivotButton="0" quotePrefix="0" xfId="0">
      <alignment horizontal="center" vertical="center"/>
    </xf>
    <xf numFmtId="166" fontId="9" fillId="0" borderId="29" applyAlignment="1" pivotButton="0" quotePrefix="0" xfId="1">
      <alignment horizontal="center"/>
    </xf>
    <xf numFmtId="166" fontId="9" fillId="0" borderId="22" applyAlignment="1" pivotButton="0" quotePrefix="0" xfId="1">
      <alignment horizontal="center"/>
    </xf>
    <xf numFmtId="166" fontId="7" fillId="0" borderId="31" applyAlignment="1" pivotButton="0" quotePrefix="1" xfId="0">
      <alignment horizontal="center"/>
    </xf>
    <xf numFmtId="166" fontId="7" fillId="0" borderId="32" applyAlignment="1" pivotButton="0" quotePrefix="1" xfId="0">
      <alignment horizontal="center"/>
    </xf>
    <xf numFmtId="0" fontId="21" fillId="2" borderId="3" applyAlignment="1" pivotButton="0" quotePrefix="0" xfId="0">
      <alignment horizontal="center" vertical="center"/>
    </xf>
    <xf numFmtId="0" fontId="21" fillId="2" borderId="9" applyAlignment="1" pivotButton="0" quotePrefix="0" xfId="0">
      <alignment horizontal="center" vertical="center"/>
    </xf>
    <xf numFmtId="0" fontId="28" fillId="11" borderId="70" applyAlignment="1" pivotButton="0" quotePrefix="0" xfId="0">
      <alignment horizontal="center" vertical="center"/>
    </xf>
    <xf numFmtId="0" fontId="28" fillId="11" borderId="18" applyAlignment="1" pivotButton="0" quotePrefix="0" xfId="0">
      <alignment horizontal="center" vertical="center"/>
    </xf>
    <xf numFmtId="0" fontId="28" fillId="11" borderId="69" applyAlignment="1" pivotButton="0" quotePrefix="0" xfId="0">
      <alignment horizontal="center" vertical="center"/>
    </xf>
    <xf numFmtId="0" fontId="27" fillId="11" borderId="59" applyAlignment="1" pivotButton="0" quotePrefix="0" xfId="0">
      <alignment horizontal="center" vertical="center" textRotation="90"/>
    </xf>
    <xf numFmtId="0" fontId="28" fillId="11" borderId="35" applyAlignment="1" pivotButton="0" quotePrefix="0" xfId="0">
      <alignment horizontal="center" vertical="center"/>
    </xf>
    <xf numFmtId="0" fontId="28" fillId="11" borderId="36" applyAlignment="1" pivotButton="0" quotePrefix="0" xfId="0">
      <alignment horizontal="center" vertical="center"/>
    </xf>
    <xf numFmtId="0" fontId="28" fillId="11" borderId="37" applyAlignment="1" pivotButton="0" quotePrefix="0" xfId="0">
      <alignment horizontal="center" vertical="center"/>
    </xf>
    <xf numFmtId="0" fontId="32" fillId="10" borderId="0" applyAlignment="1" pivotButton="0" quotePrefix="0" xfId="0">
      <alignment horizontal="center" vertical="center"/>
    </xf>
    <xf numFmtId="0" fontId="32" fillId="11" borderId="0" applyAlignment="1" pivotButton="0" quotePrefix="0" xfId="0">
      <alignment horizontal="center" vertical="center"/>
    </xf>
    <xf numFmtId="0" fontId="32" fillId="11" borderId="38" applyAlignment="1" pivotButton="0" quotePrefix="0" xfId="0">
      <alignment horizontal="center" vertical="center"/>
    </xf>
    <xf numFmtId="0" fontId="17" fillId="11" borderId="0" applyAlignment="1" pivotButton="0" quotePrefix="0" xfId="0">
      <alignment horizontal="center"/>
    </xf>
    <xf numFmtId="0" fontId="17" fillId="20" borderId="0" applyAlignment="1" pivotButton="0" quotePrefix="0" xfId="0">
      <alignment horizontal="center"/>
    </xf>
    <xf numFmtId="0" fontId="5" fillId="2" borderId="15" applyAlignment="1" pivotButton="0" quotePrefix="0" xfId="0">
      <alignment horizontal="center" vertical="center" wrapText="1"/>
    </xf>
    <xf numFmtId="0" fontId="0" fillId="0" borderId="5" pivotButton="0" quotePrefix="0" xfId="0"/>
    <xf numFmtId="14" fontId="5" fillId="2" borderId="15" applyAlignment="1" pivotButton="0" quotePrefix="0" xfId="0">
      <alignment horizontal="center" vertical="center" wrapText="1"/>
    </xf>
    <xf numFmtId="0" fontId="0" fillId="0" borderId="8" pivotButton="0" quotePrefix="0" xfId="0"/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164" fontId="3" fillId="0" borderId="0" pivotButton="0" quotePrefix="0" xfId="0"/>
    <xf numFmtId="0" fontId="11" fillId="4" borderId="79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16" pivotButton="0" quotePrefix="0" xfId="0"/>
    <xf numFmtId="0" fontId="0" fillId="0" borderId="7" pivotButton="0" quotePrefix="0" xfId="0"/>
    <xf numFmtId="165" fontId="7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5" fontId="3" fillId="0" borderId="25" applyAlignment="1" pivotButton="0" quotePrefix="0" xfId="0">
      <alignment horizontal="right" indent="1"/>
    </xf>
    <xf numFmtId="165" fontId="3" fillId="0" borderId="22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66" fontId="7" fillId="0" borderId="80" applyAlignment="1" pivotButton="0" quotePrefix="1" xfId="0">
      <alignment horizontal="center"/>
    </xf>
    <xf numFmtId="0" fontId="0" fillId="0" borderId="32" pivotButton="0" quotePrefix="0" xfId="0"/>
    <xf numFmtId="0" fontId="0" fillId="0" borderId="22" pivotButton="0" quotePrefix="0" xfId="0"/>
    <xf numFmtId="165" fontId="7" fillId="0" borderId="22" applyAlignment="1" pivotButton="0" quotePrefix="0" xfId="0">
      <alignment horizontal="center"/>
    </xf>
    <xf numFmtId="0" fontId="28" fillId="11" borderId="84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69" pivotButton="0" quotePrefix="0" xfId="0"/>
    <xf numFmtId="165" fontId="0" fillId="0" borderId="0" pivotButton="0" quotePrefix="0" xfId="0"/>
    <xf numFmtId="0" fontId="0" fillId="0" borderId="59" pivotButton="0" quotePrefix="0" xfId="0"/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28" fillId="11" borderId="85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7" pivotButton="0" quotePrefix="0" xfId="0"/>
    <xf numFmtId="165" fontId="15" fillId="10" borderId="43" applyAlignment="1" pivotButton="0" quotePrefix="0" xfId="1">
      <alignment horizontal="center" vertical="center"/>
    </xf>
    <xf numFmtId="165" fontId="15" fillId="10" borderId="62" applyAlignment="1" pivotButton="0" quotePrefix="0" xfId="1">
      <alignment horizontal="center" vertical="center"/>
    </xf>
    <xf numFmtId="165" fontId="0" fillId="0" borderId="0" pivotButton="0" quotePrefix="0" xfId="1"/>
    <xf numFmtId="165" fontId="0" fillId="10" borderId="43" applyAlignment="1" pivotButton="0" quotePrefix="0" xfId="1">
      <alignment horizontal="center" vertical="center"/>
    </xf>
    <xf numFmtId="165" fontId="7" fillId="0" borderId="55" applyAlignment="1" pivotButton="0" quotePrefix="0" xfId="0">
      <alignment horizontal="right" indent="1"/>
    </xf>
    <xf numFmtId="165" fontId="0" fillId="9" borderId="0" pivotButton="0" quotePrefix="0" xfId="1"/>
  </cellXfs>
  <cellStyles count="3">
    <cellStyle name="Normal" xfId="0" builtinId="0"/>
    <cellStyle name="Percent" xfId="1" builtinId="5"/>
    <cellStyle name="Normal 2" xfId="2"/>
  </cellStyles>
  <dxfs count="274"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styles" Target="styles.xml" Id="rId43"/><Relationship Type="http://schemas.openxmlformats.org/officeDocument/2006/relationships/theme" Target="theme/theme1.xml" Id="rId44"/></Relationships>
</file>

<file path=xl/comments/comment1.xml><?xml version="1.0" encoding="utf-8"?>
<comments xmlns="http://schemas.openxmlformats.org/spreadsheetml/2006/main">
  <authors>
    <author>Hulen, Matt</author>
  </authors>
  <commentList>
    <comment ref="G5" authorId="0" shapeId="0">
      <text>
        <t>Hulen, Matt:
Green 1st, yellow 2nd, red 3rd</t>
      </text>
    </comment>
    <comment ref="G6" authorId="0" shapeId="0">
      <text>
        <t>Hulen, Matt:
Green 1st, yellow 2nd, red 3rd</t>
      </text>
    </comment>
    <comment ref="B7" authorId="0" shapeId="0">
      <text>
        <t>Hulen, Matt:
Green above goal/ red below goal. Please ensure to usee CS D:00.</t>
      </text>
    </comment>
    <comment ref="C7" authorId="0" shapeId="0">
      <text>
        <t>Hulen, Matt:
Green above goal/ red below goal. Please ensure to usee CS D:00.</t>
      </text>
    </comment>
    <comment ref="G7" authorId="0" shapeId="0">
      <text>
        <t>Hulen, Matt:
Green 1st, yellow 2nd, red 3rd</t>
      </text>
    </comment>
    <comment ref="B8" authorId="0" shapeId="0">
      <text>
        <t>Hulen, Matt:
Green above goal/ red below goal. Please ensure to usee CS D:00.</t>
      </text>
    </comment>
    <comment ref="C8" authorId="0" shapeId="0">
      <text>
        <t>Hulen, Matt:
Green above goal/ red below goal. Please ensure to usee CS D:00.</t>
      </text>
    </comment>
    <comment ref="B9" authorId="0" shapeId="0">
      <text>
        <t>Hulen, Matt:
Green above goal/ red below goal</t>
      </text>
    </comment>
    <comment ref="C9" authorId="0" shapeId="0">
      <text>
        <t>Hulen, Matt:
Green above goal/ red below goal</t>
      </text>
    </comment>
  </commentList>
</comments>
</file>

<file path=xl/comments/comment2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3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4.xml><?xml version="1.0" encoding="utf-8"?>
<comments xmlns="http://schemas.openxmlformats.org/spreadsheetml/2006/main">
  <authors>
    <author>Hulen, Matt</author>
  </authors>
  <commentLis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5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6.xml><?xml version="1.0" encoding="utf-8"?>
<comments xmlns="http://schemas.openxmlformats.org/spreadsheetml/2006/main">
  <authors>
    <author>Hulen, Matt</author>
  </authors>
  <commentList>
    <comment ref="I4" authorId="0" shapeId="0">
      <text>
        <t>Hulen, Matt:
Green above goal/ red below goal. Please ensure to usee CS D:00.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commentsDrawing4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commentsDrawing5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commentsDrawing6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O41"/>
  <sheetViews>
    <sheetView showGridLines="0" zoomScaleNormal="100" workbookViewId="0">
      <selection activeCell="B5" sqref="B5"/>
    </sheetView>
  </sheetViews>
  <sheetFormatPr baseColWidth="8" defaultColWidth="8.7265625" defaultRowHeight="12" outlineLevelCol="0"/>
  <cols>
    <col width="20.26953125" bestFit="1" customWidth="1" style="1" min="1" max="1"/>
    <col width="9.81640625" bestFit="1" customWidth="1" style="1" min="2" max="2"/>
    <col width="9.7265625" bestFit="1" customWidth="1" style="1" min="3" max="4"/>
    <col width="11.7265625" bestFit="1" customWidth="1" style="1" min="5" max="5"/>
    <col width="11.81640625" bestFit="1" customWidth="1" style="1" min="6" max="6"/>
    <col width="9.7265625" bestFit="1" customWidth="1" style="1" min="7" max="7"/>
    <col width="9.7265625" customWidth="1" style="1" min="8" max="8"/>
    <col width="7.7265625" customWidth="1" style="1" min="9" max="9"/>
    <col width="9.1796875" customWidth="1" style="1" min="10" max="10"/>
    <col width="7.7265625" customWidth="1" style="1" min="11" max="11"/>
    <col width="13.26953125" customWidth="1" style="1" min="12" max="12"/>
    <col width="7.7265625" customWidth="1" style="1" min="13" max="13"/>
    <col width="12.54296875" customWidth="1" style="1" min="14" max="14"/>
    <col width="7.7265625" customWidth="1" style="1" min="15" max="15"/>
    <col width="8.7265625" customWidth="1" style="1" min="16" max="16384"/>
  </cols>
  <sheetData>
    <row r="1" ht="28.9" customHeight="1" s="286">
      <c r="A1" s="338" t="inlineStr">
        <is>
          <t>UAX Daily Snapshot for</t>
        </is>
      </c>
      <c r="B1" s="339" t="n"/>
      <c r="C1" s="340">
        <f>TODAY()-1</f>
        <v/>
      </c>
      <c r="D1" s="339" t="n"/>
    </row>
    <row r="2" ht="15" customHeight="1" s="286" thickBot="1">
      <c r="E2" s="1" t="n"/>
    </row>
    <row r="3" ht="18" customHeight="1" s="286" thickBot="1">
      <c r="A3" s="304" t="inlineStr">
        <is>
          <t>Reliability Snapshot</t>
        </is>
      </c>
      <c r="B3" s="341" t="n"/>
      <c r="C3" s="341" t="n"/>
      <c r="D3" s="341" t="n"/>
      <c r="E3" s="341" t="n"/>
      <c r="F3" s="341" t="n"/>
      <c r="G3" s="341" t="n"/>
      <c r="L3" s="39" t="n"/>
    </row>
    <row r="4" ht="19.9" customHeight="1" s="286" thickBot="1">
      <c r="A4" s="47" t="inlineStr">
        <is>
          <t>Metric</t>
        </is>
      </c>
      <c r="B4" s="49">
        <f>TODAY()-1</f>
        <v/>
      </c>
      <c r="C4" s="45" t="inlineStr">
        <is>
          <t>MTD</t>
        </is>
      </c>
      <c r="D4" s="45" t="inlineStr">
        <is>
          <t>Goal</t>
        </is>
      </c>
      <c r="E4" s="45" t="inlineStr">
        <is>
          <t>DL Difference</t>
        </is>
      </c>
      <c r="F4" s="45" t="inlineStr">
        <is>
          <t>AA Difference</t>
        </is>
      </c>
      <c r="G4" s="46" t="inlineStr">
        <is>
          <t>Rank</t>
        </is>
      </c>
    </row>
    <row r="5" ht="19.15" customHeight="1" s="286">
      <c r="A5" s="44" t="inlineStr">
        <is>
          <t>Completion</t>
        </is>
      </c>
      <c r="B5" s="342" t="n">
        <v>0.9979</v>
      </c>
      <c r="C5" s="342" t="n">
        <v>0.9879</v>
      </c>
      <c r="D5" s="343" t="n">
        <v>0.99</v>
      </c>
      <c r="E5" s="30" t="n">
        <v>-1.13</v>
      </c>
      <c r="F5" s="30" t="n">
        <v>-1.13</v>
      </c>
      <c r="G5" s="27" t="n">
        <v>3</v>
      </c>
    </row>
    <row r="6" ht="19.9" customHeight="1" s="286">
      <c r="A6" s="44" t="inlineStr">
        <is>
          <t>A:00</t>
        </is>
      </c>
      <c r="B6" s="342" t="n">
        <v>0.722</v>
      </c>
      <c r="C6" s="342" t="n">
        <v>0.722</v>
      </c>
      <c r="D6" s="343" t="n">
        <v>0.9</v>
      </c>
      <c r="E6" s="30" t="n">
        <v>-1.13</v>
      </c>
      <c r="F6" s="30" t="n">
        <v>-0.24</v>
      </c>
      <c r="G6" s="27" t="n">
        <v>1</v>
      </c>
    </row>
    <row r="7" ht="19.15" customHeight="1" s="286">
      <c r="A7" s="43" t="inlineStr">
        <is>
          <t xml:space="preserve">D:00 </t>
        </is>
      </c>
      <c r="B7" s="344" t="n">
        <v>0.8100000000000001</v>
      </c>
      <c r="C7" s="344" t="n">
        <v>0.722</v>
      </c>
      <c r="D7" s="345" t="n">
        <v>0.8</v>
      </c>
      <c r="E7" s="34" t="n">
        <v>-6.4</v>
      </c>
      <c r="F7" s="35" t="n">
        <v>4.4</v>
      </c>
      <c r="G7" s="36" t="n">
        <v>2</v>
      </c>
    </row>
    <row r="8" ht="19.9" customHeight="1" s="286">
      <c r="A8" s="43" t="inlineStr">
        <is>
          <t xml:space="preserve">CS D:00 </t>
        </is>
      </c>
      <c r="B8" s="344" t="n">
        <v>0.8100000000000001</v>
      </c>
      <c r="C8" s="344" t="n">
        <v>0.722</v>
      </c>
      <c r="D8" s="345" t="n">
        <v>0.8</v>
      </c>
    </row>
    <row r="9" ht="20.5" customHeight="1" s="286">
      <c r="A9" s="44" t="inlineStr">
        <is>
          <t>STAR D:00</t>
        </is>
      </c>
      <c r="B9" s="342" t="n">
        <v>0.844</v>
      </c>
      <c r="C9" s="342" t="n">
        <v>0.844</v>
      </c>
      <c r="D9" s="343" t="n">
        <v>0.9</v>
      </c>
    </row>
    <row r="10" ht="19.9" customHeight="1" s="286">
      <c r="A10" s="44" t="inlineStr">
        <is>
          <t>Controllable Completion</t>
        </is>
      </c>
      <c r="B10" s="342" t="n">
        <v>0.9903999999999999</v>
      </c>
      <c r="C10" s="342" t="n">
        <v>0.9903999999999999</v>
      </c>
      <c r="D10" s="343" t="n">
        <v>0.99</v>
      </c>
    </row>
    <row r="14" ht="12.5" customHeight="1" s="286" thickBot="1">
      <c r="B14" s="346" t="n"/>
    </row>
    <row r="15" ht="15" customHeight="1" s="286" thickBot="1">
      <c r="A15" s="304" t="inlineStr">
        <is>
          <t>Cancel Detail</t>
        </is>
      </c>
      <c r="B15" s="341" t="n"/>
      <c r="C15" s="341" t="n"/>
      <c r="D15" s="341" t="n"/>
      <c r="E15" s="341" t="n"/>
      <c r="F15" s="341" t="n"/>
      <c r="G15" s="341" t="n"/>
      <c r="H15" s="341" t="n"/>
      <c r="I15" s="341" t="n"/>
      <c r="J15" s="341" t="n"/>
      <c r="K15" s="341" t="n"/>
      <c r="L15" s="341" t="n"/>
      <c r="M15" s="341" t="n"/>
      <c r="N15" s="341" t="n"/>
    </row>
    <row r="16" ht="11.5" customHeight="1" s="286">
      <c r="A16" s="24" t="inlineStr">
        <is>
          <t>Express Partner</t>
        </is>
      </c>
      <c r="B16" s="4" t="inlineStr">
        <is>
          <t>Scheduled</t>
        </is>
      </c>
      <c r="C16" s="5" t="inlineStr">
        <is>
          <t>Weather &amp;</t>
        </is>
      </c>
      <c r="D16" s="5" t="inlineStr">
        <is>
          <t>Technical</t>
        </is>
      </c>
      <c r="E16" s="5" t="inlineStr">
        <is>
          <t>Flight</t>
        </is>
      </c>
      <c r="F16" s="5" t="inlineStr">
        <is>
          <t>Inflight</t>
        </is>
      </c>
      <c r="G16" s="5" t="inlineStr">
        <is>
          <t>Airport</t>
        </is>
      </c>
      <c r="H16" s="306" t="inlineStr">
        <is>
          <t>Network</t>
        </is>
      </c>
      <c r="I16" s="306" t="inlineStr">
        <is>
          <t>IT</t>
        </is>
      </c>
      <c r="J16" s="347" t="inlineStr">
        <is>
          <t>Catering Operations</t>
        </is>
      </c>
      <c r="K16" s="73" t="inlineStr">
        <is>
          <t>Total Cancels</t>
        </is>
      </c>
      <c r="L16" s="74" t="inlineStr">
        <is>
          <t>ES covered for this partner</t>
        </is>
      </c>
      <c r="M16" s="74" t="inlineStr">
        <is>
          <t>Total</t>
        </is>
      </c>
      <c r="N16" s="74" t="inlineStr">
        <is>
          <t>ES covered by this partner</t>
        </is>
      </c>
    </row>
    <row r="17" ht="13.5" customHeight="1" s="286" thickBot="1">
      <c r="A17" s="25" t="n"/>
      <c r="B17" s="6" t="inlineStr">
        <is>
          <t>Departures</t>
        </is>
      </c>
      <c r="C17" s="307" t="inlineStr">
        <is>
          <t>ATC</t>
        </is>
      </c>
      <c r="D17" s="307" t="inlineStr">
        <is>
          <t>Operations</t>
        </is>
      </c>
      <c r="E17" s="307" t="inlineStr">
        <is>
          <t>Operations</t>
        </is>
      </c>
      <c r="F17" s="307" t="inlineStr">
        <is>
          <t>Services</t>
        </is>
      </c>
      <c r="G17" s="307" t="inlineStr">
        <is>
          <t>Operations</t>
        </is>
      </c>
      <c r="H17" s="307" t="inlineStr">
        <is>
          <t>Operations</t>
        </is>
      </c>
      <c r="I17" s="26" t="n"/>
      <c r="J17" s="348" t="n"/>
      <c r="K17" s="349" t="n"/>
      <c r="L17" s="349" t="n"/>
      <c r="M17" s="349" t="n"/>
      <c r="N17" s="349" t="n"/>
    </row>
    <row r="18" ht="13" customHeight="1" s="286">
      <c r="A18" s="10" t="inlineStr">
        <is>
          <t>EV - ExpressJet</t>
        </is>
      </c>
      <c r="B18" s="11" t="n">
        <v>426</v>
      </c>
      <c r="C18" s="48" t="n"/>
      <c r="D18" s="19" t="n"/>
      <c r="E18" s="48" t="n">
        <v>19</v>
      </c>
      <c r="F18" s="19" t="n"/>
      <c r="G18" s="19" t="n"/>
      <c r="H18" s="19" t="n"/>
      <c r="I18" s="19" t="n"/>
      <c r="J18" s="19" t="n"/>
      <c r="K18" s="37" t="n">
        <v>19</v>
      </c>
      <c r="L18" s="37" t="inlineStr">
        <is>
          <t>OO 2, AX 1</t>
        </is>
      </c>
      <c r="M18" s="14" t="n">
        <v>3</v>
      </c>
      <c r="N18" s="40" t="n">
        <v>4</v>
      </c>
    </row>
    <row r="19" ht="13" customHeight="1" s="286">
      <c r="A19" s="15" t="inlineStr">
        <is>
          <t>OO - SkyWest</t>
        </is>
      </c>
      <c r="B19" s="16" t="n">
        <v>923</v>
      </c>
      <c r="C19" s="190" t="n">
        <v>7</v>
      </c>
      <c r="D19" s="190" t="n">
        <v>3</v>
      </c>
      <c r="E19" s="190" t="n">
        <v>1</v>
      </c>
      <c r="F19" s="190" t="n"/>
      <c r="G19" s="190" t="n"/>
      <c r="H19" s="190" t="n"/>
      <c r="I19" s="190" t="n"/>
      <c r="J19" s="190" t="n"/>
      <c r="K19" s="18" t="n">
        <v>11</v>
      </c>
      <c r="L19" s="18" t="inlineStr">
        <is>
          <t>ZW 2</t>
        </is>
      </c>
      <c r="M19" s="18" t="n">
        <v>2</v>
      </c>
      <c r="N19" s="16" t="n"/>
    </row>
    <row r="20" ht="13" customHeight="1" s="286">
      <c r="A20" s="10" t="inlineStr">
        <is>
          <t>AX - Trans States</t>
        </is>
      </c>
      <c r="B20" s="11" t="n">
        <v>205</v>
      </c>
      <c r="C20" s="48" t="n"/>
      <c r="D20" s="19" t="n"/>
      <c r="E20" s="19" t="n"/>
      <c r="F20" s="19" t="n"/>
      <c r="G20" s="19" t="n"/>
      <c r="H20" s="19" t="n"/>
      <c r="I20" s="19" t="n"/>
      <c r="J20" s="19" t="n"/>
      <c r="K20" s="42" t="inlineStr">
        <is>
          <t>-</t>
        </is>
      </c>
      <c r="L20" s="38" t="n"/>
      <c r="M20" s="14" t="n"/>
      <c r="N20" s="40" t="n"/>
    </row>
    <row r="21" ht="13" customHeight="1" s="286">
      <c r="A21" s="15" t="inlineStr">
        <is>
          <t>YX - Republic</t>
        </is>
      </c>
      <c r="B21" s="16" t="n">
        <v>315</v>
      </c>
      <c r="C21" s="190" t="n">
        <v>5</v>
      </c>
      <c r="D21" s="190" t="n"/>
      <c r="E21" s="190" t="n">
        <v>1</v>
      </c>
      <c r="F21" s="190" t="n"/>
      <c r="G21" s="190" t="n"/>
      <c r="H21" s="190" t="n">
        <v>3</v>
      </c>
      <c r="I21" s="190" t="n"/>
      <c r="J21" s="190" t="n"/>
      <c r="K21" s="18" t="n">
        <v>9</v>
      </c>
      <c r="L21" s="18" t="inlineStr">
        <is>
          <t>ZW 1</t>
        </is>
      </c>
      <c r="M21" s="18" t="n">
        <v>1</v>
      </c>
      <c r="N21" s="16" t="n"/>
    </row>
    <row r="22" ht="13" customHeight="1" s="286">
      <c r="A22" s="10" t="inlineStr">
        <is>
          <t>G7 - Go Jet</t>
        </is>
      </c>
      <c r="B22" s="11" t="n">
        <v>90</v>
      </c>
      <c r="C22" s="48" t="n"/>
      <c r="D22" s="19" t="n"/>
      <c r="E22" s="19" t="n"/>
      <c r="F22" s="19" t="n"/>
      <c r="G22" s="19" t="n"/>
      <c r="H22" s="19" t="n"/>
      <c r="I22" s="19" t="n"/>
      <c r="J22" s="19" t="n"/>
      <c r="K22" s="42" t="inlineStr">
        <is>
          <t>-</t>
        </is>
      </c>
      <c r="L22" s="38" t="inlineStr">
        <is>
          <t>OO 2, AX 5</t>
        </is>
      </c>
      <c r="M22" s="14" t="n"/>
      <c r="N22" s="40" t="n"/>
    </row>
    <row r="23" ht="13" customHeight="1" s="286">
      <c r="A23" s="15" t="inlineStr">
        <is>
          <t>C5 - CommutAir</t>
        </is>
      </c>
      <c r="B23" s="16" t="n">
        <v>171</v>
      </c>
      <c r="C23" s="190" t="n"/>
      <c r="D23" s="190" t="n"/>
      <c r="E23" s="190" t="n"/>
      <c r="F23" s="190" t="n"/>
      <c r="G23" s="190" t="n"/>
      <c r="H23" s="190" t="n"/>
      <c r="I23" s="190" t="n"/>
      <c r="J23" s="190" t="n"/>
      <c r="K23" s="41" t="inlineStr">
        <is>
          <t>-</t>
        </is>
      </c>
      <c r="L23" s="18" t="n"/>
      <c r="M23" s="18" t="n"/>
      <c r="N23" s="16" t="n"/>
    </row>
    <row r="24" ht="13" customHeight="1" s="286">
      <c r="A24" s="10" t="inlineStr">
        <is>
          <t>YV - Mesa</t>
        </is>
      </c>
      <c r="B24" s="11" t="n">
        <v>383</v>
      </c>
      <c r="C24" s="48" t="n"/>
      <c r="D24" s="48" t="n">
        <v>4</v>
      </c>
      <c r="E24" s="48" t="n"/>
      <c r="F24" s="48" t="n"/>
      <c r="G24" s="19" t="n"/>
      <c r="H24" s="19" t="n"/>
      <c r="I24" s="19" t="n"/>
      <c r="J24" s="19" t="n"/>
      <c r="K24" s="38" t="n">
        <v>4</v>
      </c>
      <c r="L24" s="38" t="n"/>
      <c r="M24" s="14" t="n"/>
      <c r="N24" s="40" t="n"/>
    </row>
    <row r="25" ht="13.5" customHeight="1" s="286" thickBot="1">
      <c r="A25" s="15" t="inlineStr">
        <is>
          <t>ZW - Air Wisconsin</t>
        </is>
      </c>
      <c r="B25" s="16" t="n">
        <v>292</v>
      </c>
      <c r="C25" s="190" t="n"/>
      <c r="D25" s="190" t="n"/>
      <c r="E25" s="190" t="n"/>
      <c r="F25" s="190" t="n"/>
      <c r="G25" s="190" t="n"/>
      <c r="H25" s="190" t="n">
        <v>4</v>
      </c>
      <c r="I25" s="190" t="n"/>
      <c r="J25" s="190" t="n"/>
      <c r="K25" s="18" t="n">
        <v>4</v>
      </c>
      <c r="L25" s="18" t="inlineStr">
        <is>
          <t>OO 2, C5 1</t>
        </is>
      </c>
      <c r="M25" s="18" t="n">
        <v>3</v>
      </c>
      <c r="N25" s="16" t="n">
        <v>2</v>
      </c>
    </row>
    <row r="26" ht="13.5" customHeight="1" s="286" thickBot="1">
      <c r="A26" s="20" t="inlineStr">
        <is>
          <t>Total:</t>
        </is>
      </c>
      <c r="B26" s="21" t="n">
        <v>2805</v>
      </c>
      <c r="C26" s="22">
        <f>SUM(C18:C25)</f>
        <v/>
      </c>
      <c r="D26" s="22" t="n">
        <v>7</v>
      </c>
      <c r="E26" s="22" t="n">
        <v>21</v>
      </c>
      <c r="F26" s="22" t="n"/>
      <c r="G26" s="22" t="n"/>
      <c r="H26" s="22" t="n">
        <v>7</v>
      </c>
      <c r="I26" s="22" t="n"/>
      <c r="J26" s="22" t="n"/>
      <c r="K26" s="23">
        <f>SUM(K18:K25)</f>
        <v/>
      </c>
      <c r="L26" s="23" t="n"/>
      <c r="M26" s="23">
        <f>SUM(M18:M25)</f>
        <v/>
      </c>
      <c r="N26" s="23">
        <f>SUM(N18:N25)</f>
        <v/>
      </c>
    </row>
    <row r="27" ht="9.4" customHeight="1" s="286">
      <c r="A27" s="8" t="n"/>
      <c r="B27" s="9" t="n"/>
      <c r="G27" s="9" t="n"/>
      <c r="H27" s="9" t="n"/>
      <c r="I27" s="9" t="n"/>
      <c r="J27" s="9" t="n"/>
      <c r="K27" s="9" t="n"/>
      <c r="L27" s="9" t="n"/>
      <c r="M27" s="9" t="n"/>
      <c r="N27" s="9" t="n"/>
      <c r="O27" s="9" t="n"/>
    </row>
    <row r="28" ht="9.4" customHeight="1" s="286">
      <c r="A28" s="8" t="n"/>
      <c r="B28" s="9" t="n"/>
      <c r="G28" s="9" t="n"/>
      <c r="H28" s="9" t="n"/>
      <c r="I28" s="9" t="n"/>
      <c r="J28" s="9" t="n"/>
      <c r="K28" s="9" t="n"/>
      <c r="L28" s="9" t="n"/>
      <c r="M28" s="9" t="n"/>
      <c r="N28" s="9" t="n"/>
      <c r="O28" s="9" t="n"/>
    </row>
    <row r="29" ht="9.4" customHeight="1" s="286" thickBot="1"/>
    <row r="30" ht="15" customHeight="1" s="286" thickBot="1">
      <c r="A30" s="312" t="inlineStr">
        <is>
          <t>Residual Cancel Detail</t>
        </is>
      </c>
      <c r="B30" s="350" t="n"/>
      <c r="C30" s="350" t="n"/>
      <c r="D30" s="350" t="n"/>
      <c r="E30" s="350" t="n"/>
      <c r="F30" s="350" t="n"/>
      <c r="G30" s="350" t="n"/>
      <c r="H30" s="350" t="n"/>
      <c r="I30" s="350" t="n"/>
      <c r="J30" s="350" t="n"/>
      <c r="K30" s="350" t="n"/>
      <c r="L30" s="350" t="n"/>
      <c r="M30" s="350" t="n"/>
      <c r="N30" s="350" t="n"/>
    </row>
    <row r="31" ht="9.4" customHeight="1" s="286">
      <c r="A31" s="24" t="inlineStr">
        <is>
          <t>Express Partner</t>
        </is>
      </c>
      <c r="B31" s="4" t="inlineStr">
        <is>
          <t>Scheduled</t>
        </is>
      </c>
      <c r="C31" s="5" t="inlineStr">
        <is>
          <t>Weather &amp;</t>
        </is>
      </c>
      <c r="D31" s="5" t="inlineStr">
        <is>
          <t>Technical</t>
        </is>
      </c>
      <c r="E31" s="5" t="inlineStr">
        <is>
          <t>Flight</t>
        </is>
      </c>
      <c r="F31" s="5" t="inlineStr">
        <is>
          <t>Inflight</t>
        </is>
      </c>
      <c r="G31" s="5" t="inlineStr">
        <is>
          <t>Airport</t>
        </is>
      </c>
      <c r="H31" s="306" t="inlineStr">
        <is>
          <t>Network</t>
        </is>
      </c>
      <c r="I31" s="306" t="inlineStr">
        <is>
          <t>IT</t>
        </is>
      </c>
      <c r="J31" s="347" t="inlineStr">
        <is>
          <t>Catering Operations</t>
        </is>
      </c>
      <c r="K31" s="73" t="inlineStr">
        <is>
          <t>Total Cancels</t>
        </is>
      </c>
      <c r="L31" s="74" t="inlineStr">
        <is>
          <t>ES covered for this partner</t>
        </is>
      </c>
      <c r="M31" s="74" t="inlineStr">
        <is>
          <t>Total</t>
        </is>
      </c>
      <c r="N31" s="74" t="inlineStr">
        <is>
          <t>ES covered by this partner</t>
        </is>
      </c>
    </row>
    <row r="32" ht="13.5" customHeight="1" s="286" thickBot="1">
      <c r="A32" s="25" t="n"/>
      <c r="B32" s="6" t="inlineStr">
        <is>
          <t>Departures</t>
        </is>
      </c>
      <c r="C32" s="307" t="inlineStr">
        <is>
          <t>ATC</t>
        </is>
      </c>
      <c r="D32" s="307" t="inlineStr">
        <is>
          <t>Operations</t>
        </is>
      </c>
      <c r="E32" s="307" t="inlineStr">
        <is>
          <t>Operations</t>
        </is>
      </c>
      <c r="F32" s="307" t="inlineStr">
        <is>
          <t>Services</t>
        </is>
      </c>
      <c r="G32" s="307" t="inlineStr">
        <is>
          <t>Operations</t>
        </is>
      </c>
      <c r="H32" s="307" t="inlineStr">
        <is>
          <t>Operations</t>
        </is>
      </c>
      <c r="I32" s="26" t="n"/>
      <c r="J32" s="348" t="n"/>
      <c r="K32" s="349" t="n"/>
      <c r="L32" s="349" t="n"/>
      <c r="M32" s="349" t="n"/>
      <c r="N32" s="349" t="n"/>
    </row>
    <row r="33" ht="13" customHeight="1" s="286">
      <c r="A33" s="10" t="inlineStr">
        <is>
          <t>EV - ExpressJet</t>
        </is>
      </c>
      <c r="B33" s="11" t="n">
        <v>426</v>
      </c>
      <c r="C33" s="48" t="n"/>
      <c r="D33" s="19" t="n"/>
      <c r="E33" s="13" t="n">
        <v>2</v>
      </c>
      <c r="F33" s="19" t="n"/>
      <c r="G33" s="19" t="n"/>
      <c r="H33" s="19" t="n"/>
      <c r="I33" s="19" t="n"/>
      <c r="J33" s="19" t="n"/>
      <c r="K33" s="37" t="n">
        <v>2</v>
      </c>
      <c r="L33" s="37" t="n"/>
      <c r="M33" s="14" t="n"/>
      <c r="N33" s="38" t="n"/>
    </row>
    <row r="34" ht="13" customHeight="1" s="286">
      <c r="A34" s="15" t="inlineStr">
        <is>
          <t>OO - SkyWest</t>
        </is>
      </c>
      <c r="B34" s="16" t="n">
        <v>923</v>
      </c>
      <c r="C34" s="190" t="n">
        <v>1</v>
      </c>
      <c r="D34" s="190" t="n"/>
      <c r="E34" s="190" t="n">
        <v>1</v>
      </c>
      <c r="F34" s="190" t="n"/>
      <c r="G34" s="190" t="n"/>
      <c r="H34" s="190" t="n"/>
      <c r="I34" s="190" t="n"/>
      <c r="J34" s="190" t="n"/>
      <c r="K34" s="18" t="n">
        <v>2</v>
      </c>
      <c r="L34" s="18" t="n"/>
      <c r="M34" s="18" t="n"/>
      <c r="N34" s="18" t="n">
        <v>3</v>
      </c>
    </row>
    <row r="35" ht="13" customHeight="1" s="286">
      <c r="A35" s="10" t="inlineStr">
        <is>
          <t>AX - Trans States</t>
        </is>
      </c>
      <c r="B35" s="11" t="n">
        <v>205</v>
      </c>
      <c r="C35" s="48" t="n"/>
      <c r="D35" s="19" t="n"/>
      <c r="E35" s="19" t="n"/>
      <c r="F35" s="19" t="n"/>
      <c r="G35" s="19" t="n"/>
      <c r="H35" s="19" t="n"/>
      <c r="I35" s="19" t="n"/>
      <c r="J35" s="19" t="n"/>
      <c r="K35" s="42" t="inlineStr">
        <is>
          <t>-</t>
        </is>
      </c>
      <c r="L35" s="38" t="n"/>
      <c r="M35" s="14" t="n"/>
      <c r="N35" s="38" t="n"/>
    </row>
    <row r="36" ht="13" customHeight="1" s="286">
      <c r="A36" s="15" t="inlineStr">
        <is>
          <t>YX - Republic</t>
        </is>
      </c>
      <c r="B36" s="16" t="n">
        <v>315</v>
      </c>
      <c r="C36" s="190" t="n"/>
      <c r="D36" s="190" t="n"/>
      <c r="E36" s="190" t="n"/>
      <c r="F36" s="190" t="n">
        <v>1</v>
      </c>
      <c r="G36" s="190" t="n"/>
      <c r="H36" s="190" t="n"/>
      <c r="I36" s="190" t="n"/>
      <c r="J36" s="190" t="n"/>
      <c r="K36" s="41" t="n">
        <v>1</v>
      </c>
      <c r="L36" s="18" t="n"/>
      <c r="M36" s="18" t="n"/>
      <c r="N36" s="18" t="n"/>
    </row>
    <row r="37" ht="13" customHeight="1" s="286">
      <c r="A37" s="10" t="inlineStr">
        <is>
          <t>G7 - Go Jet</t>
        </is>
      </c>
      <c r="B37" s="11" t="n">
        <v>90</v>
      </c>
      <c r="C37" s="48" t="n"/>
      <c r="D37" s="19" t="n"/>
      <c r="E37" s="19" t="n"/>
      <c r="F37" s="19" t="n"/>
      <c r="G37" s="19" t="n"/>
      <c r="H37" s="19" t="n"/>
      <c r="I37" s="19" t="n"/>
      <c r="J37" s="19" t="n"/>
      <c r="K37" s="42" t="inlineStr">
        <is>
          <t>-</t>
        </is>
      </c>
      <c r="L37" s="38" t="inlineStr">
        <is>
          <t>OO 2, AX 5</t>
        </is>
      </c>
      <c r="M37" s="14" t="n">
        <v>7</v>
      </c>
      <c r="N37" s="38" t="n"/>
    </row>
    <row r="38" ht="13" customHeight="1" s="286">
      <c r="A38" s="15" t="inlineStr">
        <is>
          <t>C5 - CommutAir</t>
        </is>
      </c>
      <c r="B38" s="16" t="n">
        <v>171</v>
      </c>
      <c r="C38" s="190" t="n"/>
      <c r="D38" s="190" t="n"/>
      <c r="E38" s="190" t="n"/>
      <c r="F38" s="190" t="n"/>
      <c r="G38" s="190" t="n"/>
      <c r="H38" s="190" t="n"/>
      <c r="I38" s="190" t="n"/>
      <c r="J38" s="190" t="n"/>
      <c r="K38" s="41" t="inlineStr">
        <is>
          <t>-</t>
        </is>
      </c>
      <c r="L38" s="18" t="n"/>
      <c r="M38" s="18" t="n"/>
      <c r="N38" s="18" t="n"/>
    </row>
    <row r="39" ht="13" customHeight="1" s="286">
      <c r="A39" s="10" t="inlineStr">
        <is>
          <t>YV - Mesa</t>
        </is>
      </c>
      <c r="B39" s="11" t="n">
        <v>383</v>
      </c>
      <c r="C39" s="48" t="n"/>
      <c r="D39" s="19" t="n">
        <v>3</v>
      </c>
      <c r="E39" s="19" t="n"/>
      <c r="F39" s="19" t="n"/>
      <c r="G39" s="19" t="n"/>
      <c r="H39" s="19" t="n"/>
      <c r="I39" s="19" t="n"/>
      <c r="J39" s="19" t="n"/>
      <c r="K39" s="38" t="n">
        <v>3</v>
      </c>
      <c r="L39" s="38" t="n"/>
      <c r="M39" s="14" t="n"/>
      <c r="N39" s="38" t="n"/>
    </row>
    <row r="40" ht="13.5" customHeight="1" s="286" thickBot="1">
      <c r="A40" s="15" t="inlineStr">
        <is>
          <t>ZW - Air Wisconsin</t>
        </is>
      </c>
      <c r="B40" s="16" t="n">
        <v>292</v>
      </c>
      <c r="C40" s="190" t="n"/>
      <c r="D40" s="190" t="n"/>
      <c r="E40" s="190" t="n"/>
      <c r="F40" s="190" t="n"/>
      <c r="G40" s="190" t="n"/>
      <c r="H40" s="190" t="n"/>
      <c r="I40" s="190" t="n"/>
      <c r="J40" s="190" t="n"/>
      <c r="K40" s="41" t="inlineStr">
        <is>
          <t>-</t>
        </is>
      </c>
      <c r="L40" s="18" t="inlineStr">
        <is>
          <t>OO 2, AX 1</t>
        </is>
      </c>
      <c r="M40" s="18" t="n">
        <v>3</v>
      </c>
      <c r="N40" s="18" t="n">
        <v>2</v>
      </c>
    </row>
    <row r="41" ht="13.5" customHeight="1" s="286" thickBot="1">
      <c r="A41" s="20" t="inlineStr">
        <is>
          <t>Total:</t>
        </is>
      </c>
      <c r="B41" s="21" t="n">
        <v>2805</v>
      </c>
      <c r="C41" s="22" t="n">
        <v>1</v>
      </c>
      <c r="D41" s="22" t="n">
        <v>3</v>
      </c>
      <c r="E41" s="22" t="n">
        <v>3</v>
      </c>
      <c r="F41" s="22" t="n"/>
      <c r="G41" s="22" t="n"/>
      <c r="H41" s="22" t="n"/>
      <c r="I41" s="22" t="n"/>
      <c r="J41" s="22" t="n"/>
      <c r="K41" s="23">
        <f>SUM(K33:K40)</f>
        <v/>
      </c>
      <c r="L41" s="23" t="n"/>
      <c r="M41" s="23">
        <f>SUM(M33:M40)</f>
        <v/>
      </c>
      <c r="N41" s="23">
        <f>SUM(N33:N40)</f>
        <v/>
      </c>
    </row>
  </sheetData>
  <mergeCells count="15">
    <mergeCell ref="C1:D1"/>
    <mergeCell ref="M31:M32"/>
    <mergeCell ref="A3:G3"/>
    <mergeCell ref="A30:N30"/>
    <mergeCell ref="N31:N32"/>
    <mergeCell ref="J31:J32"/>
    <mergeCell ref="A15:N15"/>
    <mergeCell ref="M16:M17"/>
    <mergeCell ref="K16:K17"/>
    <mergeCell ref="L16:L17"/>
    <mergeCell ref="A1:B1"/>
    <mergeCell ref="N16:N17"/>
    <mergeCell ref="K31:K32"/>
    <mergeCell ref="L31:L32"/>
    <mergeCell ref="J16:J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5:C7 C9:C10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landscape" scale="8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6">
    <tabColor theme="7" tint="0.7999816888943144"/>
    <outlinePr summaryBelow="1" summaryRight="1"/>
    <pageSetUpPr/>
  </sheetPr>
  <dimension ref="A1:A2"/>
  <sheetViews>
    <sheetView workbookViewId="0">
      <selection activeCell="I23" sqref="I23"/>
    </sheetView>
  </sheetViews>
  <sheetFormatPr baseColWidth="8" defaultRowHeight="14.5"/>
  <sheetData>
    <row r="1">
      <c r="A1" t="inlineStr">
        <is>
          <t>HTML_PAGES</t>
        </is>
      </c>
    </row>
    <row r="2">
      <c r="A2" t="inlineStr">
        <is>
          <t>PAGE_1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7">
    <tabColor theme="9" tint="-0.249977111117893"/>
    <outlinePr summaryBelow="1" summaryRight="1"/>
    <pageSetUpPr fitToPage="1"/>
  </sheetPr>
  <dimension ref="B2:X44"/>
  <sheetViews>
    <sheetView showGridLines="0" zoomScale="85" zoomScaleNormal="85" workbookViewId="0">
      <selection activeCell="T17" sqref="T17"/>
    </sheetView>
  </sheetViews>
  <sheetFormatPr baseColWidth="8" defaultColWidth="8.7265625" defaultRowHeight="12" outlineLevelCol="0"/>
  <cols>
    <col width="6" customWidth="1" style="1" min="1" max="1"/>
    <col width="21.26953125" customWidth="1" style="1" min="2" max="2"/>
    <col width="10.81640625" bestFit="1" customWidth="1" style="1" min="3" max="3"/>
    <col width="10.453125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bestFit="1" customWidth="1" style="1" min="9" max="9"/>
    <col width="5.453125" bestFit="1" customWidth="1" style="1" min="10" max="10"/>
    <col width="9.7265625" customWidth="1" style="1" min="11" max="11"/>
    <col width="7.7265625" customWidth="1" style="1" min="12" max="12"/>
    <col width="11.26953125" bestFit="1" customWidth="1" style="1" min="13" max="13"/>
    <col width="12.26953125" bestFit="1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s="286" thickBot="1"/>
    <row r="2" ht="28.9" customHeight="1" s="286">
      <c r="B2" s="338" t="inlineStr">
        <is>
          <t>UAX Daily Snapshot for</t>
        </is>
      </c>
      <c r="C2" s="339" t="n"/>
      <c r="D2" s="340">
        <f>TODAY()-1</f>
        <v/>
      </c>
      <c r="E2" s="339" t="n"/>
    </row>
    <row r="3" ht="15" customHeight="1" s="286" thickBot="1">
      <c r="F3" s="1" t="n"/>
      <c r="I3" s="85" t="n"/>
      <c r="J3" s="85" t="n"/>
      <c r="K3" s="85" t="n"/>
      <c r="L3" s="85" t="n"/>
      <c r="M3" s="84" t="n"/>
    </row>
    <row r="4" ht="18" customHeight="1" s="286" thickBot="1">
      <c r="B4" s="314" t="inlineStr">
        <is>
          <t>Reliability Snapshot</t>
        </is>
      </c>
      <c r="C4" s="341" t="n"/>
      <c r="D4" s="341" t="n"/>
      <c r="E4" s="341" t="n"/>
      <c r="F4" s="341" t="n"/>
      <c r="G4" s="341" t="n"/>
      <c r="H4" s="341" t="n"/>
      <c r="I4" s="60" t="n"/>
      <c r="J4" s="318" t="inlineStr">
        <is>
          <t>Reliability Snapshot - Hubs</t>
        </is>
      </c>
      <c r="K4" s="348" t="n"/>
      <c r="L4" s="348" t="n"/>
      <c r="M4" s="348" t="n"/>
      <c r="N4" s="348" t="n"/>
      <c r="O4" s="348" t="n"/>
      <c r="P4" s="348" t="n"/>
      <c r="Q4" s="348" t="n"/>
      <c r="R4" s="348" t="n"/>
      <c r="S4" s="348" t="n"/>
    </row>
    <row r="5" ht="19.9" customHeight="1" s="286" thickBot="1">
      <c r="B5" s="64" t="inlineStr">
        <is>
          <t>Metric</t>
        </is>
      </c>
      <c r="C5" s="49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I5" s="60">
        <f>MONTH(TODAY()-1)</f>
        <v/>
      </c>
      <c r="J5" s="88" t="inlineStr">
        <is>
          <t>Hub</t>
        </is>
      </c>
      <c r="K5" s="89" t="inlineStr">
        <is>
          <t>D:00</t>
        </is>
      </c>
      <c r="L5" s="90" t="inlineStr">
        <is>
          <t>CS D:00</t>
        </is>
      </c>
      <c r="M5" s="90" t="inlineStr">
        <is>
          <t>DL Diff.</t>
        </is>
      </c>
      <c r="N5" s="90" t="inlineStr">
        <is>
          <t>AA Diff.</t>
        </is>
      </c>
      <c r="O5" s="91" t="inlineStr">
        <is>
          <t>Rank</t>
        </is>
      </c>
      <c r="P5" s="99" t="inlineStr">
        <is>
          <t>Completion</t>
        </is>
      </c>
      <c r="Q5" s="90" t="inlineStr">
        <is>
          <t>DL Diff.</t>
        </is>
      </c>
      <c r="R5" s="90" t="inlineStr">
        <is>
          <t>AA Diff.</t>
        </is>
      </c>
      <c r="S5" s="91" t="inlineStr">
        <is>
          <t>Rank</t>
        </is>
      </c>
    </row>
    <row r="6" ht="19.15" customHeight="1" s="286">
      <c r="B6" s="62" t="inlineStr">
        <is>
          <t>Completion</t>
        </is>
      </c>
      <c r="C6" s="351">
        <f>UA_SQL_1!N2/UA_SQL_1!M2</f>
        <v/>
      </c>
      <c r="D6" s="351">
        <f>UA_SQL_1!F2/UA_SQL_1!E2</f>
        <v/>
      </c>
      <c r="E6" s="343">
        <f>SUMIF(EX_Goals!$B:$B,'PAGE_1 (2)'!$I$5,EX_Goals!$E:$E)</f>
        <v/>
      </c>
      <c r="F6" s="83">
        <f>((UA_SQL_1!$N$2/UA_SQL_1!$M$2)-(SUMIF(OA_SQL_1!$A$1:$A$3,"DL",OA_SQL_1!$K$1:$K$3)/SUMIF(OA_SQL_1!$A$1:$A$3,"DL",OA_SQL_1!$I$1:$I$3)))*100</f>
        <v/>
      </c>
      <c r="G6" s="83">
        <f>((UA_SQL_1!$N$2/UA_SQL_1!$M$2)-(SUMIF(OA_SQL_1!$A$1:$A$3,"AA",OA_SQL_1!$K$1:$K$3)/SUMIF(OA_SQL_1!$A$1:$A$3,"AA",OA_SQL_1!$I$1:$I$3)))*100</f>
        <v/>
      </c>
      <c r="H6" s="52">
        <f>RANK!F2</f>
        <v/>
      </c>
      <c r="I6" s="60" t="n"/>
      <c r="J6" s="92" t="inlineStr">
        <is>
          <t>DEN</t>
        </is>
      </c>
      <c r="K6" s="352" t="n"/>
      <c r="L6" s="352" t="n"/>
      <c r="M6" s="353" t="n"/>
      <c r="N6" s="95" t="n"/>
      <c r="O6" s="100" t="n"/>
      <c r="P6" s="97" t="n"/>
      <c r="Q6" s="352" t="n"/>
      <c r="R6" s="352" t="n"/>
      <c r="S6" s="352" t="n"/>
    </row>
    <row r="7" ht="19.9" customHeight="1" s="286">
      <c r="B7" s="62" t="inlineStr">
        <is>
          <t>A:00</t>
        </is>
      </c>
      <c r="C7" s="351">
        <f>UA_SQL_1!Q2/UA_SQL_1!M2</f>
        <v/>
      </c>
      <c r="D7" s="351">
        <f>UA_SQL_1!I2/UA_SQL_1!E2</f>
        <v/>
      </c>
      <c r="E7" s="343">
        <f>SUMIF(EX_Goals!$B:$B,'PAGE_1 (2)'!$I$5,EX_Goals!$D:$D)</f>
        <v/>
      </c>
      <c r="F7" s="83">
        <f>((UA_SQL_1!$Q$2/UA_SQL_1!$M$2)-(SUMIF(OA_SQL_1!$A$1:$A$3,"DL",OA_SQL_1!$L$1:$L$3)/SUMIF(OA_SQL_1!$A$1:$A$3,"DL",OA_SQL_1!$I$1:$I$3)))*100</f>
        <v/>
      </c>
      <c r="G7" s="83">
        <f>((UA_SQL_1!$Q$2/UA_SQL_1!$M$2)-(SUMIF(OA_SQL_1!$A$1:$A$3,"AA",OA_SQL_1!$L$1:$L$3)/SUMIF(OA_SQL_1!$A$1:$A$3,"AA",OA_SQL_1!$I$1:$I$3)))*100</f>
        <v/>
      </c>
      <c r="H7" s="52">
        <f>RANK!F3</f>
        <v/>
      </c>
      <c r="I7" s="60" t="n"/>
      <c r="J7" s="92" t="inlineStr">
        <is>
          <t>EWR</t>
        </is>
      </c>
      <c r="K7" s="352" t="n"/>
      <c r="L7" s="352" t="n"/>
      <c r="M7" s="352" t="n"/>
      <c r="N7" s="352" t="n"/>
      <c r="O7" s="354" t="n"/>
      <c r="P7" s="355" t="n"/>
      <c r="Q7" s="352" t="n"/>
      <c r="R7" s="352" t="n"/>
      <c r="S7" s="352" t="n"/>
    </row>
    <row r="8" ht="19.15" customHeight="1" s="286">
      <c r="B8" s="63" t="inlineStr">
        <is>
          <t xml:space="preserve">CS D:00 </t>
        </is>
      </c>
      <c r="C8" s="351">
        <f>UA_SQL_1!P2/UA_SQL_1!M2</f>
        <v/>
      </c>
      <c r="D8" s="356">
        <f>UA_SQL_1!H2/UA_SQL_1!E2</f>
        <v/>
      </c>
      <c r="E8" s="343">
        <f>SUMIF(EX_Goals!$B:$B,'PAGE_1 (2)'!$I$5,EX_Goals!$C:$C)</f>
        <v/>
      </c>
      <c r="F8" s="83">
        <f>((UA_SQL_1!$P$2/UA_SQL_1!$M$2)-(SUMIF(OA_SQL_1!$A$1:$A$3,"DL",OA_SQL_1!$J$1:$J$3)/SUMIF(OA_SQL_1!$A$1:$A$3,"DL",OA_SQL_1!$I$1:$I$3)))*100</f>
        <v/>
      </c>
      <c r="G8" s="83">
        <f>((UA_SQL_1!$P$2/UA_SQL_1!$M$2)-(SUMIF(OA_SQL_1!$A$1:$A$3,"AA",OA_SQL_1!$J$1:$J$3)/SUMIF(OA_SQL_1!$A$1:$A$3,"AA",OA_SQL_1!$I$1:$I$3)))*100</f>
        <v/>
      </c>
      <c r="H8" s="52">
        <f>RANK!F4</f>
        <v/>
      </c>
      <c r="I8" s="60" t="n"/>
      <c r="J8" s="96" t="inlineStr">
        <is>
          <t>IAD</t>
        </is>
      </c>
      <c r="K8" s="352" t="n"/>
      <c r="L8" s="352" t="n"/>
      <c r="M8" s="352" t="n"/>
      <c r="N8" s="352" t="n"/>
      <c r="O8" s="354" t="n"/>
      <c r="P8" s="355" t="n"/>
      <c r="Q8" s="352" t="n"/>
      <c r="R8" s="352" t="n"/>
      <c r="S8" s="352" t="n"/>
    </row>
    <row r="9" ht="19.9" customHeight="1" s="286">
      <c r="B9" s="63" t="inlineStr">
        <is>
          <t xml:space="preserve">D:00 </t>
        </is>
      </c>
      <c r="C9" s="351">
        <f>UA_SQL_1!O2/UA_SQL_1!M2</f>
        <v/>
      </c>
      <c r="D9" s="356">
        <f>UA_SQL_1!G2/UA_SQL_1!E2</f>
        <v/>
      </c>
      <c r="E9" s="343">
        <f>SUMIF(EX_Goals!$B:$B,'PAGE_1 (2)'!$I$5,EX_Goals!$C:$C)</f>
        <v/>
      </c>
      <c r="F9" s="75" t="n"/>
      <c r="G9" s="75" t="n"/>
      <c r="H9" s="75" t="n"/>
      <c r="I9" s="60" t="n"/>
      <c r="J9" s="96" t="inlineStr">
        <is>
          <t>IAH</t>
        </is>
      </c>
      <c r="K9" s="352" t="n"/>
      <c r="L9" s="352" t="n"/>
      <c r="M9" s="352" t="n"/>
      <c r="N9" s="352" t="n"/>
      <c r="O9" s="354" t="n"/>
      <c r="P9" s="355" t="n"/>
      <c r="Q9" s="352" t="n"/>
      <c r="R9" s="352" t="n"/>
      <c r="S9" s="352" t="n"/>
    </row>
    <row r="10" ht="20.5" customHeight="1" s="286">
      <c r="B10" s="62" t="inlineStr">
        <is>
          <t>STAR D:00</t>
        </is>
      </c>
      <c r="C10" s="351">
        <f>UA_SQL_1!S2/UA_SQL_1!R2</f>
        <v/>
      </c>
      <c r="D10" s="351">
        <f>UA_SQL_1!K2/UA_SQL_1!J2</f>
        <v/>
      </c>
      <c r="E10" s="343">
        <f>SUMIF(EX_Goals!$B:$B,'PAGE_1 (2)'!$I$5,EX_Goals!$F:$F)</f>
        <v/>
      </c>
      <c r="F10" s="76" t="n"/>
      <c r="G10" s="76" t="n"/>
      <c r="H10" s="76" t="n"/>
      <c r="I10" s="60" t="n"/>
      <c r="J10" s="92" t="inlineStr">
        <is>
          <t>LAX</t>
        </is>
      </c>
      <c r="K10" s="352" t="n"/>
      <c r="L10" s="352" t="n"/>
      <c r="M10" s="352" t="n"/>
      <c r="N10" s="352" t="n"/>
      <c r="O10" s="354" t="n"/>
      <c r="P10" s="355" t="n"/>
      <c r="Q10" s="352" t="n"/>
      <c r="R10" s="352" t="n"/>
      <c r="S10" s="352" t="n"/>
    </row>
    <row r="11" ht="19.9" customHeight="1" s="286">
      <c r="B11" s="62" t="inlineStr">
        <is>
          <t>Controllable Completion</t>
        </is>
      </c>
      <c r="C11" s="79">
        <f>(UA_SQL_1!M2-UA_SQL_1!T2)/UA_SQL_1!M2</f>
        <v/>
      </c>
      <c r="D11" s="79">
        <f>(UA_SQL_1!E2-UA_SQL_1!L2)/UA_SQL_1!E2</f>
        <v/>
      </c>
      <c r="E11" s="134">
        <f>SUMIF(EX_Goals!$B:$B,'PAGE_1 (2)'!$I$5,EX_Goals!$G:$G)</f>
        <v/>
      </c>
      <c r="F11" s="75" t="n"/>
      <c r="G11" s="75" t="n"/>
      <c r="H11" s="75" t="n"/>
      <c r="I11" s="59" t="n"/>
      <c r="J11" s="92" t="inlineStr">
        <is>
          <t>ORD</t>
        </is>
      </c>
      <c r="K11" s="352" t="n"/>
      <c r="L11" s="352" t="n"/>
      <c r="M11" s="352" t="n"/>
      <c r="N11" s="352" t="n"/>
      <c r="O11" s="354" t="n"/>
      <c r="P11" s="355" t="n"/>
      <c r="Q11" s="352" t="n"/>
      <c r="R11" s="352" t="n"/>
      <c r="S11" s="352" t="n"/>
    </row>
    <row r="12" ht="19.9" customHeight="1" s="286">
      <c r="B12" s="62" t="inlineStr">
        <is>
          <t>Total diverts</t>
        </is>
      </c>
      <c r="C12" s="87">
        <f>SUMIFS(TOTAL_DIVERTS_SQL_5!$B:$B,TOTAL_DIVERTS_SQL_5!A:A,"YEST")</f>
        <v/>
      </c>
      <c r="D12" s="87">
        <f>SUMIFS(TOTAL_DIVERTS_SQL_5!$B:$B,TOTAL_DIVERTS_SQL_5!A:A,"MTD")</f>
        <v/>
      </c>
      <c r="E12" s="86" t="n"/>
      <c r="F12" s="75" t="n"/>
      <c r="G12" s="75" t="n"/>
      <c r="H12" s="75" t="n"/>
      <c r="I12" s="59" t="n"/>
      <c r="J12" s="92" t="inlineStr">
        <is>
          <t>SFO</t>
        </is>
      </c>
      <c r="K12" s="352" t="n"/>
      <c r="L12" s="352" t="n"/>
      <c r="M12" s="352" t="n"/>
      <c r="N12" s="352" t="n"/>
      <c r="O12" s="354" t="n"/>
      <c r="P12" s="355" t="n"/>
      <c r="Q12" s="352" t="n"/>
      <c r="R12" s="352" t="n"/>
      <c r="S12" s="352" t="n"/>
    </row>
    <row r="13" ht="19.9" customHeight="1" s="286" thickBot="1">
      <c r="B13" s="62" t="inlineStr">
        <is>
          <t>Diverts recovered</t>
        </is>
      </c>
      <c r="C13" s="87">
        <f>SUMIF(DIVERTS_RECOVERED_SQL_6!$A:$A,"YEST",DIVERTS_RECOVERED_SQL_6!$C:$C)</f>
        <v/>
      </c>
      <c r="D13" s="87">
        <f>SUMIF(DIVERTS_RECOVERED_SQL_6!$A:$A,"MTD",DIVERTS_RECOVERED_SQL_6!$C:$C)</f>
        <v/>
      </c>
      <c r="E13" s="86" t="n"/>
      <c r="F13" s="75" t="n"/>
      <c r="G13" s="75" t="n"/>
      <c r="H13" s="75" t="n"/>
      <c r="I13" s="59" t="n"/>
      <c r="J13" s="102" t="inlineStr">
        <is>
          <t>Line</t>
        </is>
      </c>
      <c r="K13" s="357" t="n"/>
      <c r="L13" s="357" t="n"/>
      <c r="M13" s="357" t="n"/>
      <c r="N13" s="357" t="n"/>
      <c r="O13" s="358" t="n"/>
      <c r="P13" s="359" t="n"/>
      <c r="Q13" s="357" t="n"/>
      <c r="R13" s="357" t="n"/>
      <c r="S13" s="357" t="n"/>
    </row>
    <row r="14">
      <c r="I14" s="59" t="n"/>
      <c r="J14" s="59" t="n"/>
      <c r="K14" s="59" t="n"/>
      <c r="L14" s="59" t="n"/>
      <c r="M14" s="59" t="n"/>
      <c r="N14" s="59" t="n"/>
      <c r="O14" s="60" t="n"/>
      <c r="P14" s="60" t="n"/>
    </row>
    <row r="15">
      <c r="N15" s="59" t="n"/>
      <c r="O15" s="59" t="n"/>
      <c r="P15" s="59" t="n"/>
      <c r="Q15" s="59" t="n"/>
      <c r="R15" s="59" t="n"/>
      <c r="S15" s="59" t="n"/>
      <c r="T15" s="59" t="n"/>
      <c r="U15" s="59" t="n"/>
      <c r="V15" s="59" t="n"/>
      <c r="W15" s="60" t="n"/>
      <c r="X15" s="60" t="n"/>
    </row>
    <row r="16">
      <c r="N16" s="59" t="n"/>
      <c r="O16" s="59" t="n"/>
      <c r="P16" s="59" t="n"/>
      <c r="Q16" s="59" t="n"/>
      <c r="R16" s="59" t="n"/>
      <c r="S16" s="59" t="n"/>
      <c r="T16" s="59" t="n"/>
      <c r="U16" s="59" t="n"/>
      <c r="V16" s="59" t="n"/>
      <c r="W16" s="60" t="n"/>
      <c r="X16" s="60" t="n"/>
    </row>
    <row r="17">
      <c r="N17" s="59" t="n"/>
      <c r="O17" s="59" t="n"/>
      <c r="P17" s="59" t="n"/>
      <c r="Q17" s="59" t="n"/>
      <c r="R17" s="59" t="n"/>
      <c r="S17" s="59" t="n"/>
      <c r="T17" s="59" t="n"/>
      <c r="U17" s="59" t="n"/>
      <c r="V17" s="59" t="n"/>
      <c r="W17" s="60" t="n"/>
      <c r="X17" s="60" t="n"/>
    </row>
    <row r="18" ht="12.5" customHeight="1" s="286" thickBot="1">
      <c r="C18" s="346" t="n"/>
      <c r="Q18" s="59" t="n"/>
      <c r="R18" s="59" t="n"/>
      <c r="S18" s="59" t="n"/>
      <c r="T18" s="59" t="n"/>
      <c r="U18" s="59" t="n"/>
      <c r="V18" s="59" t="n"/>
      <c r="W18" s="60" t="n"/>
      <c r="X18" s="60" t="n"/>
    </row>
    <row r="19" ht="16" customHeight="1" s="286" thickBot="1">
      <c r="B19" s="314" t="inlineStr">
        <is>
          <t>Cancel Detail</t>
        </is>
      </c>
      <c r="C19" s="341" t="n"/>
      <c r="D19" s="341" t="n"/>
      <c r="E19" s="341" t="n"/>
      <c r="F19" s="341" t="n"/>
      <c r="G19" s="341" t="n"/>
      <c r="H19" s="341" t="n"/>
      <c r="I19" s="341" t="n"/>
      <c r="J19" s="341" t="n"/>
      <c r="K19" s="341" t="n"/>
      <c r="L19" s="341" t="n"/>
      <c r="M19" s="341" t="n"/>
      <c r="N19" s="341" t="n"/>
      <c r="O19" s="341" t="n"/>
      <c r="P19" s="341" t="n"/>
      <c r="Q19" s="59" t="n"/>
      <c r="R19" s="60" t="n"/>
      <c r="S19" s="60" t="n"/>
      <c r="T19" s="60" t="n"/>
      <c r="U19" s="60" t="n"/>
      <c r="V19" s="59" t="n"/>
      <c r="W19" s="60" t="n"/>
      <c r="X19" s="60" t="n"/>
    </row>
    <row r="20" ht="30.65" customHeight="1" s="286" thickBot="1">
      <c r="B20" s="70" t="inlineStr">
        <is>
          <t>Express Partner</t>
        </is>
      </c>
      <c r="C20" s="71" t="inlineStr">
        <is>
          <t>Scheduled Departures</t>
        </is>
      </c>
      <c r="D20" s="72" t="inlineStr">
        <is>
          <t>Weather &amp; ATC</t>
        </is>
      </c>
      <c r="E20" s="72" t="inlineStr">
        <is>
          <t>Technical Operations</t>
        </is>
      </c>
      <c r="F20" s="72" t="inlineStr">
        <is>
          <t>Flight Operations</t>
        </is>
      </c>
      <c r="G20" s="72" t="inlineStr">
        <is>
          <t>Inflight Services</t>
        </is>
      </c>
      <c r="H20" s="72" t="inlineStr">
        <is>
          <t>Airport Operations</t>
        </is>
      </c>
      <c r="I20" s="72" t="inlineStr">
        <is>
          <t>Network Operations</t>
        </is>
      </c>
      <c r="J20" s="72" t="inlineStr">
        <is>
          <t>IT</t>
        </is>
      </c>
      <c r="K20" s="72" t="inlineStr">
        <is>
          <t>Catering Operations</t>
        </is>
      </c>
      <c r="L20" s="72" t="inlineStr">
        <is>
          <t>Other</t>
        </is>
      </c>
      <c r="M20" s="73" t="inlineStr">
        <is>
          <t>Total Cancels</t>
        </is>
      </c>
      <c r="N20" s="74" t="inlineStr">
        <is>
          <t>ES covered for this partner</t>
        </is>
      </c>
      <c r="O20" s="74" t="inlineStr">
        <is>
          <t>Net Cancel</t>
        </is>
      </c>
      <c r="P20" s="74" t="inlineStr">
        <is>
          <t>ES covered by this partner</t>
        </is>
      </c>
      <c r="Q20" s="59" t="n"/>
      <c r="R20" s="60" t="n"/>
      <c r="S20" s="60" t="n"/>
      <c r="T20" s="60" t="n"/>
      <c r="U20" s="60" t="n"/>
      <c r="V20" s="59" t="n"/>
      <c r="W20" s="60" t="n"/>
      <c r="X20" s="60" t="n"/>
    </row>
    <row r="21" ht="14.5" customHeight="1" s="286">
      <c r="B21" s="66" t="inlineStr">
        <is>
          <t>EV - ExpressJet</t>
        </is>
      </c>
      <c r="C21" s="80">
        <f>SUMIF(SCH_DEP_SQL_4!$A:$A,'PAGE_1 (2)'!R21,SCH_DEP_SQL_4!$E:$E)</f>
        <v/>
      </c>
      <c r="D21" s="48">
        <f>IF(SUMIFS(CNXL_SQL_2!$F:$F,CNXL_SQL_2!$A:$A,'PAGE_1 (2)'!$R21,CNXL_SQL_2!$D:$D,'PAGE_1 (2)'!$S$21)=0,"",SUMIFS(CNXL_SQL_2!$F:$F,CNXL_SQL_2!$A:$A,'PAGE_1 (2)'!$R21,CNXL_SQL_2!$D:$D,'PAGE_1 (2)'!$S$21))</f>
        <v/>
      </c>
      <c r="E21" s="48">
        <f>IF(SUMIFS(CNXL_SQL_2!$F:$F,CNXL_SQL_2!$A:$A,'PAGE_1 (2)'!$R21,CNXL_SQL_2!$D:$D,'PAGE_1 (2)'!$S$22)=0,"",SUMIFS(CNXL_SQL_2!$F:$F,CNXL_SQL_2!$A:$A,'PAGE_1 (2)'!$R21,CNXL_SQL_2!$D:$D,'PAGE_1 (2)'!$S$22))</f>
        <v/>
      </c>
      <c r="F21" s="48">
        <f>IF(SUMIFS(CNXL_SQL_2!$F:$F,CNXL_SQL_2!$A:$A,'PAGE_1 (2)'!$R21,CNXL_SQL_2!$D:$D,'PAGE_1 (2)'!$S$23)=0,"",SUMIFS(CNXL_SQL_2!$F:$F,CNXL_SQL_2!$A:$A,'PAGE_1 (2)'!$R21,CNXL_SQL_2!$D:$D,'PAGE_1 (2)'!$S$23))</f>
        <v/>
      </c>
      <c r="G21" s="48">
        <f>IF(SUMIFS(CNXL_SQL_2!$F:$F,CNXL_SQL_2!$A:$A,'PAGE_1 (2)'!$R21,CNXL_SQL_2!$D:$D,'PAGE_1 (2)'!$S$24)=0,"",SUMIFS(CNXL_SQL_2!$F:$F,CNXL_SQL_2!$A:$A,'PAGE_1 (2)'!$R21,CNXL_SQL_2!$D:$D,'PAGE_1 (2)'!$S$24))</f>
        <v/>
      </c>
      <c r="H21" s="48">
        <f>IF(SUMIFS(CNXL_SQL_2!$F:$F,CNXL_SQL_2!$A:$A,'PAGE_1 (2)'!$R21,CNXL_SQL_2!$D:$D,'PAGE_1 (2)'!$S$25)=0,"",SUMIFS(CNXL_SQL_2!$F:$F,CNXL_SQL_2!$A:$A,'PAGE_1 (2)'!$R21,CNXL_SQL_2!$D:$D,'PAGE_1 (2)'!$S$25))</f>
        <v/>
      </c>
      <c r="I21" s="48">
        <f>IF(SUMIFS(CNXL_SQL_2!$F:$F,CNXL_SQL_2!$A:$A,'PAGE_1 (2)'!$R21,CNXL_SQL_2!$D:$D,'PAGE_1 (2)'!$S$26)=0,"",SUMIFS(CNXL_SQL_2!$F:$F,CNXL_SQL_2!$A:$A,'PAGE_1 (2)'!$R21,CNXL_SQL_2!$D:$D,'PAGE_1 (2)'!$S$26))</f>
        <v/>
      </c>
      <c r="J21" s="48">
        <f>IF(SUMIFS(CNXL_SQL_2!$F:$F,CNXL_SQL_2!$A:$A,'PAGE_1 (2)'!$R21,CNXL_SQL_2!$D:$D,'PAGE_1 (2)'!$S$27)=0,"",SUMIFS(CNXL_SQL_2!$F:$F,CNXL_SQL_2!$A:$A,'PAGE_1 (2)'!$R21,CNXL_SQL_2!$D:$D,'PAGE_1 (2)'!$S$27))</f>
        <v/>
      </c>
      <c r="K21" s="48">
        <f>IF(SUMIFS(CNXL_SQL_2!$F:$F,CNXL_SQL_2!$A:$A,'PAGE_1 (2)'!$R21,CNXL_SQL_2!$D:$D,'PAGE_1 (2)'!$S$28)=0,"",SUMIFS(CNXL_SQL_2!$F:$F,CNXL_SQL_2!$A:$A,'PAGE_1 (2)'!$R21,CNXL_SQL_2!$D:$D,'PAGE_1 (2)'!$S$28))</f>
        <v/>
      </c>
      <c r="L21" s="48">
        <f>IF(SUMIFS(CNXL_SQL_2!$F:$F,CNXL_SQL_2!$A:$A,'PAGE_1 (2)'!$R21,CNXL_SQL_2!$D:$D,'PAGE_1 (2)'!$S$29)=0,"",SUMIFS(CNXL_SQL_2!$F:$F,CNXL_SQL_2!$A:$A,'PAGE_1 (2)'!$R21,CNXL_SQL_2!$D:$D,'PAGE_1 (2)'!$S$29))</f>
        <v/>
      </c>
      <c r="M21" s="37">
        <f>IF(SUM(D21:L21)=0,"",SUM(D21:L21))</f>
        <v/>
      </c>
      <c r="N21" s="37">
        <f>ES_MATRIX!K3</f>
        <v/>
      </c>
      <c r="O21" s="14">
        <f>IFERROR(M21-ES_MATRIX!L3,"")</f>
        <v/>
      </c>
      <c r="P21" s="40">
        <f>IF(SUMIF(CNXL_SQL_2!$E:$E,'PAGE_1 (2)'!R21,CNXL_SQL_2!$F:$F)=0,"",SUMIF(CNXL_SQL_2!$E:$E,'PAGE_1 (2)'!R21,CNXL_SQL_2!$F:$F))</f>
        <v/>
      </c>
      <c r="Q21" s="59" t="n"/>
      <c r="R21" s="85" t="inlineStr">
        <is>
          <t>EV</t>
        </is>
      </c>
      <c r="S21" s="85" t="inlineStr">
        <is>
          <t>WEATHER/ATC</t>
        </is>
      </c>
      <c r="T21" s="60" t="n"/>
      <c r="U21" s="60" t="n"/>
      <c r="V21" s="59" t="n"/>
      <c r="W21" s="60" t="n"/>
      <c r="X21" s="60" t="n"/>
    </row>
    <row r="22" ht="14.5" customHeight="1" s="286">
      <c r="B22" s="191" t="inlineStr">
        <is>
          <t>OO - SkyWest</t>
        </is>
      </c>
      <c r="C22" s="81">
        <f>SUMIF(SCH_DEP_SQL_4!$A:$A,'PAGE_1 (2)'!R22,SCH_DEP_SQL_4!$E:$E)</f>
        <v/>
      </c>
      <c r="D22" s="190">
        <f>IF(SUMIFS(CNXL_SQL_2!$F:$F,CNXL_SQL_2!$A:$A,'PAGE_1 (2)'!$R22,CNXL_SQL_2!$D:$D,'PAGE_1 (2)'!$S$21)=0,"",SUMIFS(CNXL_SQL_2!$F:$F,CNXL_SQL_2!$A:$A,'PAGE_1 (2)'!$R22,CNXL_SQL_2!$D:$D,'PAGE_1 (2)'!$S$21))</f>
        <v/>
      </c>
      <c r="E22" s="190">
        <f>IF(SUMIFS(CNXL_SQL_2!$F:$F,CNXL_SQL_2!$A:$A,'PAGE_1 (2)'!$R22,CNXL_SQL_2!$D:$D,'PAGE_1 (2)'!$S$22)=0,"",SUMIFS(CNXL_SQL_2!$F:$F,CNXL_SQL_2!$A:$A,'PAGE_1 (2)'!$R22,CNXL_SQL_2!$D:$D,'PAGE_1 (2)'!$S$22))</f>
        <v/>
      </c>
      <c r="F22" s="190">
        <f>IF(SUMIFS(CNXL_SQL_2!$F:$F,CNXL_SQL_2!$A:$A,'PAGE_1 (2)'!$R22,CNXL_SQL_2!$D:$D,'PAGE_1 (2)'!$S$23)=0,"",SUMIFS(CNXL_SQL_2!$F:$F,CNXL_SQL_2!$A:$A,'PAGE_1 (2)'!$R22,CNXL_SQL_2!$D:$D,'PAGE_1 (2)'!$S$23))</f>
        <v/>
      </c>
      <c r="G22" s="190">
        <f>IF(SUMIFS(CNXL_SQL_2!$F:$F,CNXL_SQL_2!$A:$A,'PAGE_1 (2)'!$R22,CNXL_SQL_2!$D:$D,'PAGE_1 (2)'!$S$24)=0,"",SUMIFS(CNXL_SQL_2!$F:$F,CNXL_SQL_2!$A:$A,'PAGE_1 (2)'!$R22,CNXL_SQL_2!$D:$D,'PAGE_1 (2)'!$S$24))</f>
        <v/>
      </c>
      <c r="H22" s="190">
        <f>IF(SUMIFS(CNXL_SQL_2!$F:$F,CNXL_SQL_2!$A:$A,'PAGE_1 (2)'!$R22,CNXL_SQL_2!$D:$D,'PAGE_1 (2)'!$S$25)=0,"",SUMIFS(CNXL_SQL_2!$F:$F,CNXL_SQL_2!$A:$A,'PAGE_1 (2)'!$R22,CNXL_SQL_2!$D:$D,'PAGE_1 (2)'!$S$25))</f>
        <v/>
      </c>
      <c r="I22" s="190">
        <f>IF(SUMIFS(CNXL_SQL_2!$F:$F,CNXL_SQL_2!$A:$A,'PAGE_1 (2)'!$R22,CNXL_SQL_2!$D:$D,'PAGE_1 (2)'!$S$26)=0,"",SUMIFS(CNXL_SQL_2!$F:$F,CNXL_SQL_2!$A:$A,'PAGE_1 (2)'!$R22,CNXL_SQL_2!$D:$D,'PAGE_1 (2)'!$S$26))</f>
        <v/>
      </c>
      <c r="J22" s="190">
        <f>IF(SUMIFS(CNXL_SQL_2!$F:$F,CNXL_SQL_2!$A:$A,'PAGE_1 (2)'!$R22,CNXL_SQL_2!$D:$D,'PAGE_1 (2)'!$S$27)=0,"",SUMIFS(CNXL_SQL_2!$F:$F,CNXL_SQL_2!$A:$A,'PAGE_1 (2)'!$R22,CNXL_SQL_2!$D:$D,'PAGE_1 (2)'!$S$27))</f>
        <v/>
      </c>
      <c r="K22" s="190">
        <f>IF(SUMIFS(CNXL_SQL_2!$F:$F,CNXL_SQL_2!$A:$A,'PAGE_1 (2)'!$R22,CNXL_SQL_2!$D:$D,'PAGE_1 (2)'!$S$28)=0,"",SUMIFS(CNXL_SQL_2!$F:$F,CNXL_SQL_2!$A:$A,'PAGE_1 (2)'!$R22,CNXL_SQL_2!$D:$D,'PAGE_1 (2)'!$S$28))</f>
        <v/>
      </c>
      <c r="L22" s="190">
        <f>IF(SUMIFS(CNXL_SQL_2!$F:$F,CNXL_SQL_2!$A:$A,'PAGE_1 (2)'!$R22,CNXL_SQL_2!$D:$D,'PAGE_1 (2)'!$S$29)=0,"",SUMIFS(CNXL_SQL_2!$F:$F,CNXL_SQL_2!$A:$A,'PAGE_1 (2)'!$R22,CNXL_SQL_2!$D:$D,'PAGE_1 (2)'!$S$29))</f>
        <v/>
      </c>
      <c r="M22" s="18">
        <f>IF(SUM(D22:L22)=0,"",SUM(D22:L22))</f>
        <v/>
      </c>
      <c r="N22" s="18">
        <f>ES_MATRIX!K4</f>
        <v/>
      </c>
      <c r="O22" s="18">
        <f>IFERROR(M22-ES_MATRIX!L4,"")</f>
        <v/>
      </c>
      <c r="P22" s="16">
        <f>IF(SUMIF(CNXL_SQL_2!$E:$E,'PAGE_1 (2)'!R22,CNXL_SQL_2!$F:$F)=0,"",SUMIF(CNXL_SQL_2!$E:$E,'PAGE_1 (2)'!R22,CNXL_SQL_2!$F:$F))</f>
        <v/>
      </c>
      <c r="Q22" s="59" t="n"/>
      <c r="R22" s="60" t="inlineStr">
        <is>
          <t>OO</t>
        </is>
      </c>
      <c r="S22" s="85" t="inlineStr">
        <is>
          <t>TECHNICAL OPERATIONS-AIRCRAFT</t>
        </is>
      </c>
      <c r="T22" s="60" t="n"/>
      <c r="U22" s="60" t="n"/>
      <c r="V22" s="59" t="n"/>
      <c r="W22" s="60" t="n"/>
      <c r="X22" s="60" t="n"/>
    </row>
    <row r="23" ht="14.5" customHeight="1" s="286">
      <c r="B23" s="66" t="inlineStr">
        <is>
          <t>AX - Trans States</t>
        </is>
      </c>
      <c r="C23" s="80">
        <f>SUMIF(SCH_DEP_SQL_4!$A:$A,'PAGE_1 (2)'!R23,SCH_DEP_SQL_4!$E:$E)</f>
        <v/>
      </c>
      <c r="D23" s="48">
        <f>IF(SUMIFS(CNXL_SQL_2!$F:$F,CNXL_SQL_2!$A:$A,'PAGE_1 (2)'!$R23,CNXL_SQL_2!$D:$D,'PAGE_1 (2)'!$S$21)=0,"",SUMIFS(CNXL_SQL_2!$F:$F,CNXL_SQL_2!$A:$A,'PAGE_1 (2)'!$R23,CNXL_SQL_2!$D:$D,'PAGE_1 (2)'!$S$21))</f>
        <v/>
      </c>
      <c r="E23" s="48">
        <f>IF(SUMIFS(CNXL_SQL_2!$F:$F,CNXL_SQL_2!$A:$A,'PAGE_1 (2)'!$R23,CNXL_SQL_2!$D:$D,'PAGE_1 (2)'!$S$22)=0,"",SUMIFS(CNXL_SQL_2!$F:$F,CNXL_SQL_2!$A:$A,'PAGE_1 (2)'!$R23,CNXL_SQL_2!$D:$D,'PAGE_1 (2)'!$S$22))</f>
        <v/>
      </c>
      <c r="F23" s="48">
        <f>IF(SUMIFS(CNXL_SQL_2!$F:$F,CNXL_SQL_2!$A:$A,'PAGE_1 (2)'!$R23,CNXL_SQL_2!$D:$D,'PAGE_1 (2)'!$S$23)=0,"",SUMIFS(CNXL_SQL_2!$F:$F,CNXL_SQL_2!$A:$A,'PAGE_1 (2)'!$R23,CNXL_SQL_2!$D:$D,'PAGE_1 (2)'!$S$23))</f>
        <v/>
      </c>
      <c r="G23" s="48">
        <f>IF(SUMIFS(CNXL_SQL_2!$F:$F,CNXL_SQL_2!$A:$A,'PAGE_1 (2)'!$R23,CNXL_SQL_2!$D:$D,'PAGE_1 (2)'!$S$24)=0,"",SUMIFS(CNXL_SQL_2!$F:$F,CNXL_SQL_2!$A:$A,'PAGE_1 (2)'!$R23,CNXL_SQL_2!$D:$D,'PAGE_1 (2)'!$S$24))</f>
        <v/>
      </c>
      <c r="H23" s="48">
        <f>IF(SUMIFS(CNXL_SQL_2!$F:$F,CNXL_SQL_2!$A:$A,'PAGE_1 (2)'!$R23,CNXL_SQL_2!$D:$D,'PAGE_1 (2)'!$S$25)=0,"",SUMIFS(CNXL_SQL_2!$F:$F,CNXL_SQL_2!$A:$A,'PAGE_1 (2)'!$R23,CNXL_SQL_2!$D:$D,'PAGE_1 (2)'!$S$25))</f>
        <v/>
      </c>
      <c r="I23" s="48">
        <f>IF(SUMIFS(CNXL_SQL_2!$F:$F,CNXL_SQL_2!$A:$A,'PAGE_1 (2)'!$R23,CNXL_SQL_2!$D:$D,'PAGE_1 (2)'!$S$26)=0,"",SUMIFS(CNXL_SQL_2!$F:$F,CNXL_SQL_2!$A:$A,'PAGE_1 (2)'!$R23,CNXL_SQL_2!$D:$D,'PAGE_1 (2)'!$S$26))</f>
        <v/>
      </c>
      <c r="J23" s="48">
        <f>IF(SUMIFS(CNXL_SQL_2!$F:$F,CNXL_SQL_2!$A:$A,'PAGE_1 (2)'!$R23,CNXL_SQL_2!$D:$D,'PAGE_1 (2)'!$S$27)=0,"",SUMIFS(CNXL_SQL_2!$F:$F,CNXL_SQL_2!$A:$A,'PAGE_1 (2)'!$R23,CNXL_SQL_2!$D:$D,'PAGE_1 (2)'!$S$27))</f>
        <v/>
      </c>
      <c r="K23" s="48">
        <f>IF(SUMIFS(CNXL_SQL_2!$F:$F,CNXL_SQL_2!$A:$A,'PAGE_1 (2)'!$R23,CNXL_SQL_2!$D:$D,'PAGE_1 (2)'!$S$28)=0,"",SUMIFS(CNXL_SQL_2!$F:$F,CNXL_SQL_2!$A:$A,'PAGE_1 (2)'!$R23,CNXL_SQL_2!$D:$D,'PAGE_1 (2)'!$S$28))</f>
        <v/>
      </c>
      <c r="L23" s="48">
        <f>IF(SUMIFS(CNXL_SQL_2!$F:$F,CNXL_SQL_2!$A:$A,'PAGE_1 (2)'!$R23,CNXL_SQL_2!$D:$D,'PAGE_1 (2)'!$S$29)=0,"",SUMIFS(CNXL_SQL_2!$F:$F,CNXL_SQL_2!$A:$A,'PAGE_1 (2)'!$R23,CNXL_SQL_2!$D:$D,'PAGE_1 (2)'!$S$29))</f>
        <v/>
      </c>
      <c r="M23" s="42">
        <f>IF(SUM(D23:L23)=0,"",SUM(D23:L23))</f>
        <v/>
      </c>
      <c r="N23" s="38">
        <f>ES_MATRIX!K5</f>
        <v/>
      </c>
      <c r="O23" s="14">
        <f>IFERROR(M23-ES_MATRIX!L5,"")</f>
        <v/>
      </c>
      <c r="P23" s="40">
        <f>IF(SUMIF(CNXL_SQL_2!$E:$E,'PAGE_1 (2)'!R23,CNXL_SQL_2!$F:$F)=0,"",SUMIF(CNXL_SQL_2!$E:$E,'PAGE_1 (2)'!R23,CNXL_SQL_2!$F:$F))</f>
        <v/>
      </c>
      <c r="Q23" s="59" t="n"/>
      <c r="R23" s="60" t="inlineStr">
        <is>
          <t>AX</t>
        </is>
      </c>
      <c r="S23" s="85" t="inlineStr">
        <is>
          <t>FLIGHT OPERATIONS</t>
        </is>
      </c>
      <c r="T23" s="60" t="n"/>
      <c r="U23" s="60" t="n"/>
      <c r="V23" s="59" t="n"/>
      <c r="W23" s="60" t="n"/>
      <c r="X23" s="60" t="n"/>
    </row>
    <row r="24" ht="14.5" customHeight="1" s="286">
      <c r="B24" s="191" t="inlineStr">
        <is>
          <t>YX - Republic</t>
        </is>
      </c>
      <c r="C24" s="81">
        <f>SUMIF(SCH_DEP_SQL_4!$A:$A,'PAGE_1 (2)'!R24,SCH_DEP_SQL_4!$E:$E)</f>
        <v/>
      </c>
      <c r="D24" s="190">
        <f>IF(SUMIFS(CNXL_SQL_2!$F:$F,CNXL_SQL_2!$A:$A,'PAGE_1 (2)'!$R24,CNXL_SQL_2!$D:$D,'PAGE_1 (2)'!$S$21)=0,"",SUMIFS(CNXL_SQL_2!$F:$F,CNXL_SQL_2!$A:$A,'PAGE_1 (2)'!$R24,CNXL_SQL_2!$D:$D,'PAGE_1 (2)'!$S$21))</f>
        <v/>
      </c>
      <c r="E24" s="190">
        <f>IF(SUMIFS(CNXL_SQL_2!$F:$F,CNXL_SQL_2!$A:$A,'PAGE_1 (2)'!$R24,CNXL_SQL_2!$D:$D,'PAGE_1 (2)'!$S$22)=0,"",SUMIFS(CNXL_SQL_2!$F:$F,CNXL_SQL_2!$A:$A,'PAGE_1 (2)'!$R24,CNXL_SQL_2!$D:$D,'PAGE_1 (2)'!$S$22))</f>
        <v/>
      </c>
      <c r="F24" s="190">
        <f>IF(SUMIFS(CNXL_SQL_2!$F:$F,CNXL_SQL_2!$A:$A,'PAGE_1 (2)'!$R24,CNXL_SQL_2!$D:$D,'PAGE_1 (2)'!$S$23)=0,"",SUMIFS(CNXL_SQL_2!$F:$F,CNXL_SQL_2!$A:$A,'PAGE_1 (2)'!$R24,CNXL_SQL_2!$D:$D,'PAGE_1 (2)'!$S$23))</f>
        <v/>
      </c>
      <c r="G24" s="190">
        <f>IF(SUMIFS(CNXL_SQL_2!$F:$F,CNXL_SQL_2!$A:$A,'PAGE_1 (2)'!$R24,CNXL_SQL_2!$D:$D,'PAGE_1 (2)'!$S$24)=0,"",SUMIFS(CNXL_SQL_2!$F:$F,CNXL_SQL_2!$A:$A,'PAGE_1 (2)'!$R24,CNXL_SQL_2!$D:$D,'PAGE_1 (2)'!$S$24))</f>
        <v/>
      </c>
      <c r="H24" s="190">
        <f>IF(SUMIFS(CNXL_SQL_2!$F:$F,CNXL_SQL_2!$A:$A,'PAGE_1 (2)'!$R24,CNXL_SQL_2!$D:$D,'PAGE_1 (2)'!$S$25)=0,"",SUMIFS(CNXL_SQL_2!$F:$F,CNXL_SQL_2!$A:$A,'PAGE_1 (2)'!$R24,CNXL_SQL_2!$D:$D,'PAGE_1 (2)'!$S$25))</f>
        <v/>
      </c>
      <c r="I24" s="190">
        <f>IF(SUMIFS(CNXL_SQL_2!$F:$F,CNXL_SQL_2!$A:$A,'PAGE_1 (2)'!$R24,CNXL_SQL_2!$D:$D,'PAGE_1 (2)'!$S$26)=0,"",SUMIFS(CNXL_SQL_2!$F:$F,CNXL_SQL_2!$A:$A,'PAGE_1 (2)'!$R24,CNXL_SQL_2!$D:$D,'PAGE_1 (2)'!$S$26))</f>
        <v/>
      </c>
      <c r="J24" s="190">
        <f>IF(SUMIFS(CNXL_SQL_2!$F:$F,CNXL_SQL_2!$A:$A,'PAGE_1 (2)'!$R24,CNXL_SQL_2!$D:$D,'PAGE_1 (2)'!$S$27)=0,"",SUMIFS(CNXL_SQL_2!$F:$F,CNXL_SQL_2!$A:$A,'PAGE_1 (2)'!$R24,CNXL_SQL_2!$D:$D,'PAGE_1 (2)'!$S$27))</f>
        <v/>
      </c>
      <c r="K24" s="190">
        <f>IF(SUMIFS(CNXL_SQL_2!$F:$F,CNXL_SQL_2!$A:$A,'PAGE_1 (2)'!$R24,CNXL_SQL_2!$D:$D,'PAGE_1 (2)'!$S$28)=0,"",SUMIFS(CNXL_SQL_2!$F:$F,CNXL_SQL_2!$A:$A,'PAGE_1 (2)'!$R24,CNXL_SQL_2!$D:$D,'PAGE_1 (2)'!$S$28))</f>
        <v/>
      </c>
      <c r="L24" s="190">
        <f>IF(SUMIFS(CNXL_SQL_2!$F:$F,CNXL_SQL_2!$A:$A,'PAGE_1 (2)'!$R24,CNXL_SQL_2!$D:$D,'PAGE_1 (2)'!$S$29)=0,"",SUMIFS(CNXL_SQL_2!$F:$F,CNXL_SQL_2!$A:$A,'PAGE_1 (2)'!$R24,CNXL_SQL_2!$D:$D,'PAGE_1 (2)'!$S$29))</f>
        <v/>
      </c>
      <c r="M24" s="18">
        <f>IF(SUM(D24:L24)=0,"",SUM(D24:L24))</f>
        <v/>
      </c>
      <c r="N24" s="18">
        <f>ES_MATRIX!K6</f>
        <v/>
      </c>
      <c r="O24" s="18">
        <f>IFERROR(M24-ES_MATRIX!L6,"")</f>
        <v/>
      </c>
      <c r="P24" s="16">
        <f>IF(SUMIF(CNXL_SQL_2!$E:$E,'PAGE_1 (2)'!R24,CNXL_SQL_2!$F:$F)=0,"",SUMIF(CNXL_SQL_2!$E:$E,'PAGE_1 (2)'!R24,CNXL_SQL_2!$F:$F))</f>
        <v/>
      </c>
      <c r="Q24" s="59" t="n"/>
      <c r="R24" s="60" t="inlineStr">
        <is>
          <t>YX</t>
        </is>
      </c>
      <c r="S24" s="85" t="inlineStr">
        <is>
          <t>INFLIGHT SERVICES</t>
        </is>
      </c>
      <c r="T24" s="60" t="n"/>
      <c r="U24" s="60" t="n"/>
      <c r="V24" s="59" t="n"/>
      <c r="W24" s="60" t="n"/>
      <c r="X24" s="60" t="n"/>
    </row>
    <row r="25" ht="14.5" customHeight="1" s="286">
      <c r="B25" s="66" t="inlineStr">
        <is>
          <t>G7 - Go Jet</t>
        </is>
      </c>
      <c r="C25" s="80">
        <f>SUMIF(SCH_DEP_SQL_4!$A:$A,'PAGE_1 (2)'!R25,SCH_DEP_SQL_4!$E:$E)</f>
        <v/>
      </c>
      <c r="D25" s="48">
        <f>IF(SUMIFS(CNXL_SQL_2!$F:$F,CNXL_SQL_2!$A:$A,'PAGE_1 (2)'!$R25,CNXL_SQL_2!$D:$D,'PAGE_1 (2)'!$S$21)=0,"",SUMIFS(CNXL_SQL_2!$F:$F,CNXL_SQL_2!$A:$A,'PAGE_1 (2)'!$R25,CNXL_SQL_2!$D:$D,'PAGE_1 (2)'!$S$21))</f>
        <v/>
      </c>
      <c r="E25" s="48">
        <f>IF(SUMIFS(CNXL_SQL_2!$F:$F,CNXL_SQL_2!$A:$A,'PAGE_1 (2)'!$R25,CNXL_SQL_2!$D:$D,'PAGE_1 (2)'!$S$22)=0,"",SUMIFS(CNXL_SQL_2!$F:$F,CNXL_SQL_2!$A:$A,'PAGE_1 (2)'!$R25,CNXL_SQL_2!$D:$D,'PAGE_1 (2)'!$S$22))</f>
        <v/>
      </c>
      <c r="F25" s="48">
        <f>IF(SUMIFS(CNXL_SQL_2!$F:$F,CNXL_SQL_2!$A:$A,'PAGE_1 (2)'!$R25,CNXL_SQL_2!$D:$D,'PAGE_1 (2)'!$S$23)=0,"",SUMIFS(CNXL_SQL_2!$F:$F,CNXL_SQL_2!$A:$A,'PAGE_1 (2)'!$R25,CNXL_SQL_2!$D:$D,'PAGE_1 (2)'!$S$23))</f>
        <v/>
      </c>
      <c r="G25" s="48">
        <f>IF(SUMIFS(CNXL_SQL_2!$F:$F,CNXL_SQL_2!$A:$A,'PAGE_1 (2)'!$R25,CNXL_SQL_2!$D:$D,'PAGE_1 (2)'!$S$24)=0,"",SUMIFS(CNXL_SQL_2!$F:$F,CNXL_SQL_2!$A:$A,'PAGE_1 (2)'!$R25,CNXL_SQL_2!$D:$D,'PAGE_1 (2)'!$S$24))</f>
        <v/>
      </c>
      <c r="H25" s="48">
        <f>IF(SUMIFS(CNXL_SQL_2!$F:$F,CNXL_SQL_2!$A:$A,'PAGE_1 (2)'!$R25,CNXL_SQL_2!$D:$D,'PAGE_1 (2)'!$S$25)=0,"",SUMIFS(CNXL_SQL_2!$F:$F,CNXL_SQL_2!$A:$A,'PAGE_1 (2)'!$R25,CNXL_SQL_2!$D:$D,'PAGE_1 (2)'!$S$25))</f>
        <v/>
      </c>
      <c r="I25" s="48">
        <f>IF(SUMIFS(CNXL_SQL_2!$F:$F,CNXL_SQL_2!$A:$A,'PAGE_1 (2)'!$R25,CNXL_SQL_2!$D:$D,'PAGE_1 (2)'!$S$26)=0,"",SUMIFS(CNXL_SQL_2!$F:$F,CNXL_SQL_2!$A:$A,'PAGE_1 (2)'!$R25,CNXL_SQL_2!$D:$D,'PAGE_1 (2)'!$S$26))</f>
        <v/>
      </c>
      <c r="J25" s="48">
        <f>IF(SUMIFS(CNXL_SQL_2!$F:$F,CNXL_SQL_2!$A:$A,'PAGE_1 (2)'!$R25,CNXL_SQL_2!$D:$D,'PAGE_1 (2)'!$S$27)=0,"",SUMIFS(CNXL_SQL_2!$F:$F,CNXL_SQL_2!$A:$A,'PAGE_1 (2)'!$R25,CNXL_SQL_2!$D:$D,'PAGE_1 (2)'!$S$27))</f>
        <v/>
      </c>
      <c r="K25" s="48">
        <f>IF(SUMIFS(CNXL_SQL_2!$F:$F,CNXL_SQL_2!$A:$A,'PAGE_1 (2)'!$R25,CNXL_SQL_2!$D:$D,'PAGE_1 (2)'!$S$28)=0,"",SUMIFS(CNXL_SQL_2!$F:$F,CNXL_SQL_2!$A:$A,'PAGE_1 (2)'!$R25,CNXL_SQL_2!$D:$D,'PAGE_1 (2)'!$S$28))</f>
        <v/>
      </c>
      <c r="L25" s="48">
        <f>IF(SUMIFS(CNXL_SQL_2!$F:$F,CNXL_SQL_2!$A:$A,'PAGE_1 (2)'!$R25,CNXL_SQL_2!$D:$D,'PAGE_1 (2)'!$S$29)=0,"",SUMIFS(CNXL_SQL_2!$F:$F,CNXL_SQL_2!$A:$A,'PAGE_1 (2)'!$R25,CNXL_SQL_2!$D:$D,'PAGE_1 (2)'!$S$29))</f>
        <v/>
      </c>
      <c r="M25" s="42">
        <f>IF(SUM(D25:L25)=0,"",SUM(D25:L25))</f>
        <v/>
      </c>
      <c r="N25" s="38">
        <f>ES_MATRIX!K7</f>
        <v/>
      </c>
      <c r="O25" s="14">
        <f>IFERROR(M25-ES_MATRIX!L7,"")</f>
        <v/>
      </c>
      <c r="P25" s="40">
        <f>IF(SUMIF(CNXL_SQL_2!$E:$E,'PAGE_1 (2)'!R25,CNXL_SQL_2!$F:$F)=0,"",SUMIF(CNXL_SQL_2!$E:$E,'PAGE_1 (2)'!R25,CNXL_SQL_2!$F:$F))</f>
        <v/>
      </c>
      <c r="Q25" s="59" t="n"/>
      <c r="R25" s="60" t="inlineStr">
        <is>
          <t>G7</t>
        </is>
      </c>
      <c r="S25" s="85" t="inlineStr">
        <is>
          <t>AIRPORT OPERATIONS</t>
        </is>
      </c>
      <c r="T25" s="60" t="n"/>
      <c r="U25" s="60" t="n"/>
      <c r="V25" s="59" t="n"/>
      <c r="W25" s="60" t="n"/>
      <c r="X25" s="60" t="n"/>
    </row>
    <row r="26" ht="14.5" customHeight="1" s="286">
      <c r="B26" s="191" t="inlineStr">
        <is>
          <t>C5 - CommutAir</t>
        </is>
      </c>
      <c r="C26" s="81">
        <f>SUMIF(SCH_DEP_SQL_4!$A:$A,'PAGE_1 (2)'!R26,SCH_DEP_SQL_4!$E:$E)</f>
        <v/>
      </c>
      <c r="D26" s="190">
        <f>IF(SUMIFS(CNXL_SQL_2!$F:$F,CNXL_SQL_2!$A:$A,'PAGE_1 (2)'!$R26,CNXL_SQL_2!$D:$D,'PAGE_1 (2)'!$S$21)=0,"",SUMIFS(CNXL_SQL_2!$F:$F,CNXL_SQL_2!$A:$A,'PAGE_1 (2)'!$R26,CNXL_SQL_2!$D:$D,'PAGE_1 (2)'!$S$21))</f>
        <v/>
      </c>
      <c r="E26" s="190">
        <f>IF(SUMIFS(CNXL_SQL_2!$F:$F,CNXL_SQL_2!$A:$A,'PAGE_1 (2)'!$R26,CNXL_SQL_2!$D:$D,'PAGE_1 (2)'!$S$22)=0,"",SUMIFS(CNXL_SQL_2!$F:$F,CNXL_SQL_2!$A:$A,'PAGE_1 (2)'!$R26,CNXL_SQL_2!$D:$D,'PAGE_1 (2)'!$S$22))</f>
        <v/>
      </c>
      <c r="F26" s="190">
        <f>IF(SUMIFS(CNXL_SQL_2!$F:$F,CNXL_SQL_2!$A:$A,'PAGE_1 (2)'!$R26,CNXL_SQL_2!$D:$D,'PAGE_1 (2)'!$S$23)=0,"",SUMIFS(CNXL_SQL_2!$F:$F,CNXL_SQL_2!$A:$A,'PAGE_1 (2)'!$R26,CNXL_SQL_2!$D:$D,'PAGE_1 (2)'!$S$23))</f>
        <v/>
      </c>
      <c r="G26" s="190">
        <f>IF(SUMIFS(CNXL_SQL_2!$F:$F,CNXL_SQL_2!$A:$A,'PAGE_1 (2)'!$R26,CNXL_SQL_2!$D:$D,'PAGE_1 (2)'!$S$24)=0,"",SUMIFS(CNXL_SQL_2!$F:$F,CNXL_SQL_2!$A:$A,'PAGE_1 (2)'!$R26,CNXL_SQL_2!$D:$D,'PAGE_1 (2)'!$S$24))</f>
        <v/>
      </c>
      <c r="H26" s="190">
        <f>IF(SUMIFS(CNXL_SQL_2!$F:$F,CNXL_SQL_2!$A:$A,'PAGE_1 (2)'!$R26,CNXL_SQL_2!$D:$D,'PAGE_1 (2)'!$S$25)=0,"",SUMIFS(CNXL_SQL_2!$F:$F,CNXL_SQL_2!$A:$A,'PAGE_1 (2)'!$R26,CNXL_SQL_2!$D:$D,'PAGE_1 (2)'!$S$25))</f>
        <v/>
      </c>
      <c r="I26" s="190">
        <f>IF(SUMIFS(CNXL_SQL_2!$F:$F,CNXL_SQL_2!$A:$A,'PAGE_1 (2)'!$R26,CNXL_SQL_2!$D:$D,'PAGE_1 (2)'!$S$26)=0,"",SUMIFS(CNXL_SQL_2!$F:$F,CNXL_SQL_2!$A:$A,'PAGE_1 (2)'!$R26,CNXL_SQL_2!$D:$D,'PAGE_1 (2)'!$S$26))</f>
        <v/>
      </c>
      <c r="J26" s="190">
        <f>IF(SUMIFS(CNXL_SQL_2!$F:$F,CNXL_SQL_2!$A:$A,'PAGE_1 (2)'!$R26,CNXL_SQL_2!$D:$D,'PAGE_1 (2)'!$S$27)=0,"",SUMIFS(CNXL_SQL_2!$F:$F,CNXL_SQL_2!$A:$A,'PAGE_1 (2)'!$R26,CNXL_SQL_2!$D:$D,'PAGE_1 (2)'!$S$27))</f>
        <v/>
      </c>
      <c r="K26" s="190">
        <f>IF(SUMIFS(CNXL_SQL_2!$F:$F,CNXL_SQL_2!$A:$A,'PAGE_1 (2)'!$R26,CNXL_SQL_2!$D:$D,'PAGE_1 (2)'!$S$28)=0,"",SUMIFS(CNXL_SQL_2!$F:$F,CNXL_SQL_2!$A:$A,'PAGE_1 (2)'!$R26,CNXL_SQL_2!$D:$D,'PAGE_1 (2)'!$S$28))</f>
        <v/>
      </c>
      <c r="L26" s="190">
        <f>IF(SUMIFS(CNXL_SQL_2!$F:$F,CNXL_SQL_2!$A:$A,'PAGE_1 (2)'!$R26,CNXL_SQL_2!$D:$D,'PAGE_1 (2)'!$S$29)=0,"",SUMIFS(CNXL_SQL_2!$F:$F,CNXL_SQL_2!$A:$A,'PAGE_1 (2)'!$R26,CNXL_SQL_2!$D:$D,'PAGE_1 (2)'!$S$29))</f>
        <v/>
      </c>
      <c r="M26" s="41">
        <f>IF(SUM(D26:L26)=0,"",SUM(D26:L26))</f>
        <v/>
      </c>
      <c r="N26" s="18">
        <f>ES_MATRIX!K8</f>
        <v/>
      </c>
      <c r="O26" s="18">
        <f>IFERROR(M26-ES_MATRIX!L8,"")</f>
        <v/>
      </c>
      <c r="P26" s="16">
        <f>IF(SUMIF(CNXL_SQL_2!$E:$E,'PAGE_1 (2)'!R26,CNXL_SQL_2!$F:$F)=0,"",SUMIF(CNXL_SQL_2!$E:$E,'PAGE_1 (2)'!R26,CNXL_SQL_2!$F:$F))</f>
        <v/>
      </c>
      <c r="Q26" s="59" t="n"/>
      <c r="R26" s="60" t="inlineStr">
        <is>
          <t>C5</t>
        </is>
      </c>
      <c r="S26" s="85" t="inlineStr">
        <is>
          <t>NETWORK OPERATIONS CENTER</t>
        </is>
      </c>
      <c r="T26" s="60" t="n"/>
      <c r="U26" s="60" t="n"/>
      <c r="V26" s="59" t="n"/>
      <c r="W26" s="60" t="n"/>
      <c r="X26" s="60" t="n"/>
    </row>
    <row r="27" ht="14.5" customHeight="1" s="286">
      <c r="B27" s="66" t="inlineStr">
        <is>
          <t>YV - Mesa</t>
        </is>
      </c>
      <c r="C27" s="80">
        <f>SUMIF(SCH_DEP_SQL_4!$A:$A,'PAGE_1 (2)'!R27,SCH_DEP_SQL_4!$E:$E)</f>
        <v/>
      </c>
      <c r="D27" s="48">
        <f>IF(SUMIFS(CNXL_SQL_2!$F:$F,CNXL_SQL_2!$A:$A,'PAGE_1 (2)'!$R27,CNXL_SQL_2!$D:$D,'PAGE_1 (2)'!$S$21)=0,"",SUMIFS(CNXL_SQL_2!$F:$F,CNXL_SQL_2!$A:$A,'PAGE_1 (2)'!$R27,CNXL_SQL_2!$D:$D,'PAGE_1 (2)'!$S$21))</f>
        <v/>
      </c>
      <c r="E27" s="48">
        <f>IF(SUMIFS(CNXL_SQL_2!$F:$F,CNXL_SQL_2!$A:$A,'PAGE_1 (2)'!$R27,CNXL_SQL_2!$D:$D,'PAGE_1 (2)'!$S$22)=0,"",SUMIFS(CNXL_SQL_2!$F:$F,CNXL_SQL_2!$A:$A,'PAGE_1 (2)'!$R27,CNXL_SQL_2!$D:$D,'PAGE_1 (2)'!$S$22))</f>
        <v/>
      </c>
      <c r="F27" s="48">
        <f>IF(SUMIFS(CNXL_SQL_2!$F:$F,CNXL_SQL_2!$A:$A,'PAGE_1 (2)'!$R27,CNXL_SQL_2!$D:$D,'PAGE_1 (2)'!$S$23)=0,"",SUMIFS(CNXL_SQL_2!$F:$F,CNXL_SQL_2!$A:$A,'PAGE_1 (2)'!$R27,CNXL_SQL_2!$D:$D,'PAGE_1 (2)'!$S$23))</f>
        <v/>
      </c>
      <c r="G27" s="48">
        <f>IF(SUMIFS(CNXL_SQL_2!$F:$F,CNXL_SQL_2!$A:$A,'PAGE_1 (2)'!$R27,CNXL_SQL_2!$D:$D,'PAGE_1 (2)'!$S$24)=0,"",SUMIFS(CNXL_SQL_2!$F:$F,CNXL_SQL_2!$A:$A,'PAGE_1 (2)'!$R27,CNXL_SQL_2!$D:$D,'PAGE_1 (2)'!$S$24))</f>
        <v/>
      </c>
      <c r="H27" s="48">
        <f>IF(SUMIFS(CNXL_SQL_2!$F:$F,CNXL_SQL_2!$A:$A,'PAGE_1 (2)'!$R27,CNXL_SQL_2!$D:$D,'PAGE_1 (2)'!$S$25)=0,"",SUMIFS(CNXL_SQL_2!$F:$F,CNXL_SQL_2!$A:$A,'PAGE_1 (2)'!$R27,CNXL_SQL_2!$D:$D,'PAGE_1 (2)'!$S$25))</f>
        <v/>
      </c>
      <c r="I27" s="48">
        <f>IF(SUMIFS(CNXL_SQL_2!$F:$F,CNXL_SQL_2!$A:$A,'PAGE_1 (2)'!$R27,CNXL_SQL_2!$D:$D,'PAGE_1 (2)'!$S$26)=0,"",SUMIFS(CNXL_SQL_2!$F:$F,CNXL_SQL_2!$A:$A,'PAGE_1 (2)'!$R27,CNXL_SQL_2!$D:$D,'PAGE_1 (2)'!$S$26))</f>
        <v/>
      </c>
      <c r="J27" s="48">
        <f>IF(SUMIFS(CNXL_SQL_2!$F:$F,CNXL_SQL_2!$A:$A,'PAGE_1 (2)'!$R27,CNXL_SQL_2!$D:$D,'PAGE_1 (2)'!$S$27)=0,"",SUMIFS(CNXL_SQL_2!$F:$F,CNXL_SQL_2!$A:$A,'PAGE_1 (2)'!$R27,CNXL_SQL_2!$D:$D,'PAGE_1 (2)'!$S$27))</f>
        <v/>
      </c>
      <c r="K27" s="48">
        <f>IF(SUMIFS(CNXL_SQL_2!$F:$F,CNXL_SQL_2!$A:$A,'PAGE_1 (2)'!$R27,CNXL_SQL_2!$D:$D,'PAGE_1 (2)'!$S$28)=0,"",SUMIFS(CNXL_SQL_2!$F:$F,CNXL_SQL_2!$A:$A,'PAGE_1 (2)'!$R27,CNXL_SQL_2!$D:$D,'PAGE_1 (2)'!$S$28))</f>
        <v/>
      </c>
      <c r="L27" s="48">
        <f>IF(SUMIFS(CNXL_SQL_2!$F:$F,CNXL_SQL_2!$A:$A,'PAGE_1 (2)'!$R27,CNXL_SQL_2!$D:$D,'PAGE_1 (2)'!$S$29)=0,"",SUMIFS(CNXL_SQL_2!$F:$F,CNXL_SQL_2!$A:$A,'PAGE_1 (2)'!$R27,CNXL_SQL_2!$D:$D,'PAGE_1 (2)'!$S$29))</f>
        <v/>
      </c>
      <c r="M27" s="38">
        <f>IF(SUM(D27:L27)=0,"",SUM(D27:L27))</f>
        <v/>
      </c>
      <c r="N27" s="38">
        <f>ES_MATRIX!K9</f>
        <v/>
      </c>
      <c r="O27" s="14">
        <f>IFERROR(M27-ES_MATRIX!L9,"")</f>
        <v/>
      </c>
      <c r="P27" s="40">
        <f>IF(SUMIF(CNXL_SQL_2!$E:$E,'PAGE_1 (2)'!R27,CNXL_SQL_2!$F:$F)=0,"",SUMIF(CNXL_SQL_2!$E:$E,'PAGE_1 (2)'!R27,CNXL_SQL_2!$F:$F))</f>
        <v/>
      </c>
      <c r="Q27" s="59" t="n"/>
      <c r="R27" s="60" t="inlineStr">
        <is>
          <t>YV</t>
        </is>
      </c>
      <c r="S27" s="85" t="inlineStr">
        <is>
          <t>TECHNOLOGY</t>
        </is>
      </c>
      <c r="T27" s="60" t="n"/>
      <c r="U27" s="60" t="n"/>
      <c r="V27" s="59" t="n"/>
      <c r="W27" s="60" t="n"/>
      <c r="X27" s="60" t="n"/>
    </row>
    <row r="28" ht="15" customHeight="1" s="286" thickBot="1">
      <c r="B28" s="191" t="inlineStr">
        <is>
          <t>ZW - Air Wisconsin</t>
        </is>
      </c>
      <c r="C28" s="81">
        <f>SUMIF(SCH_DEP_SQL_4!$A:$A,'PAGE_1 (2)'!R28,SCH_DEP_SQL_4!$E:$E)</f>
        <v/>
      </c>
      <c r="D28" s="190">
        <f>IF(SUMIFS(CNXL_SQL_2!$F:$F,CNXL_SQL_2!$A:$A,'PAGE_1 (2)'!$R28,CNXL_SQL_2!$D:$D,'PAGE_1 (2)'!$S$21)=0,"",SUMIFS(CNXL_SQL_2!$F:$F,CNXL_SQL_2!$A:$A,'PAGE_1 (2)'!$R28,CNXL_SQL_2!$D:$D,'PAGE_1 (2)'!$S$21))</f>
        <v/>
      </c>
      <c r="E28" s="190">
        <f>IF(SUMIFS(CNXL_SQL_2!$F:$F,CNXL_SQL_2!$A:$A,'PAGE_1 (2)'!$R28,CNXL_SQL_2!$D:$D,'PAGE_1 (2)'!$S$22)=0,"",SUMIFS(CNXL_SQL_2!$F:$F,CNXL_SQL_2!$A:$A,'PAGE_1 (2)'!$R28,CNXL_SQL_2!$D:$D,'PAGE_1 (2)'!$S$22))</f>
        <v/>
      </c>
      <c r="F28" s="190">
        <f>IF(SUMIFS(CNXL_SQL_2!$F:$F,CNXL_SQL_2!$A:$A,'PAGE_1 (2)'!$R28,CNXL_SQL_2!$D:$D,'PAGE_1 (2)'!$S$23)=0,"",SUMIFS(CNXL_SQL_2!$F:$F,CNXL_SQL_2!$A:$A,'PAGE_1 (2)'!$R28,CNXL_SQL_2!$D:$D,'PAGE_1 (2)'!$S$23))</f>
        <v/>
      </c>
      <c r="G28" s="190">
        <f>IF(SUMIFS(CNXL_SQL_2!$F:$F,CNXL_SQL_2!$A:$A,'PAGE_1 (2)'!$R28,CNXL_SQL_2!$D:$D,'PAGE_1 (2)'!$S$24)=0,"",SUMIFS(CNXL_SQL_2!$F:$F,CNXL_SQL_2!$A:$A,'PAGE_1 (2)'!$R28,CNXL_SQL_2!$D:$D,'PAGE_1 (2)'!$S$24))</f>
        <v/>
      </c>
      <c r="H28" s="190">
        <f>IF(SUMIFS(CNXL_SQL_2!$F:$F,CNXL_SQL_2!$A:$A,'PAGE_1 (2)'!$R28,CNXL_SQL_2!$D:$D,'PAGE_1 (2)'!$S$25)=0,"",SUMIFS(CNXL_SQL_2!$F:$F,CNXL_SQL_2!$A:$A,'PAGE_1 (2)'!$R28,CNXL_SQL_2!$D:$D,'PAGE_1 (2)'!$S$25))</f>
        <v/>
      </c>
      <c r="I28" s="190">
        <f>IF(SUMIFS(CNXL_SQL_2!$F:$F,CNXL_SQL_2!$A:$A,'PAGE_1 (2)'!$R28,CNXL_SQL_2!$D:$D,'PAGE_1 (2)'!$S$26)=0,"",SUMIFS(CNXL_SQL_2!$F:$F,CNXL_SQL_2!$A:$A,'PAGE_1 (2)'!$R28,CNXL_SQL_2!$D:$D,'PAGE_1 (2)'!$S$26))</f>
        <v/>
      </c>
      <c r="J28" s="190">
        <f>IF(SUMIFS(CNXL_SQL_2!$F:$F,CNXL_SQL_2!$A:$A,'PAGE_1 (2)'!$R28,CNXL_SQL_2!$D:$D,'PAGE_1 (2)'!$S$27)=0,"",SUMIFS(CNXL_SQL_2!$F:$F,CNXL_SQL_2!$A:$A,'PAGE_1 (2)'!$R28,CNXL_SQL_2!$D:$D,'PAGE_1 (2)'!$S$27))</f>
        <v/>
      </c>
      <c r="K28" s="190">
        <f>IF(SUMIFS(CNXL_SQL_2!$F:$F,CNXL_SQL_2!$A:$A,'PAGE_1 (2)'!$R28,CNXL_SQL_2!$D:$D,'PAGE_1 (2)'!$S$28)=0,"",SUMIFS(CNXL_SQL_2!$F:$F,CNXL_SQL_2!$A:$A,'PAGE_1 (2)'!$R28,CNXL_SQL_2!$D:$D,'PAGE_1 (2)'!$S$28))</f>
        <v/>
      </c>
      <c r="L28" s="190">
        <f>IF(SUMIFS(CNXL_SQL_2!$F:$F,CNXL_SQL_2!$A:$A,'PAGE_1 (2)'!$R28,CNXL_SQL_2!$D:$D,'PAGE_1 (2)'!$S$29)=0,"",SUMIFS(CNXL_SQL_2!$F:$F,CNXL_SQL_2!$A:$A,'PAGE_1 (2)'!$R28,CNXL_SQL_2!$D:$D,'PAGE_1 (2)'!$S$29))</f>
        <v/>
      </c>
      <c r="M28" s="18">
        <f>IF(SUM(D28:L28)=0,"",SUM(D28:L28))</f>
        <v/>
      </c>
      <c r="N28" s="18">
        <f>ES_MATRIX!K10</f>
        <v/>
      </c>
      <c r="O28" s="18">
        <f>IFERROR(M28-ES_MATRIX!L10,"")</f>
        <v/>
      </c>
      <c r="P28" s="16">
        <f>IF(SUMIF(CNXL_SQL_2!$E:$E,'PAGE_1 (2)'!R28,CNXL_SQL_2!$F:$F)=0,"",SUMIF(CNXL_SQL_2!$E:$E,'PAGE_1 (2)'!R28,CNXL_SQL_2!$F:$F))</f>
        <v/>
      </c>
      <c r="Q28" s="59" t="n"/>
      <c r="R28" s="60" t="inlineStr">
        <is>
          <t>ZW</t>
        </is>
      </c>
      <c r="S28" s="85" t="inlineStr">
        <is>
          <t>CATERING OPERATIONS</t>
        </is>
      </c>
      <c r="T28" s="60" t="n"/>
      <c r="U28" s="60" t="n"/>
      <c r="V28" s="59" t="n"/>
      <c r="W28" s="60" t="n"/>
      <c r="X28" s="60" t="n"/>
    </row>
    <row r="29" ht="15" customHeight="1" s="286" thickBot="1">
      <c r="B29" s="68" t="inlineStr">
        <is>
          <t>Total:</t>
        </is>
      </c>
      <c r="C29" s="82">
        <f>SUM(C21:C28)</f>
        <v/>
      </c>
      <c r="D29" s="22">
        <f>IF(SUM(D21:D28)=0,"",SUM(D21:D28))</f>
        <v/>
      </c>
      <c r="E29" s="22">
        <f>IF(SUM(E21:E28)=0,"",SUM(E21:E28))</f>
        <v/>
      </c>
      <c r="F29" s="22">
        <f>IF(SUM(F21:F28)=0,"",SUM(F21:F28))</f>
        <v/>
      </c>
      <c r="G29" s="22">
        <f>IF(SUM(G21:G28)=0,"",SUM(G21:G28))</f>
        <v/>
      </c>
      <c r="H29" s="22">
        <f>IF(SUM(H21:H28)=0,"",SUM(H21:H28))</f>
        <v/>
      </c>
      <c r="I29" s="22">
        <f>IF(SUM(I21:I28)=0,"",SUM(I21:I28))</f>
        <v/>
      </c>
      <c r="J29" s="22">
        <f>IF(SUM(J21:J28)=0,"",SUM(J21:J28))</f>
        <v/>
      </c>
      <c r="K29" s="22">
        <f>IF(SUM(K21:K28)=0,"",SUM(K21:K28))</f>
        <v/>
      </c>
      <c r="L29" s="22">
        <f>IF(SUM(L21:L28)=0,"",SUM(L21:L28))</f>
        <v/>
      </c>
      <c r="M29" s="23">
        <f>SUM(M21:M28)</f>
        <v/>
      </c>
      <c r="N29" s="23" t="n"/>
      <c r="O29" s="23">
        <f>SUM(O21:O28)</f>
        <v/>
      </c>
      <c r="P29" s="23">
        <f>SUM(P21:P28)</f>
        <v/>
      </c>
      <c r="Q29" s="59" t="n"/>
      <c r="R29" s="60" t="n"/>
      <c r="S29" s="85" t="inlineStr">
        <is>
          <t>OTHER</t>
        </is>
      </c>
      <c r="T29" s="60" t="n"/>
      <c r="U29" s="60" t="n"/>
      <c r="V29" s="59" t="n"/>
      <c r="W29" s="60" t="n"/>
      <c r="X29" s="60" t="n"/>
    </row>
    <row r="30" ht="9.4" customHeight="1" s="286">
      <c r="B30" s="8" t="n"/>
      <c r="C30" s="9" t="n"/>
      <c r="H30" s="9" t="n"/>
      <c r="I30" s="9" t="n"/>
      <c r="J30" s="9" t="n"/>
      <c r="K30" s="9" t="n"/>
      <c r="L30" s="9" t="n"/>
      <c r="M30" s="9" t="n"/>
      <c r="N30" s="9" t="n"/>
      <c r="O30" s="9" t="n"/>
      <c r="P30" s="9" t="n"/>
      <c r="Q30" s="59" t="n"/>
      <c r="R30" s="60" t="n"/>
      <c r="S30" s="60" t="n"/>
      <c r="T30" s="60" t="n"/>
      <c r="U30" s="60" t="n"/>
      <c r="V30" s="59" t="n"/>
      <c r="W30" s="60" t="n"/>
      <c r="X30" s="60" t="n"/>
    </row>
    <row r="31" ht="9.4" customHeight="1" s="286">
      <c r="B31" s="8" t="n"/>
      <c r="C31" s="9" t="n"/>
      <c r="H31" s="9" t="n"/>
      <c r="I31" s="9" t="n"/>
      <c r="J31" s="9" t="n"/>
      <c r="K31" s="9" t="n"/>
      <c r="L31" s="9" t="n"/>
      <c r="M31" s="9" t="n"/>
      <c r="N31" s="9" t="n"/>
      <c r="O31" s="9" t="n"/>
      <c r="P31" s="9" t="n"/>
      <c r="Q31" s="59" t="n"/>
      <c r="R31" s="60" t="n"/>
      <c r="S31" s="60" t="n"/>
      <c r="T31" s="60" t="n"/>
      <c r="U31" s="60" t="n"/>
      <c r="V31" s="59" t="n"/>
      <c r="W31" s="60" t="n"/>
      <c r="X31" s="60" t="n"/>
    </row>
    <row r="32" ht="9.4" customHeight="1" s="286" thickBot="1">
      <c r="Q32" s="59" t="n"/>
      <c r="R32" s="60" t="n"/>
      <c r="S32" s="60" t="n"/>
      <c r="T32" s="60" t="n"/>
      <c r="U32" s="60" t="n"/>
      <c r="V32" s="59" t="n"/>
      <c r="W32" s="60" t="n"/>
      <c r="X32" s="60" t="n"/>
    </row>
    <row r="33" ht="16" customHeight="1" s="286" thickBot="1">
      <c r="B33" s="316" t="inlineStr">
        <is>
          <t>Residual Cancel Detail</t>
        </is>
      </c>
      <c r="C33" s="350" t="n"/>
      <c r="D33" s="350" t="n"/>
      <c r="E33" s="350" t="n"/>
      <c r="F33" s="350" t="n"/>
      <c r="G33" s="350" t="n"/>
      <c r="H33" s="350" t="n"/>
      <c r="I33" s="350" t="n"/>
      <c r="J33" s="350" t="n"/>
      <c r="K33" s="350" t="n"/>
      <c r="L33" s="350" t="n"/>
      <c r="M33" s="350" t="n"/>
      <c r="N33" s="350" t="n"/>
      <c r="O33" s="350" t="n"/>
      <c r="P33" s="350" t="n"/>
      <c r="Q33" s="59" t="n"/>
      <c r="R33" s="60" t="n"/>
      <c r="S33" s="60" t="n"/>
      <c r="T33" s="60" t="n"/>
      <c r="U33" s="60" t="n"/>
      <c r="V33" s="59" t="n"/>
      <c r="W33" s="60" t="n"/>
      <c r="X33" s="60" t="n"/>
    </row>
    <row r="34" ht="30.65" customHeight="1" s="286" thickBot="1">
      <c r="B34" s="70" t="inlineStr">
        <is>
          <t>Express Partner</t>
        </is>
      </c>
      <c r="C34" s="71" t="inlineStr">
        <is>
          <t>Scheduled Departures</t>
        </is>
      </c>
      <c r="D34" s="72" t="inlineStr">
        <is>
          <t>Weather &amp; ATC</t>
        </is>
      </c>
      <c r="E34" s="72" t="inlineStr">
        <is>
          <t>Technical Operations</t>
        </is>
      </c>
      <c r="F34" s="72" t="inlineStr">
        <is>
          <t>Flight Operations</t>
        </is>
      </c>
      <c r="G34" s="72" t="inlineStr">
        <is>
          <t>Inflight Services</t>
        </is>
      </c>
      <c r="H34" s="72" t="inlineStr">
        <is>
          <t>Airport Operations</t>
        </is>
      </c>
      <c r="I34" s="72" t="inlineStr">
        <is>
          <t>Network Operations</t>
        </is>
      </c>
      <c r="J34" s="72" t="inlineStr">
        <is>
          <t>IT</t>
        </is>
      </c>
      <c r="K34" s="72" t="inlineStr">
        <is>
          <t>Catering Operations</t>
        </is>
      </c>
      <c r="L34" s="72" t="inlineStr">
        <is>
          <t>Other</t>
        </is>
      </c>
      <c r="M34" s="73" t="inlineStr">
        <is>
          <t>Total Cancels</t>
        </is>
      </c>
      <c r="N34" s="74" t="inlineStr">
        <is>
          <t>ES covered for this partner</t>
        </is>
      </c>
      <c r="O34" s="74" t="inlineStr">
        <is>
          <t>Net Cancel</t>
        </is>
      </c>
      <c r="P34" s="74" t="inlineStr">
        <is>
          <t>ES covered by this partner</t>
        </is>
      </c>
      <c r="Q34" s="59" t="n"/>
      <c r="R34" s="59" t="n"/>
      <c r="S34" s="59" t="n"/>
      <c r="T34" s="59" t="n"/>
      <c r="U34" s="59" t="n"/>
      <c r="V34" s="59" t="n"/>
      <c r="W34" s="60" t="n"/>
      <c r="X34" s="60" t="n"/>
    </row>
    <row r="35" ht="13" customHeight="1" s="286">
      <c r="B35" s="66" t="inlineStr">
        <is>
          <t>EV - ExpressJet</t>
        </is>
      </c>
      <c r="C35" s="80">
        <f>SUMIF(SCH_DEP_SQL_4!$A:$A,'PAGE_1 (2)'!R21,SCH_DEP_SQL_4!$E:$E)</f>
        <v/>
      </c>
      <c r="D35" s="48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48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48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48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48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48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48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48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48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>
        <f>IF(SUM(D35:L35)=0,"",SUM(D35:L35))</f>
        <v/>
      </c>
      <c r="N35" s="37">
        <f>ES_MATRIX!K14</f>
        <v/>
      </c>
      <c r="O35" s="14">
        <f>IFERROR(M35-ES_MATRIX!L14,"")</f>
        <v/>
      </c>
      <c r="P35" s="40">
        <f>IF(SUMIF(RES_CNXL_SQL_3!$E:$E,'PAGE_1 (2)'!R21,RES_CNXL_SQL_3!$F:$F)=0,"",SUMIF(RES_CNXL_SQL_3!$E:$E,'PAGE_1 (2)'!R21,RES_CNXL_SQL_3!$F:$F))</f>
        <v/>
      </c>
      <c r="Q35" s="60" t="n"/>
      <c r="R35" s="60" t="n"/>
      <c r="S35" s="60" t="n"/>
      <c r="T35" s="60" t="n"/>
      <c r="U35" s="60" t="n"/>
      <c r="V35" s="60" t="n"/>
      <c r="W35" s="60" t="n"/>
      <c r="X35" s="60" t="n"/>
    </row>
    <row r="36" ht="13" customHeight="1" s="286">
      <c r="B36" s="191" t="inlineStr">
        <is>
          <t>OO - SkyWest</t>
        </is>
      </c>
      <c r="C36" s="81">
        <f>SUMIF(SCH_DEP_SQL_4!$A:$A,'PAGE_1 (2)'!R22,SCH_DEP_SQL_4!$E:$E)</f>
        <v/>
      </c>
      <c r="D36" s="190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90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90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90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90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90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90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90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90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>IF(SUM(D36:L36)=0,"",SUM(D36:L36))</f>
        <v/>
      </c>
      <c r="N36" s="18">
        <f>ES_MATRIX!K15</f>
        <v/>
      </c>
      <c r="O36" s="18">
        <f>IFERROR(M36-ES_MATRIX!L15,"")</f>
        <v/>
      </c>
      <c r="P36" s="16">
        <f>IF(SUMIF(RES_CNXL_SQL_3!$E:$E,'PAGE_1 (2)'!R22,RES_CNXL_SQL_3!$F:$F)=0,"",SUMIF(RES_CNXL_SQL_3!$E:$E,'PAGE_1 (2)'!R22,RES_CNXL_SQL_3!$F:$F))</f>
        <v/>
      </c>
    </row>
    <row r="37" ht="13" customHeight="1" s="286">
      <c r="B37" s="66" t="inlineStr">
        <is>
          <t>AX - Trans States</t>
        </is>
      </c>
      <c r="C37" s="80">
        <f>SUMIF(SCH_DEP_SQL_4!$A:$A,'PAGE_1 (2)'!R23,SCH_DEP_SQL_4!$E:$E)</f>
        <v/>
      </c>
      <c r="D37" s="48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48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48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48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48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48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48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48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48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>
        <f>IF(SUM(D37:L37)=0,"",SUM(D37:L37))</f>
        <v/>
      </c>
      <c r="N37" s="38">
        <f>ES_MATRIX!K16</f>
        <v/>
      </c>
      <c r="O37" s="14">
        <f>IFERROR(M37-ES_MATRIX!L16,"")</f>
        <v/>
      </c>
      <c r="P37" s="40">
        <f>IF(SUMIF(RES_CNXL_SQL_3!$E:$E,'PAGE_1 (2)'!R23,RES_CNXL_SQL_3!$F:$F)=0,"",SUMIF(RES_CNXL_SQL_3!$E:$E,'PAGE_1 (2)'!R23,RES_CNXL_SQL_3!$F:$F))</f>
        <v/>
      </c>
    </row>
    <row r="38" ht="13" customHeight="1" s="286">
      <c r="B38" s="191" t="inlineStr">
        <is>
          <t>YX - Republic</t>
        </is>
      </c>
      <c r="C38" s="81">
        <f>SUMIF(SCH_DEP_SQL_4!$A:$A,'PAGE_1 (2)'!R24,SCH_DEP_SQL_4!$E:$E)</f>
        <v/>
      </c>
      <c r="D38" s="190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90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90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90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90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90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90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90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90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>
        <f>IF(SUM(D38:L38)=0,"",SUM(D38:L38))</f>
        <v/>
      </c>
      <c r="N38" s="18">
        <f>ES_MATRIX!K17</f>
        <v/>
      </c>
      <c r="O38" s="18">
        <f>IFERROR(M38-ES_MATRIX!L17,"")</f>
        <v/>
      </c>
      <c r="P38" s="16">
        <f>IF(SUMIF(RES_CNXL_SQL_3!$E:$E,'PAGE_1 (2)'!R24,RES_CNXL_SQL_3!$F:$F)=0,"",SUMIF(RES_CNXL_SQL_3!$E:$E,'PAGE_1 (2)'!R24,RES_CNXL_SQL_3!$F:$F))</f>
        <v/>
      </c>
    </row>
    <row r="39" ht="13" customHeight="1" s="286">
      <c r="B39" s="66" t="inlineStr">
        <is>
          <t>G7 - Go Jet</t>
        </is>
      </c>
      <c r="C39" s="80">
        <f>SUMIF(SCH_DEP_SQL_4!$A:$A,'PAGE_1 (2)'!R25,SCH_DEP_SQL_4!$E:$E)</f>
        <v/>
      </c>
      <c r="D39" s="48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48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48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48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48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48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48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48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48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>
        <f>IF(SUM(D39:L39)=0,"",SUM(D39:L39))</f>
        <v/>
      </c>
      <c r="N39" s="38">
        <f>ES_MATRIX!K18</f>
        <v/>
      </c>
      <c r="O39" s="14">
        <f>IFERROR(M39-ES_MATRIX!L18,"")</f>
        <v/>
      </c>
      <c r="P39" s="40">
        <f>IF(SUMIF(RES_CNXL_SQL_3!$E:$E,'PAGE_1 (2)'!R25,RES_CNXL_SQL_3!$F:$F)=0,"",SUMIF(RES_CNXL_SQL_3!$E:$E,'PAGE_1 (2)'!R25,RES_CNXL_SQL_3!$F:$F))</f>
        <v/>
      </c>
    </row>
    <row r="40" ht="13" customHeight="1" s="286">
      <c r="B40" s="191" t="inlineStr">
        <is>
          <t>C5 - CommutAir</t>
        </is>
      </c>
      <c r="C40" s="81">
        <f>SUMIF(SCH_DEP_SQL_4!$A:$A,'PAGE_1 (2)'!R26,SCH_DEP_SQL_4!$E:$E)</f>
        <v/>
      </c>
      <c r="D40" s="190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90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90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90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90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90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90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90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90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>IF(SUM(D40:L40)=0,"",SUM(D40:L40))</f>
        <v/>
      </c>
      <c r="N40" s="18">
        <f>ES_MATRIX!K19</f>
        <v/>
      </c>
      <c r="O40" s="18">
        <f>IFERROR(M40-ES_MATRIX!L19,"")</f>
        <v/>
      </c>
      <c r="P40" s="16">
        <f>IF(SUMIF(RES_CNXL_SQL_3!$E:$E,'PAGE_1 (2)'!R26,RES_CNXL_SQL_3!$F:$F)=0,"",SUMIF(RES_CNXL_SQL_3!$E:$E,'PAGE_1 (2)'!R26,RES_CNXL_SQL_3!$F:$F))</f>
        <v/>
      </c>
    </row>
    <row r="41" ht="13" customHeight="1" s="286">
      <c r="B41" s="66" t="inlineStr">
        <is>
          <t>YV - Mesa</t>
        </is>
      </c>
      <c r="C41" s="80">
        <f>SUMIF(SCH_DEP_SQL_4!$A:$A,'PAGE_1 (2)'!R27,SCH_DEP_SQL_4!$E:$E)</f>
        <v/>
      </c>
      <c r="D41" s="48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48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48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48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48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48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48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48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48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>IF(SUM(D41:L41)=0,"",SUM(D41:L41))</f>
        <v/>
      </c>
      <c r="N41" s="38">
        <f>ES_MATRIX!K20</f>
        <v/>
      </c>
      <c r="O41" s="14">
        <f>IFERROR(M41-ES_MATRIX!L20,"")</f>
        <v/>
      </c>
      <c r="P41" s="40">
        <f>IF(SUMIF(RES_CNXL_SQL_3!$E:$E,'PAGE_1 (2)'!R27,RES_CNXL_SQL_3!$F:$F)=0,"",SUMIF(RES_CNXL_SQL_3!$E:$E,'PAGE_1 (2)'!R27,RES_CNXL_SQL_3!$F:$F))</f>
        <v/>
      </c>
    </row>
    <row r="42" ht="13.5" customHeight="1" s="286" thickBot="1">
      <c r="B42" s="191" t="inlineStr">
        <is>
          <t>ZW - Air Wisconsin</t>
        </is>
      </c>
      <c r="C42" s="81">
        <f>SUMIF(SCH_DEP_SQL_4!$A:$A,'PAGE_1 (2)'!R28,SCH_DEP_SQL_4!$E:$E)</f>
        <v/>
      </c>
      <c r="D42" s="190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90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90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90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90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90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90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90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90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>
        <f>IF(SUM(D42:L42)=0,"",SUM(D42:L42))</f>
        <v/>
      </c>
      <c r="N42" s="18">
        <f>ES_MATRIX!K21</f>
        <v/>
      </c>
      <c r="O42" s="18">
        <f>IFERROR(M42-ES_MATRIX!L21,"")</f>
        <v/>
      </c>
      <c r="P42" s="16">
        <f>IF(SUMIF(RES_CNXL_SQL_3!$E:$E,'PAGE_1 (2)'!R28,RES_CNXL_SQL_3!$F:$F)=0,"",SUMIF(RES_CNXL_SQL_3!$E:$E,'PAGE_1 (2)'!R28,RES_CNXL_SQL_3!$F:$F))</f>
        <v/>
      </c>
    </row>
    <row r="43" ht="13.5" customHeight="1" s="286" thickBot="1">
      <c r="B43" s="68" t="inlineStr">
        <is>
          <t>Total:</t>
        </is>
      </c>
      <c r="C43" s="82">
        <f>SUM(C35:C42)</f>
        <v/>
      </c>
      <c r="D43" s="22">
        <f>IF(SUM(D35:D42)=0,"",SUM(D35:D42))</f>
        <v/>
      </c>
      <c r="E43" s="22">
        <f>IF(SUM(E35:E42)=0,"",SUM(E35:E42))</f>
        <v/>
      </c>
      <c r="F43" s="22">
        <f>IF(SUM(F35:F42)=0,"",SUM(F35:F42))</f>
        <v/>
      </c>
      <c r="G43" s="22">
        <f>IF(SUM(G35:G42)=0,"",SUM(G35:G42))</f>
        <v/>
      </c>
      <c r="H43" s="22">
        <f>IF(SUM(H35:H42)=0,"",SUM(H35:H42))</f>
        <v/>
      </c>
      <c r="I43" s="22">
        <f>IF(SUM(I35:I42)=0,"",SUM(I35:I42))</f>
        <v/>
      </c>
      <c r="J43" s="22">
        <f>IF(SUM(J35:J42)=0,"",SUM(J35:J42))</f>
        <v/>
      </c>
      <c r="K43" s="22">
        <f>IF(SUM(K35:K42)=0,"",SUM(K35:K42))</f>
        <v/>
      </c>
      <c r="L43" s="22">
        <f>IF(SUM(L35:L42)=0,"",SUM(L35:L42))</f>
        <v/>
      </c>
      <c r="M43" s="23">
        <f>SUM(M35:M42)</f>
        <v/>
      </c>
      <c r="N43" s="23" t="n"/>
      <c r="O43" s="23">
        <f>SUM(O35:O42)</f>
        <v/>
      </c>
      <c r="P43" s="23">
        <f>SUM(P35:P42)</f>
        <v/>
      </c>
    </row>
    <row r="44" ht="21" customHeight="1" s="286">
      <c r="C44" s="69" t="n"/>
    </row>
  </sheetData>
  <mergeCells count="6">
    <mergeCell ref="B33:P33"/>
    <mergeCell ref="B2:C2"/>
    <mergeCell ref="D2:E2"/>
    <mergeCell ref="B4:H4"/>
    <mergeCell ref="B19:P19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rank="1" priority="95" dxfId="2"/>
  </conditionalFormatting>
  <conditionalFormatting sqref="E21:E28">
    <cfRule type="top10" rank="1" priority="94" dxfId="2"/>
  </conditionalFormatting>
  <conditionalFormatting sqref="F21:F28">
    <cfRule type="top10" rank="1" priority="93" dxfId="2"/>
  </conditionalFormatting>
  <conditionalFormatting sqref="G21:G28">
    <cfRule type="top10" rank="1" priority="92" dxfId="2"/>
  </conditionalFormatting>
  <conditionalFormatting sqref="H21:H28">
    <cfRule type="top10" rank="1" priority="91" dxfId="2"/>
  </conditionalFormatting>
  <conditionalFormatting sqref="I21:I28">
    <cfRule type="top10" rank="1" priority="90" dxfId="2"/>
  </conditionalFormatting>
  <conditionalFormatting sqref="J21:J28">
    <cfRule type="top10" rank="1" priority="89" dxfId="2"/>
  </conditionalFormatting>
  <conditionalFormatting sqref="K21:K28">
    <cfRule type="top10" rank="1" priority="88" dxfId="2"/>
  </conditionalFormatting>
  <conditionalFormatting sqref="L21:L28">
    <cfRule type="top10" rank="1" priority="87" dxfId="2"/>
  </conditionalFormatting>
  <conditionalFormatting sqref="D35:D42">
    <cfRule type="top10" rank="1" priority="86" dxfId="2"/>
  </conditionalFormatting>
  <conditionalFormatting sqref="E35:E42">
    <cfRule type="top10" rank="1" priority="85" dxfId="2"/>
  </conditionalFormatting>
  <conditionalFormatting sqref="F35:F42">
    <cfRule type="top10" rank="1" priority="84" dxfId="2"/>
  </conditionalFormatting>
  <conditionalFormatting sqref="G35:G42">
    <cfRule type="top10" rank="1" priority="83" dxfId="2"/>
  </conditionalFormatting>
  <conditionalFormatting sqref="H35:H42">
    <cfRule type="top10" rank="1" priority="82" dxfId="2"/>
  </conditionalFormatting>
  <conditionalFormatting sqref="I35:I42">
    <cfRule type="top10" rank="1" priority="81" dxfId="2"/>
  </conditionalFormatting>
  <conditionalFormatting sqref="J35:J42">
    <cfRule type="top10" rank="1" priority="80" dxfId="2"/>
  </conditionalFormatting>
  <conditionalFormatting sqref="K35:K42">
    <cfRule type="top10" rank="1" priority="79" dxfId="2"/>
  </conditionalFormatting>
  <conditionalFormatting sqref="L35:L42">
    <cfRule type="top10" rank="1" priority="78" dxfId="2"/>
  </conditionalFormatting>
  <conditionalFormatting sqref="F6">
    <cfRule type="cellIs" priority="75" operator="greaterThan" dxfId="70">
      <formula>0</formula>
    </cfRule>
    <cfRule type="cellIs" priority="77" operator="lessThan" dxfId="0">
      <formula>0</formula>
    </cfRule>
  </conditionalFormatting>
  <conditionalFormatting sqref="F7">
    <cfRule type="cellIs" priority="76" operator="lessThan" dxfId="0">
      <formula>0</formula>
    </cfRule>
  </conditionalFormatting>
  <conditionalFormatting sqref="G6">
    <cfRule type="cellIs" priority="72" operator="greaterThan" dxfId="71">
      <formula>0</formula>
    </cfRule>
    <cfRule type="cellIs" priority="73" operator="greaterThan" dxfId="70">
      <formula>0</formula>
    </cfRule>
    <cfRule type="cellIs" priority="74" operator="lessThan" dxfId="0">
      <formula>0</formula>
    </cfRule>
  </conditionalFormatting>
  <conditionalFormatting sqref="G7">
    <cfRule type="cellIs" priority="69" operator="greaterThan" dxfId="71">
      <formula>0</formula>
    </cfRule>
    <cfRule type="cellIs" priority="70" operator="greaterThan" dxfId="70">
      <formula>0</formula>
    </cfRule>
    <cfRule type="cellIs" priority="71" operator="lessThan" dxfId="0">
      <formula>0</formula>
    </cfRule>
  </conditionalFormatting>
  <conditionalFormatting sqref="G8">
    <cfRule type="cellIs" priority="66" operator="greaterThan" dxfId="71">
      <formula>0</formula>
    </cfRule>
    <cfRule type="cellIs" priority="67" operator="greaterThan" dxfId="70">
      <formula>0</formula>
    </cfRule>
    <cfRule type="cellIs" priority="68" operator="lessThan" dxfId="0">
      <formula>0</formula>
    </cfRule>
  </conditionalFormatting>
  <conditionalFormatting sqref="F8">
    <cfRule type="cellIs" priority="63" operator="greaterThan" dxfId="71">
      <formula>0</formula>
    </cfRule>
    <cfRule type="cellIs" priority="64" operator="greaterThan" dxfId="70">
      <formula>0</formula>
    </cfRule>
    <cfRule type="cellIs" priority="65" operator="lessThan" dxfId="0">
      <formula>0</formula>
    </cfRule>
  </conditionalFormatting>
  <conditionalFormatting sqref="N6">
    <cfRule type="cellIs" priority="15" operator="greaterThan" dxfId="70">
      <formula>0</formula>
    </cfRule>
    <cfRule type="cellIs" priority="17" operator="lessThan" dxfId="0">
      <formula>0</formula>
    </cfRule>
  </conditionalFormatting>
  <conditionalFormatting sqref="N7">
    <cfRule type="cellIs" priority="16" operator="lessThan" dxfId="0">
      <formula>0</formula>
    </cfRule>
  </conditionalFormatting>
  <conditionalFormatting sqref="O6">
    <cfRule type="cellIs" priority="12" operator="greaterThan" dxfId="71">
      <formula>0</formula>
    </cfRule>
    <cfRule type="cellIs" priority="13" operator="greaterThan" dxfId="70">
      <formula>0</formula>
    </cfRule>
    <cfRule type="cellIs" priority="14" operator="lessThan" dxfId="0">
      <formula>0</formula>
    </cfRule>
  </conditionalFormatting>
  <conditionalFormatting sqref="O7">
    <cfRule type="cellIs" priority="9" operator="greaterThan" dxfId="71">
      <formula>0</formula>
    </cfRule>
    <cfRule type="cellIs" priority="10" operator="greaterThan" dxfId="70">
      <formula>0</formula>
    </cfRule>
    <cfRule type="cellIs" priority="11" operator="lessThan" dxfId="0">
      <formula>0</formula>
    </cfRule>
  </conditionalFormatting>
  <conditionalFormatting sqref="O8">
    <cfRule type="cellIs" priority="6" operator="greaterThan" dxfId="71">
      <formula>0</formula>
    </cfRule>
    <cfRule type="cellIs" priority="7" operator="greaterThan" dxfId="70">
      <formula>0</formula>
    </cfRule>
    <cfRule type="cellIs" priority="8" operator="lessThan" dxfId="0">
      <formula>0</formula>
    </cfRule>
  </conditionalFormatting>
  <conditionalFormatting sqref="N8">
    <cfRule type="cellIs" priority="3" operator="greaterThan" dxfId="71">
      <formula>0</formula>
    </cfRule>
    <cfRule type="cellIs" priority="4" operator="greaterThan" dxfId="70">
      <formula>0</formula>
    </cfRule>
    <cfRule type="cellIs" priority="5" operator="lessThan" dxfId="0">
      <formula>0</formula>
    </cfRule>
  </conditionalFormatting>
  <pageMargins left="1" right="1" top="1" bottom="1" header="0.5" footer="0.5"/>
  <pageSetup orientation="landscape" scale="64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9">
    <tabColor theme="9" tint="-0.249977111117893"/>
    <outlinePr summaryBelow="1" summaryRight="1"/>
    <pageSetUpPr fitToPage="1"/>
  </sheetPr>
  <dimension ref="B2:X52"/>
  <sheetViews>
    <sheetView showGridLines="0" topLeftCell="A9" zoomScaleNormal="100" workbookViewId="0">
      <selection activeCell="E25" sqref="E25"/>
    </sheetView>
  </sheetViews>
  <sheetFormatPr baseColWidth="8" defaultColWidth="8.7265625" defaultRowHeight="12" outlineLevelCol="0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10.26953125" customWidth="1" style="1" min="5" max="5"/>
    <col width="11" customWidth="1" style="1" min="6" max="6"/>
    <col width="11.81640625" bestFit="1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s="286" thickBot="1"/>
    <row r="2" ht="28.9" customHeight="1" s="286">
      <c r="B2" s="338" t="inlineStr">
        <is>
          <t>UAX Daily Snapshot for</t>
        </is>
      </c>
      <c r="C2" s="339" t="n"/>
      <c r="D2" s="340">
        <f>TODAY()-1</f>
        <v/>
      </c>
      <c r="E2" s="339" t="n"/>
    </row>
    <row r="3" ht="15" customHeight="1" s="286" thickBot="1">
      <c r="F3" s="1" t="n"/>
      <c r="J3" s="85" t="n"/>
      <c r="K3" s="85" t="n"/>
      <c r="L3" s="85" t="n"/>
      <c r="M3" s="84" t="n"/>
    </row>
    <row r="4" ht="18" customHeight="1" s="286" thickBot="1">
      <c r="B4" s="314" t="inlineStr">
        <is>
          <t>Reliability Snapshot - SYS</t>
        </is>
      </c>
      <c r="C4" s="341" t="n"/>
      <c r="D4" s="341" t="n"/>
      <c r="E4" s="341" t="n"/>
      <c r="F4" s="341" t="n"/>
      <c r="G4" s="341" t="n"/>
      <c r="H4" s="341" t="n"/>
    </row>
    <row r="5" ht="19.9" customHeight="1" s="286" thickBot="1">
      <c r="B5" s="64" t="inlineStr">
        <is>
          <t>Metric</t>
        </is>
      </c>
      <c r="C5" s="49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 s="286">
      <c r="B6" s="62" t="inlineStr">
        <is>
          <t>Completion</t>
        </is>
      </c>
      <c r="C6" s="351">
        <f>UA_SQL_1!N2/UA_SQL_1!M2</f>
        <v/>
      </c>
      <c r="D6" s="351">
        <f>UA_SQL_1!F2/UA_SQL_1!E2</f>
        <v/>
      </c>
      <c r="E6" s="343">
        <f>SUMIF(EX_Goals!$B:$B,'PAGE_1 (4)'!#REF!,EX_Goals!$E:$E)</f>
        <v/>
      </c>
      <c r="F6" s="83">
        <f>((UA_SQL_1!$N$2/UA_SQL_1!$M$2)-(SUMIF(OA_SQL_1!$A$1:$A$3,"DL",OA_SQL_1!$K$1:$K$3)/SUMIF(OA_SQL_1!$A$1:$A$3,"DL",OA_SQL_1!$I$1:$I$3)))*100</f>
        <v/>
      </c>
      <c r="G6" s="83">
        <f>((UA_SQL_1!$N$2/UA_SQL_1!$M$2)-(SUMIF(OA_SQL_1!$A$1:$A$3,"AA",OA_SQL_1!$K$1:$K$3)/SUMIF(OA_SQL_1!$A$1:$A$3,"AA",OA_SQL_1!$I$1:$I$3)))*100</f>
        <v/>
      </c>
      <c r="H6" s="52">
        <f>RANK!F2</f>
        <v/>
      </c>
    </row>
    <row r="7" ht="19.9" customHeight="1" s="286">
      <c r="B7" s="62" t="inlineStr">
        <is>
          <t>A:00</t>
        </is>
      </c>
      <c r="C7" s="351">
        <f>UA_SQL_1!Q2/UA_SQL_1!M2</f>
        <v/>
      </c>
      <c r="D7" s="351">
        <f>UA_SQL_1!I2/UA_SQL_1!E2</f>
        <v/>
      </c>
      <c r="E7" s="343">
        <f>SUMIF(EX_Goals!$B:$B,'PAGE_1 (4)'!#REF!,EX_Goals!$D:$D)</f>
        <v/>
      </c>
      <c r="F7" s="83">
        <f>((UA_SQL_1!$Q$2/UA_SQL_1!$M$2)-(SUMIF(OA_SQL_1!$A$1:$A$3,"DL",OA_SQL_1!$L$1:$L$3)/SUMIF(OA_SQL_1!$A$1:$A$3,"DL",OA_SQL_1!$I$1:$I$3)))*100</f>
        <v/>
      </c>
      <c r="G7" s="83">
        <f>((UA_SQL_1!$Q$2/UA_SQL_1!$M$2)-(SUMIF(OA_SQL_1!$A$1:$A$3,"AA",OA_SQL_1!$L$1:$L$3)/SUMIF(OA_SQL_1!$A$1:$A$3,"AA",OA_SQL_1!$I$1:$I$3)))*100</f>
        <v/>
      </c>
      <c r="H7" s="52">
        <f>RANK!F3</f>
        <v/>
      </c>
    </row>
    <row r="8" ht="19.15" customHeight="1" s="286">
      <c r="B8" s="63" t="inlineStr">
        <is>
          <t xml:space="preserve">CS D:00 </t>
        </is>
      </c>
      <c r="C8" s="351">
        <f>UA_SQL_1!P2/UA_SQL_1!M2</f>
        <v/>
      </c>
      <c r="D8" s="356">
        <f>UA_SQL_1!H2/UA_SQL_1!E2</f>
        <v/>
      </c>
      <c r="E8" s="343">
        <f>SUMIF(EX_Goals!$B:$B,'PAGE_1 (4)'!#REF!,EX_Goals!$C:$C)</f>
        <v/>
      </c>
      <c r="F8" s="83">
        <f>((UA_SQL_1!$P$2/UA_SQL_1!$M$2)-(SUMIF(OA_SQL_1!$A$1:$A$3,"DL",OA_SQL_1!$J$1:$J$3)/SUMIF(OA_SQL_1!$A$1:$A$3,"DL",OA_SQL_1!$I$1:$I$3)))*100</f>
        <v/>
      </c>
      <c r="G8" s="83">
        <f>((UA_SQL_1!$P$2/UA_SQL_1!$M$2)-(SUMIF(OA_SQL_1!$A$1:$A$3,"AA",OA_SQL_1!$J$1:$J$3)/SUMIF(OA_SQL_1!$A$1:$A$3,"AA",OA_SQL_1!$I$1:$I$3)))*100</f>
        <v/>
      </c>
      <c r="H8" s="52">
        <f>RANK!F4</f>
        <v/>
      </c>
    </row>
    <row r="9" ht="19.9" customHeight="1" s="286">
      <c r="B9" s="63" t="inlineStr">
        <is>
          <t xml:space="preserve">D:00 </t>
        </is>
      </c>
      <c r="C9" s="351">
        <f>UA_SQL_1!O2/UA_SQL_1!M2</f>
        <v/>
      </c>
      <c r="D9" s="356">
        <f>UA_SQL_1!G2/UA_SQL_1!E2</f>
        <v/>
      </c>
      <c r="E9" s="343">
        <f>SUMIF(EX_Goals!$B:$B,'PAGE_1 (4)'!#REF!,EX_Goals!$C:$C)</f>
        <v/>
      </c>
      <c r="F9" s="75" t="n"/>
      <c r="G9" s="75" t="n"/>
      <c r="H9" s="75" t="n"/>
    </row>
    <row r="10" ht="20.5" customHeight="1" s="286">
      <c r="B10" s="62" t="inlineStr">
        <is>
          <t>STAR D:00</t>
        </is>
      </c>
      <c r="C10" s="351">
        <f>UA_SQL_1!S2/UA_SQL_1!R2</f>
        <v/>
      </c>
      <c r="D10" s="351">
        <f>UA_SQL_1!K2/UA_SQL_1!J2</f>
        <v/>
      </c>
      <c r="E10" s="343">
        <f>SUMIF(EX_Goals!$B:$B,'PAGE_1 (4)'!#REF!,EX_Goals!$F:$F)</f>
        <v/>
      </c>
      <c r="F10" s="76" t="n"/>
      <c r="G10" s="76" t="n"/>
      <c r="H10" s="76" t="n"/>
    </row>
    <row r="11" ht="19.9" customHeight="1" s="286">
      <c r="B11" s="62" t="inlineStr">
        <is>
          <t>Controllable Completion</t>
        </is>
      </c>
      <c r="C11" s="79">
        <f>(UA_SQL_1!M2-UA_SQL_1!T2)/UA_SQL_1!M2</f>
        <v/>
      </c>
      <c r="D11" s="79">
        <f>(UA_SQL_1!E2-UA_SQL_1!L2)/UA_SQL_1!E2</f>
        <v/>
      </c>
      <c r="E11" s="134">
        <f>SUMIF(EX_Goals!$B:$B,'PAGE_1 (4)'!#REF!,EX_Goals!$G:$G)</f>
        <v/>
      </c>
      <c r="F11" s="75" t="n"/>
      <c r="G11" s="75" t="n"/>
      <c r="H11" s="75" t="n"/>
    </row>
    <row r="12" ht="19.9" customHeight="1" s="286">
      <c r="B12" s="62" t="inlineStr">
        <is>
          <t>Total diverts</t>
        </is>
      </c>
      <c r="C12" s="87">
        <f>SUMIFS(TOTAL_DIVERTS_SQL_5!$B:$B,TOTAL_DIVERTS_SQL_5!A:A,"YEST")</f>
        <v/>
      </c>
      <c r="D12" s="87">
        <f>SUMIFS(TOTAL_DIVERTS_SQL_5!$B:$B,TOTAL_DIVERTS_SQL_5!A:A,"MTD")</f>
        <v/>
      </c>
      <c r="E12" s="86" t="n"/>
      <c r="F12" s="75" t="n"/>
      <c r="G12" s="75" t="n"/>
      <c r="H12" s="75" t="n"/>
    </row>
    <row r="13" ht="19.9" customHeight="1" s="286">
      <c r="B13" s="62" t="inlineStr">
        <is>
          <t>Diverts recovered</t>
        </is>
      </c>
      <c r="C13" s="87">
        <f>SUMIF(DIVERTS_RECOVERED_SQL_6!$A:$A,"YEST",DIVERTS_RECOVERED_SQL_6!$C:$C)</f>
        <v/>
      </c>
      <c r="D13" s="87">
        <f>SUMIF(DIVERTS_RECOVERED_SQL_6!$A:$A,"MTD",DIVERTS_RECOVERED_SQL_6!$C:$C)</f>
        <v/>
      </c>
      <c r="E13" s="86" t="n"/>
      <c r="F13" s="75" t="n"/>
      <c r="G13" s="75" t="n"/>
      <c r="H13" s="75" t="n"/>
      <c r="J13" s="59" t="n"/>
      <c r="K13" s="59" t="n"/>
      <c r="L13" s="59" t="n"/>
      <c r="M13" s="59" t="n"/>
      <c r="N13" s="59" t="n"/>
      <c r="O13" s="60" t="n"/>
      <c r="P13" s="60" t="n"/>
    </row>
    <row r="14" ht="14.5" customHeight="1" s="286">
      <c r="O14" s="59" t="n"/>
      <c r="P14" s="59" t="n"/>
      <c r="Q14" s="59" t="n"/>
      <c r="R14" s="59" t="n"/>
      <c r="S14" s="59" t="n"/>
      <c r="T14" s="59" t="n"/>
      <c r="U14" s="59" t="n"/>
      <c r="V14" s="59" t="n"/>
      <c r="W14" s="60" t="n"/>
      <c r="X14" s="60" t="n"/>
    </row>
    <row r="15" ht="15" customHeight="1" s="286" thickBot="1">
      <c r="O15" s="59" t="n"/>
      <c r="P15" s="59" t="n"/>
      <c r="Q15" s="59" t="n"/>
      <c r="R15" s="59" t="n"/>
      <c r="S15" s="59" t="n"/>
      <c r="T15" s="59" t="n"/>
      <c r="U15" s="59" t="n"/>
      <c r="V15" s="59" t="n"/>
      <c r="W15" s="60" t="n"/>
      <c r="X15" s="60" t="n"/>
    </row>
    <row r="16" ht="19.15" customHeight="1" s="286" thickBot="1">
      <c r="B16" s="316" t="inlineStr">
        <is>
          <t>Reliability Snapshot - Hubs</t>
        </is>
      </c>
      <c r="C16" s="350" t="n"/>
      <c r="D16" s="350" t="n"/>
      <c r="E16" s="350" t="n"/>
      <c r="F16" s="350" t="n"/>
      <c r="G16" s="350" t="n"/>
      <c r="H16" s="350" t="n"/>
      <c r="I16" s="350" t="n"/>
      <c r="J16" s="350" t="n"/>
      <c r="K16" s="350" t="n"/>
      <c r="O16" s="59" t="n"/>
      <c r="P16" s="59" t="n"/>
      <c r="Q16" s="59" t="n"/>
      <c r="R16" s="59" t="n"/>
      <c r="S16" s="59" t="n"/>
      <c r="T16" s="59" t="n"/>
      <c r="U16" s="59" t="n"/>
      <c r="V16" s="59" t="n"/>
      <c r="W16" s="60" t="n"/>
      <c r="X16" s="60" t="n"/>
    </row>
    <row r="17" ht="19.15" customHeight="1" s="286" thickBot="1">
      <c r="B17" s="64" t="inlineStr">
        <is>
          <t>Market</t>
        </is>
      </c>
      <c r="C17" s="49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6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9" t="n"/>
      <c r="P17" s="59" t="n"/>
      <c r="Q17" s="59" t="n"/>
      <c r="R17" s="59" t="n"/>
      <c r="S17" s="59" t="n"/>
      <c r="T17" s="59" t="n"/>
      <c r="U17" s="60" t="n"/>
      <c r="V17" s="60" t="n"/>
    </row>
    <row r="18" ht="19.15" customHeight="1" s="286">
      <c r="B18" s="62" t="inlineStr">
        <is>
          <t>Denver</t>
        </is>
      </c>
      <c r="C18" s="343">
        <f>SUMIFS(UA_HUB_SQL_7!J:J,UA_HUB_SQL_7!$B:$B,'PAGE_1 (4)'!B18)/SUMIFS(UA_HUB_SQL_7!$F:$F,UA_HUB_SQL_7!$B:$B,'PAGE_1 (4)'!B18)</f>
        <v/>
      </c>
      <c r="D18" s="343">
        <f>SUMIFS(UA_HUB_SQL_7!K:K,UA_HUB_SQL_7!B:B,'PAGE_1 (4)'!B18)/SUMIFS(UA_HUB_SQL_7!F:F,UA_HUB_SQL_7!B:B,'PAGE_1 (4)'!B18)</f>
        <v/>
      </c>
      <c r="E18" s="360" t="inlineStr">
        <is>
          <t>-</t>
        </is>
      </c>
      <c r="F18" s="361" t="n"/>
      <c r="G18" s="116" t="inlineStr">
        <is>
          <t>-</t>
        </is>
      </c>
      <c r="H18" s="343">
        <f>SUMIFS(UA_HUB_SQL_7!G:G,UA_HUB_SQL_7!$B:$B,'PAGE_1 (4)'!B18)/SUMIFS(UA_HUB_SQL_7!$F:$F,UA_HUB_SQL_7!$B:$B,'PAGE_1 (4)'!B18)</f>
        <v/>
      </c>
      <c r="I18" s="116" t="inlineStr">
        <is>
          <t>-</t>
        </is>
      </c>
      <c r="J18" s="116" t="inlineStr">
        <is>
          <t>-</t>
        </is>
      </c>
      <c r="K18" s="116" t="inlineStr">
        <is>
          <t>-</t>
        </is>
      </c>
      <c r="O18" s="59" t="n"/>
      <c r="P18" s="59" t="n"/>
      <c r="Q18" s="59" t="n"/>
      <c r="R18" s="59" t="n"/>
      <c r="S18" s="59" t="n"/>
      <c r="T18" s="59" t="n"/>
      <c r="U18" s="60" t="n"/>
      <c r="V18" s="60" t="n"/>
    </row>
    <row r="19" ht="19.15" customHeight="1" s="286">
      <c r="B19" s="62" t="inlineStr">
        <is>
          <t>New York</t>
        </is>
      </c>
      <c r="C19" s="343">
        <f>SUMIFS(UA_HUB_SQL_7!J:J,UA_HUB_SQL_7!$B:$B,'PAGE_1 (4)'!B19)/SUMIFS(UA_HUB_SQL_7!$F:$F,UA_HUB_SQL_7!$B:$B,'PAGE_1 (4)'!B19)</f>
        <v/>
      </c>
      <c r="D19" s="343">
        <f>SUMIFS(UA_HUB_SQL_7!K:K,UA_HUB_SQL_7!B:B,'PAGE_1 (4)'!B19)/SUMIFS(UA_HUB_SQL_7!F:F,UA_HUB_SQL_7!B:B,'PAGE_1 (4)'!B19)</f>
        <v/>
      </c>
      <c r="E19" s="83" t="inlineStr">
        <is>
          <t>DL - 0.7 AA - (8.0)</t>
        </is>
      </c>
      <c r="F19" s="362" t="n"/>
      <c r="G19" s="52">
        <f>RANK!F9</f>
        <v/>
      </c>
      <c r="H19" s="343">
        <f>SUMIFS(UA_HUB_SQL_7!G:G,UA_HUB_SQL_7!$B:$B,'PAGE_1 (4)'!B19)/SUMIFS(UA_HUB_SQL_7!$F:$F,UA_HUB_SQL_7!$B:$B,'PAGE_1 (4)'!B19)</f>
        <v/>
      </c>
      <c r="I19" s="83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/>
      </c>
      <c r="J19" s="83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/>
      </c>
      <c r="K19" s="52">
        <f>RANK!F20</f>
        <v/>
      </c>
      <c r="O19" s="59" t="n"/>
      <c r="P19" s="59" t="n"/>
      <c r="Q19" s="59" t="n"/>
      <c r="R19" s="59" t="n"/>
      <c r="S19" s="59" t="n"/>
      <c r="T19" s="59" t="n"/>
      <c r="U19" s="60" t="n"/>
      <c r="V19" s="60" t="n"/>
    </row>
    <row r="20" ht="19.15" customHeight="1" s="286">
      <c r="B20" s="63" t="inlineStr">
        <is>
          <t>Washington DC</t>
        </is>
      </c>
      <c r="C20" s="343">
        <f>SUMIFS(UA_HUB_SQL_7!J:J,UA_HUB_SQL_7!$B:$B,'PAGE_1 (4)'!B20)/SUMIFS(UA_HUB_SQL_7!$F:$F,UA_HUB_SQL_7!$B:$B,'PAGE_1 (4)'!B20)</f>
        <v/>
      </c>
      <c r="D20" s="343">
        <f>SUMIFS(UA_HUB_SQL_7!K:K,UA_HUB_SQL_7!B:B,'PAGE_1 (4)'!B20)/SUMIFS(UA_HUB_SQL_7!F:F,UA_HUB_SQL_7!B:B,'PAGE_1 (4)'!B20)</f>
        <v/>
      </c>
      <c r="E20" s="83" t="inlineStr">
        <is>
          <t>DL - 0.7 AA - (8.0)</t>
        </is>
      </c>
      <c r="F20" s="362" t="n"/>
      <c r="G20" s="52">
        <f>RANK!F10</f>
        <v/>
      </c>
      <c r="H20" s="343">
        <f>SUMIFS(UA_HUB_SQL_7!G:G,UA_HUB_SQL_7!$B:$B,'PAGE_1 (4)'!B20)/SUMIFS(UA_HUB_SQL_7!$F:$F,UA_HUB_SQL_7!$B:$B,'PAGE_1 (4)'!B20)</f>
        <v/>
      </c>
      <c r="I20" s="83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/>
      </c>
      <c r="J20" s="83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/>
      </c>
      <c r="K20" s="52">
        <f>RANK!F21</f>
        <v/>
      </c>
      <c r="O20" s="59" t="n"/>
      <c r="P20" s="59" t="n"/>
      <c r="Q20" s="59" t="n"/>
      <c r="R20" s="59" t="n"/>
      <c r="S20" s="59" t="n"/>
      <c r="T20" s="59" t="n"/>
      <c r="U20" s="60" t="n"/>
      <c r="V20" s="60" t="n"/>
    </row>
    <row r="21" ht="19.15" customHeight="1" s="286">
      <c r="B21" s="63" t="inlineStr">
        <is>
          <t>Texas</t>
        </is>
      </c>
      <c r="C21" s="343">
        <f>SUMIFS(UA_HUB_SQL_7!J:J,UA_HUB_SQL_7!$B:$B,'PAGE_1 (4)'!B21)/SUMIFS(UA_HUB_SQL_7!$F:$F,UA_HUB_SQL_7!$B:$B,'PAGE_1 (4)'!B21)</f>
        <v/>
      </c>
      <c r="D21" s="343">
        <f>SUMIFS(UA_HUB_SQL_7!K:K,UA_HUB_SQL_7!B:B,'PAGE_1 (4)'!B21)/SUMIFS(UA_HUB_SQL_7!F:F,UA_HUB_SQL_7!B:B,'PAGE_1 (4)'!B21)</f>
        <v/>
      </c>
      <c r="E21" s="83" t="inlineStr">
        <is>
          <t>AA - (8.0)</t>
        </is>
      </c>
      <c r="F21" s="362" t="n"/>
      <c r="G21" s="52">
        <f>RANK!F11</f>
        <v/>
      </c>
      <c r="H21" s="343">
        <f>SUMIFS(UA_HUB_SQL_7!G:G,UA_HUB_SQL_7!$B:$B,'PAGE_1 (4)'!B21)/SUMIFS(UA_HUB_SQL_7!$F:$F,UA_HUB_SQL_7!$B:$B,'PAGE_1 (4)'!B21)</f>
        <v/>
      </c>
      <c r="I21" s="116" t="inlineStr">
        <is>
          <t>-</t>
        </is>
      </c>
      <c r="J21" s="83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/>
      </c>
      <c r="K21" s="52">
        <f>RANK!F22</f>
        <v/>
      </c>
      <c r="O21" s="59" t="n"/>
      <c r="P21" s="59" t="n"/>
      <c r="Q21" s="59" t="n"/>
      <c r="R21" s="59" t="n"/>
      <c r="S21" s="59" t="n"/>
      <c r="T21" s="59" t="n"/>
      <c r="U21" s="60" t="n"/>
      <c r="V21" s="60" t="n"/>
    </row>
    <row r="22" ht="19.15" customHeight="1" s="286">
      <c r="B22" s="62" t="inlineStr">
        <is>
          <t>Los Angeles</t>
        </is>
      </c>
      <c r="C22" s="343">
        <f>SUMIFS(UA_HUB_SQL_7!J:J,UA_HUB_SQL_7!$B:$B,'PAGE_1 (4)'!B22)/SUMIFS(UA_HUB_SQL_7!$F:$F,UA_HUB_SQL_7!$B:$B,'PAGE_1 (4)'!B22)</f>
        <v/>
      </c>
      <c r="D22" s="343">
        <f>SUMIFS(UA_HUB_SQL_7!K:K,UA_HUB_SQL_7!B:B,'PAGE_1 (4)'!B22)/SUMIFS(UA_HUB_SQL_7!F:F,UA_HUB_SQL_7!B:B,'PAGE_1 (4)'!B22)</f>
        <v/>
      </c>
      <c r="E22" s="83" t="inlineStr">
        <is>
          <t>DL - 0.7 AA - (8.0)</t>
        </is>
      </c>
      <c r="F22" s="362" t="n"/>
      <c r="G22" s="52">
        <f>RANK!F12</f>
        <v/>
      </c>
      <c r="H22" s="343">
        <f>SUMIFS(UA_HUB_SQL_7!G:G,UA_HUB_SQL_7!$B:$B,'PAGE_1 (4)'!B22)/SUMIFS(UA_HUB_SQL_7!$F:$F,UA_HUB_SQL_7!$B:$B,'PAGE_1 (4)'!B22)</f>
        <v/>
      </c>
      <c r="I22" s="83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/>
      </c>
      <c r="J22" s="83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/>
      </c>
      <c r="K22" s="52">
        <f>RANK!F23</f>
        <v/>
      </c>
      <c r="O22" s="59" t="n"/>
      <c r="P22" s="59" t="n"/>
      <c r="Q22" s="59" t="n"/>
      <c r="R22" s="59" t="n"/>
      <c r="S22" s="59" t="n"/>
      <c r="T22" s="59" t="n"/>
      <c r="U22" s="60" t="n"/>
      <c r="V22" s="60" t="n"/>
    </row>
    <row r="23" ht="19.15" customHeight="1" s="286">
      <c r="B23" s="63" t="inlineStr">
        <is>
          <t>Chicago</t>
        </is>
      </c>
      <c r="C23" s="343">
        <f>SUMIFS(UA_HUB_SQL_7!J:J,UA_HUB_SQL_7!$B:$B,'PAGE_1 (4)'!B23)/SUMIFS(UA_HUB_SQL_7!$F:$F,UA_HUB_SQL_7!$B:$B,'PAGE_1 (4)'!B23)</f>
        <v/>
      </c>
      <c r="D23" s="343">
        <f>SUMIFS(UA_HUB_SQL_7!K:K,UA_HUB_SQL_7!B:B,'PAGE_1 (4)'!B23)/SUMIFS(UA_HUB_SQL_7!F:F,UA_HUB_SQL_7!B:B,'PAGE_1 (4)'!B23)</f>
        <v/>
      </c>
      <c r="E23" s="83" t="inlineStr">
        <is>
          <t>AA - (8.0)</t>
        </is>
      </c>
      <c r="F23" s="362" t="n"/>
      <c r="G23" s="52">
        <f>RANK!F13</f>
        <v/>
      </c>
      <c r="H23" s="343">
        <f>SUMIFS(UA_HUB_SQL_7!G:G,UA_HUB_SQL_7!$B:$B,'PAGE_1 (4)'!B23)/SUMIFS(UA_HUB_SQL_7!$F:$F,UA_HUB_SQL_7!$B:$B,'PAGE_1 (4)'!B23)</f>
        <v/>
      </c>
      <c r="I23" s="116" t="inlineStr">
        <is>
          <t>-</t>
        </is>
      </c>
      <c r="J23" s="83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/>
      </c>
      <c r="K23" s="52">
        <f>RANK!F24</f>
        <v/>
      </c>
      <c r="L23" s="59" t="n"/>
      <c r="M23" s="59" t="n"/>
      <c r="N23" s="59" t="n"/>
      <c r="O23" s="59" t="n"/>
      <c r="P23" s="59" t="n"/>
      <c r="Q23" s="59" t="n"/>
      <c r="R23" s="59" t="n"/>
      <c r="S23" s="59" t="n"/>
      <c r="T23" s="59" t="n"/>
      <c r="U23" s="60" t="n"/>
      <c r="V23" s="60" t="n"/>
    </row>
    <row r="24" ht="19.15" customHeight="1" s="286">
      <c r="B24" s="62" t="inlineStr">
        <is>
          <t>San Francisco</t>
        </is>
      </c>
      <c r="C24" s="343">
        <f>SUMIFS(UA_HUB_SQL_7!J:J,UA_HUB_SQL_7!$B:$B,'PAGE_1 (4)'!B24)/SUMIFS(UA_HUB_SQL_7!$F:$F,UA_HUB_SQL_7!$B:$B,'PAGE_1 (4)'!B24)</f>
        <v/>
      </c>
      <c r="D24" s="343">
        <f>SUMIFS(UA_HUB_SQL_7!K:K,UA_HUB_SQL_7!B:B,'PAGE_1 (4)'!B24)/SUMIFS(UA_HUB_SQL_7!F:F,UA_HUB_SQL_7!B:B,'PAGE_1 (4)'!B24)</f>
        <v/>
      </c>
      <c r="E24" s="83" t="inlineStr">
        <is>
          <t>AS - (8.0)</t>
        </is>
      </c>
      <c r="F24" s="362" t="n"/>
      <c r="G24" s="116" t="inlineStr">
        <is>
          <t>-</t>
        </is>
      </c>
      <c r="H24" s="343">
        <f>SUMIFS(UA_HUB_SQL_7!G:G,UA_HUB_SQL_7!$B:$B,'PAGE_1 (4)'!B24)/SUMIFS(UA_HUB_SQL_7!$F:$F,UA_HUB_SQL_7!$B:$B,'PAGE_1 (4)'!B24)</f>
        <v/>
      </c>
      <c r="I24" s="116" t="inlineStr">
        <is>
          <t>-</t>
        </is>
      </c>
      <c r="J24" s="116" t="inlineStr">
        <is>
          <t>-</t>
        </is>
      </c>
      <c r="K24" s="116" t="inlineStr">
        <is>
          <t>-</t>
        </is>
      </c>
      <c r="L24" s="59" t="n"/>
      <c r="M24" s="59" t="n"/>
      <c r="N24" s="59" t="n"/>
      <c r="O24" s="59" t="n"/>
      <c r="P24" s="59" t="n"/>
      <c r="Q24" s="59" t="n"/>
      <c r="R24" s="59" t="n"/>
      <c r="S24" s="59" t="n"/>
      <c r="T24" s="59" t="n"/>
      <c r="U24" s="60" t="n"/>
      <c r="V24" s="60" t="n"/>
    </row>
    <row r="25">
      <c r="N25" s="59" t="n"/>
      <c r="O25" s="59" t="n"/>
      <c r="P25" s="59" t="n"/>
      <c r="Q25" s="59" t="n"/>
      <c r="R25" s="59" t="n"/>
      <c r="S25" s="59" t="n"/>
      <c r="T25" s="59" t="n"/>
      <c r="U25" s="59" t="n"/>
      <c r="V25" s="59" t="n"/>
      <c r="W25" s="60" t="n"/>
      <c r="X25" s="60" t="n"/>
    </row>
    <row r="26" ht="12.5" customHeight="1" s="286" thickBot="1">
      <c r="C26" s="346" t="n"/>
      <c r="Q26" s="59" t="n"/>
      <c r="R26" s="59" t="n"/>
      <c r="S26" s="59" t="n"/>
      <c r="T26" s="59" t="n"/>
      <c r="U26" s="59" t="n"/>
      <c r="V26" s="59" t="n"/>
      <c r="W26" s="60" t="n"/>
      <c r="X26" s="60" t="n"/>
    </row>
    <row r="27" ht="16" customHeight="1" s="286" thickBot="1">
      <c r="B27" s="314" t="inlineStr">
        <is>
          <t>Cancel Detail</t>
        </is>
      </c>
      <c r="C27" s="341" t="n"/>
      <c r="D27" s="341" t="n"/>
      <c r="E27" s="341" t="n"/>
      <c r="F27" s="341" t="n"/>
      <c r="G27" s="341" t="n"/>
      <c r="H27" s="341" t="n"/>
      <c r="I27" s="341" t="n"/>
      <c r="J27" s="341" t="n"/>
      <c r="K27" s="341" t="n"/>
      <c r="L27" s="341" t="n"/>
      <c r="M27" s="341" t="n"/>
      <c r="N27" s="341" t="n"/>
      <c r="O27" s="341" t="n"/>
      <c r="P27" s="341" t="n"/>
      <c r="Q27" s="59" t="n"/>
      <c r="R27" s="60" t="n"/>
      <c r="S27" s="60" t="n"/>
      <c r="T27" s="60" t="n"/>
      <c r="U27" s="60" t="n"/>
      <c r="V27" s="59" t="n"/>
      <c r="W27" s="60" t="n"/>
      <c r="X27" s="60" t="n"/>
    </row>
    <row r="28" ht="30.65" customHeight="1" s="286" thickBot="1">
      <c r="B28" s="70" t="inlineStr">
        <is>
          <t>Express Partner</t>
        </is>
      </c>
      <c r="C28" s="71" t="inlineStr">
        <is>
          <t>Scheduled Departures</t>
        </is>
      </c>
      <c r="D28" s="72" t="inlineStr">
        <is>
          <t>Weather &amp; ATC</t>
        </is>
      </c>
      <c r="E28" s="72" t="inlineStr">
        <is>
          <t>Technical Operations</t>
        </is>
      </c>
      <c r="F28" s="72" t="inlineStr">
        <is>
          <t>Flight Operations</t>
        </is>
      </c>
      <c r="G28" s="72" t="inlineStr">
        <is>
          <t>Inflight Services</t>
        </is>
      </c>
      <c r="H28" s="72" t="inlineStr">
        <is>
          <t>Airport Operations</t>
        </is>
      </c>
      <c r="I28" s="72" t="inlineStr">
        <is>
          <t>Network Operations</t>
        </is>
      </c>
      <c r="J28" s="72" t="inlineStr">
        <is>
          <t>IT</t>
        </is>
      </c>
      <c r="K28" s="72" t="inlineStr">
        <is>
          <t>Catering Operations</t>
        </is>
      </c>
      <c r="L28" s="72" t="inlineStr">
        <is>
          <t>Other</t>
        </is>
      </c>
      <c r="M28" s="73" t="inlineStr">
        <is>
          <t>Total Cancels</t>
        </is>
      </c>
      <c r="N28" s="74" t="inlineStr">
        <is>
          <t>ES covered for this partner</t>
        </is>
      </c>
      <c r="O28" s="74" t="inlineStr">
        <is>
          <t>Net Cancel</t>
        </is>
      </c>
      <c r="P28" s="74" t="inlineStr">
        <is>
          <t>ES covered by this partner</t>
        </is>
      </c>
      <c r="Q28" s="59" t="n"/>
      <c r="R28" s="60" t="n"/>
      <c r="S28" s="60" t="n"/>
      <c r="T28" s="60" t="n"/>
      <c r="U28" s="60" t="n"/>
      <c r="V28" s="59" t="n"/>
      <c r="W28" s="60" t="n"/>
      <c r="X28" s="60" t="n"/>
    </row>
    <row r="29" ht="14.5" customHeight="1" s="286">
      <c r="B29" s="66" t="inlineStr">
        <is>
          <t>EV - ExpressJet</t>
        </is>
      </c>
      <c r="C29" s="80">
        <f>SUMIF(SCH_DEP_SQL_4!$A:$A,'PAGE_1 (4)'!R29,SCH_DEP_SQL_4!$E:$E)</f>
        <v/>
      </c>
      <c r="D29" s="48">
        <f>IF(SUMIFS(CNXL_SQL_2!$F:$F,CNXL_SQL_2!$A:$A,'PAGE_1 (4)'!$R29,CNXL_SQL_2!$D:$D,'PAGE_1 (4)'!$S$29)=0,"",SUMIFS(CNXL_SQL_2!$F:$F,CNXL_SQL_2!$A:$A,'PAGE_1 (4)'!$R29,CNXL_SQL_2!$D:$D,'PAGE_1 (4)'!$S$29))</f>
        <v/>
      </c>
      <c r="E29" s="48">
        <f>IF(SUMIFS(CNXL_SQL_2!$F:$F,CNXL_SQL_2!$A:$A,'PAGE_1 (4)'!$R29,CNXL_SQL_2!$D:$D,'PAGE_1 (4)'!$S$30)=0,"",SUMIFS(CNXL_SQL_2!$F:$F,CNXL_SQL_2!$A:$A,'PAGE_1 (4)'!$R29,CNXL_SQL_2!$D:$D,'PAGE_1 (4)'!$S$30))</f>
        <v/>
      </c>
      <c r="F29" s="48">
        <f>IF(SUMIFS(CNXL_SQL_2!$F:$F,CNXL_SQL_2!$A:$A,'PAGE_1 (4)'!$R29,CNXL_SQL_2!$D:$D,'PAGE_1 (4)'!$S$31)=0,"",SUMIFS(CNXL_SQL_2!$F:$F,CNXL_SQL_2!$A:$A,'PAGE_1 (4)'!$R29,CNXL_SQL_2!$D:$D,'PAGE_1 (4)'!$S$31))</f>
        <v/>
      </c>
      <c r="G29" s="48">
        <f>IF(SUMIFS(CNXL_SQL_2!$F:$F,CNXL_SQL_2!$A:$A,'PAGE_1 (4)'!$R29,CNXL_SQL_2!$D:$D,'PAGE_1 (4)'!$S$32)=0,"",SUMIFS(CNXL_SQL_2!$F:$F,CNXL_SQL_2!$A:$A,'PAGE_1 (4)'!$R29,CNXL_SQL_2!$D:$D,'PAGE_1 (4)'!$S$32))</f>
        <v/>
      </c>
      <c r="H29" s="48">
        <f>IF(SUMIFS(CNXL_SQL_2!$F:$F,CNXL_SQL_2!$A:$A,'PAGE_1 (4)'!$R29,CNXL_SQL_2!$D:$D,'PAGE_1 (4)'!$S$33)=0,"",SUMIFS(CNXL_SQL_2!$F:$F,CNXL_SQL_2!$A:$A,'PAGE_1 (4)'!$R29,CNXL_SQL_2!$D:$D,'PAGE_1 (4)'!$S$33))</f>
        <v/>
      </c>
      <c r="I29" s="48">
        <f>IF(SUMIFS(CNXL_SQL_2!$F:$F,CNXL_SQL_2!$A:$A,'PAGE_1 (4)'!$R29,CNXL_SQL_2!$D:$D,'PAGE_1 (4)'!$S$34)=0,"",SUMIFS(CNXL_SQL_2!$F:$F,CNXL_SQL_2!$A:$A,'PAGE_1 (4)'!$R29,CNXL_SQL_2!$D:$D,'PAGE_1 (4)'!$S$34))</f>
        <v/>
      </c>
      <c r="J29" s="48">
        <f>IF(SUMIFS(CNXL_SQL_2!$F:$F,CNXL_SQL_2!$A:$A,'PAGE_1 (4)'!$R29,CNXL_SQL_2!$D:$D,'PAGE_1 (4)'!$S$35)=0,"",SUMIFS(CNXL_SQL_2!$F:$F,CNXL_SQL_2!$A:$A,'PAGE_1 (4)'!$R29,CNXL_SQL_2!$D:$D,'PAGE_1 (4)'!$S$35))</f>
        <v/>
      </c>
      <c r="K29" s="48">
        <f>IF(SUMIFS(CNXL_SQL_2!$F:$F,CNXL_SQL_2!$A:$A,'PAGE_1 (4)'!$R29,CNXL_SQL_2!$D:$D,'PAGE_1 (4)'!$S$36)=0,"",SUMIFS(CNXL_SQL_2!$F:$F,CNXL_SQL_2!$A:$A,'PAGE_1 (4)'!$R29,CNXL_SQL_2!$D:$D,'PAGE_1 (4)'!$S$36))</f>
        <v/>
      </c>
      <c r="L29" s="48">
        <f>IF(SUMIFS(CNXL_SQL_2!$F:$F,CNXL_SQL_2!$A:$A,'PAGE_1 (4)'!$R29,CNXL_SQL_2!$D:$D,'PAGE_1 (4)'!$S$37)=0,"",SUMIFS(CNXL_SQL_2!$F:$F,CNXL_SQL_2!$A:$A,'PAGE_1 (4)'!$R29,CNXL_SQL_2!$D:$D,'PAGE_1 (4)'!$S$37))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IF(SUMIF(CNXL_SQL_2!$E:$E,'PAGE_1 (4)'!R29,CNXL_SQL_2!$F:$F)=0,"",SUMIF(CNXL_SQL_2!$E:$E,'PAGE_1 (4)'!R29,CNXL_SQL_2!$F:$F))</f>
        <v/>
      </c>
      <c r="Q29" s="59" t="n"/>
      <c r="R29" s="85" t="inlineStr">
        <is>
          <t>EV</t>
        </is>
      </c>
      <c r="S29" s="85" t="inlineStr">
        <is>
          <t>WEATHER/ATC</t>
        </is>
      </c>
      <c r="T29" s="60" t="n"/>
      <c r="U29" s="60" t="n"/>
      <c r="V29" s="59" t="n"/>
      <c r="W29" s="60" t="n"/>
      <c r="X29" s="60" t="n"/>
    </row>
    <row r="30" ht="14.5" customHeight="1" s="286">
      <c r="B30" s="191" t="inlineStr">
        <is>
          <t>OO - SkyWest</t>
        </is>
      </c>
      <c r="C30" s="81">
        <f>SUMIF(SCH_DEP_SQL_4!$A:$A,'PAGE_1 (4)'!R30,SCH_DEP_SQL_4!$E:$E)</f>
        <v/>
      </c>
      <c r="D30" s="190">
        <f>IF(SUMIFS(CNXL_SQL_2!$F:$F,CNXL_SQL_2!$A:$A,'PAGE_1 (4)'!$R30,CNXL_SQL_2!$D:$D,'PAGE_1 (4)'!$S$29)=0,"",SUMIFS(CNXL_SQL_2!$F:$F,CNXL_SQL_2!$A:$A,'PAGE_1 (4)'!$R30,CNXL_SQL_2!$D:$D,'PAGE_1 (4)'!$S$29))</f>
        <v/>
      </c>
      <c r="E30" s="190">
        <f>IF(SUMIFS(CNXL_SQL_2!$F:$F,CNXL_SQL_2!$A:$A,'PAGE_1 (4)'!$R30,CNXL_SQL_2!$D:$D,'PAGE_1 (4)'!$S$30)=0,"",SUMIFS(CNXL_SQL_2!$F:$F,CNXL_SQL_2!$A:$A,'PAGE_1 (4)'!$R30,CNXL_SQL_2!$D:$D,'PAGE_1 (4)'!$S$30))</f>
        <v/>
      </c>
      <c r="F30" s="190">
        <f>IF(SUMIFS(CNXL_SQL_2!$F:$F,CNXL_SQL_2!$A:$A,'PAGE_1 (4)'!$R30,CNXL_SQL_2!$D:$D,'PAGE_1 (4)'!$S$31)=0,"",SUMIFS(CNXL_SQL_2!$F:$F,CNXL_SQL_2!$A:$A,'PAGE_1 (4)'!$R30,CNXL_SQL_2!$D:$D,'PAGE_1 (4)'!$S$31))</f>
        <v/>
      </c>
      <c r="G30" s="190">
        <f>IF(SUMIFS(CNXL_SQL_2!$F:$F,CNXL_SQL_2!$A:$A,'PAGE_1 (4)'!$R30,CNXL_SQL_2!$D:$D,'PAGE_1 (4)'!$S$32)=0,"",SUMIFS(CNXL_SQL_2!$F:$F,CNXL_SQL_2!$A:$A,'PAGE_1 (4)'!$R30,CNXL_SQL_2!$D:$D,'PAGE_1 (4)'!$S$32))</f>
        <v/>
      </c>
      <c r="H30" s="190">
        <f>IF(SUMIFS(CNXL_SQL_2!$F:$F,CNXL_SQL_2!$A:$A,'PAGE_1 (4)'!$R30,CNXL_SQL_2!$D:$D,'PAGE_1 (4)'!$S$33)=0,"",SUMIFS(CNXL_SQL_2!$F:$F,CNXL_SQL_2!$A:$A,'PAGE_1 (4)'!$R30,CNXL_SQL_2!$D:$D,'PAGE_1 (4)'!$S$33))</f>
        <v/>
      </c>
      <c r="I30" s="190">
        <f>IF(SUMIFS(CNXL_SQL_2!$F:$F,CNXL_SQL_2!$A:$A,'PAGE_1 (4)'!$R30,CNXL_SQL_2!$D:$D,'PAGE_1 (4)'!$S$34)=0,"",SUMIFS(CNXL_SQL_2!$F:$F,CNXL_SQL_2!$A:$A,'PAGE_1 (4)'!$R30,CNXL_SQL_2!$D:$D,'PAGE_1 (4)'!$S$34))</f>
        <v/>
      </c>
      <c r="J30" s="190">
        <f>IF(SUMIFS(CNXL_SQL_2!$F:$F,CNXL_SQL_2!$A:$A,'PAGE_1 (4)'!$R30,CNXL_SQL_2!$D:$D,'PAGE_1 (4)'!$S$35)=0,"",SUMIFS(CNXL_SQL_2!$F:$F,CNXL_SQL_2!$A:$A,'PAGE_1 (4)'!$R30,CNXL_SQL_2!$D:$D,'PAGE_1 (4)'!$S$35))</f>
        <v/>
      </c>
      <c r="K30" s="190">
        <f>IF(SUMIFS(CNXL_SQL_2!$F:$F,CNXL_SQL_2!$A:$A,'PAGE_1 (4)'!$R30,CNXL_SQL_2!$D:$D,'PAGE_1 (4)'!$S$36)=0,"",SUMIFS(CNXL_SQL_2!$F:$F,CNXL_SQL_2!$A:$A,'PAGE_1 (4)'!$R30,CNXL_SQL_2!$D:$D,'PAGE_1 (4)'!$S$36))</f>
        <v/>
      </c>
      <c r="L30" s="190">
        <f>IF(SUMIFS(CNXL_SQL_2!$F:$F,CNXL_SQL_2!$A:$A,'PAGE_1 (4)'!$R30,CNXL_SQL_2!$D:$D,'PAGE_1 (4)'!$S$37)=0,"",SUMIFS(CNXL_SQL_2!$F:$F,CNXL_SQL_2!$A:$A,'PAGE_1 (4)'!$R30,CNXL_SQL_2!$D:$D,'PAGE_1 (4)'!$S$37))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IF(SUMIF(CNXL_SQL_2!$E:$E,'PAGE_1 (4)'!R30,CNXL_SQL_2!$F:$F)=0,"",SUMIF(CNXL_SQL_2!$E:$E,'PAGE_1 (4)'!R30,CNXL_SQL_2!$F:$F))</f>
        <v/>
      </c>
      <c r="Q30" s="59" t="n"/>
      <c r="R30" s="60" t="inlineStr">
        <is>
          <t>OO</t>
        </is>
      </c>
      <c r="S30" s="85" t="inlineStr">
        <is>
          <t>TECHNICAL OPERATIONS-AIRCRAFT</t>
        </is>
      </c>
      <c r="T30" s="60" t="n"/>
      <c r="U30" s="60" t="n"/>
      <c r="V30" s="59" t="n"/>
      <c r="W30" s="60" t="n"/>
      <c r="X30" s="60" t="n"/>
    </row>
    <row r="31" ht="14.5" customHeight="1" s="286">
      <c r="B31" s="66" t="inlineStr">
        <is>
          <t>AX - Trans States</t>
        </is>
      </c>
      <c r="C31" s="80">
        <f>SUMIF(SCH_DEP_SQL_4!$A:$A,'PAGE_1 (4)'!R31,SCH_DEP_SQL_4!$E:$E)</f>
        <v/>
      </c>
      <c r="D31" s="48">
        <f>IF(SUMIFS(CNXL_SQL_2!$F:$F,CNXL_SQL_2!$A:$A,'PAGE_1 (4)'!$R31,CNXL_SQL_2!$D:$D,'PAGE_1 (4)'!$S$29)=0,"",SUMIFS(CNXL_SQL_2!$F:$F,CNXL_SQL_2!$A:$A,'PAGE_1 (4)'!$R31,CNXL_SQL_2!$D:$D,'PAGE_1 (4)'!$S$29))</f>
        <v/>
      </c>
      <c r="E31" s="48">
        <f>IF(SUMIFS(CNXL_SQL_2!$F:$F,CNXL_SQL_2!$A:$A,'PAGE_1 (4)'!$R31,CNXL_SQL_2!$D:$D,'PAGE_1 (4)'!$S$30)=0,"",SUMIFS(CNXL_SQL_2!$F:$F,CNXL_SQL_2!$A:$A,'PAGE_1 (4)'!$R31,CNXL_SQL_2!$D:$D,'PAGE_1 (4)'!$S$30))</f>
        <v/>
      </c>
      <c r="F31" s="48">
        <f>IF(SUMIFS(CNXL_SQL_2!$F:$F,CNXL_SQL_2!$A:$A,'PAGE_1 (4)'!$R31,CNXL_SQL_2!$D:$D,'PAGE_1 (4)'!$S$31)=0,"",SUMIFS(CNXL_SQL_2!$F:$F,CNXL_SQL_2!$A:$A,'PAGE_1 (4)'!$R31,CNXL_SQL_2!$D:$D,'PAGE_1 (4)'!$S$31))</f>
        <v/>
      </c>
      <c r="G31" s="48">
        <f>IF(SUMIFS(CNXL_SQL_2!$F:$F,CNXL_SQL_2!$A:$A,'PAGE_1 (4)'!$R31,CNXL_SQL_2!$D:$D,'PAGE_1 (4)'!$S$32)=0,"",SUMIFS(CNXL_SQL_2!$F:$F,CNXL_SQL_2!$A:$A,'PAGE_1 (4)'!$R31,CNXL_SQL_2!$D:$D,'PAGE_1 (4)'!$S$32))</f>
        <v/>
      </c>
      <c r="H31" s="48">
        <f>IF(SUMIFS(CNXL_SQL_2!$F:$F,CNXL_SQL_2!$A:$A,'PAGE_1 (4)'!$R31,CNXL_SQL_2!$D:$D,'PAGE_1 (4)'!$S$33)=0,"",SUMIFS(CNXL_SQL_2!$F:$F,CNXL_SQL_2!$A:$A,'PAGE_1 (4)'!$R31,CNXL_SQL_2!$D:$D,'PAGE_1 (4)'!$S$33))</f>
        <v/>
      </c>
      <c r="I31" s="48">
        <f>IF(SUMIFS(CNXL_SQL_2!$F:$F,CNXL_SQL_2!$A:$A,'PAGE_1 (4)'!$R31,CNXL_SQL_2!$D:$D,'PAGE_1 (4)'!$S$34)=0,"",SUMIFS(CNXL_SQL_2!$F:$F,CNXL_SQL_2!$A:$A,'PAGE_1 (4)'!$R31,CNXL_SQL_2!$D:$D,'PAGE_1 (4)'!$S$34))</f>
        <v/>
      </c>
      <c r="J31" s="48">
        <f>IF(SUMIFS(CNXL_SQL_2!$F:$F,CNXL_SQL_2!$A:$A,'PAGE_1 (4)'!$R31,CNXL_SQL_2!$D:$D,'PAGE_1 (4)'!$S$35)=0,"",SUMIFS(CNXL_SQL_2!$F:$F,CNXL_SQL_2!$A:$A,'PAGE_1 (4)'!$R31,CNXL_SQL_2!$D:$D,'PAGE_1 (4)'!$S$35))</f>
        <v/>
      </c>
      <c r="K31" s="48">
        <f>IF(SUMIFS(CNXL_SQL_2!$F:$F,CNXL_SQL_2!$A:$A,'PAGE_1 (4)'!$R31,CNXL_SQL_2!$D:$D,'PAGE_1 (4)'!$S$36)=0,"",SUMIFS(CNXL_SQL_2!$F:$F,CNXL_SQL_2!$A:$A,'PAGE_1 (4)'!$R31,CNXL_SQL_2!$D:$D,'PAGE_1 (4)'!$S$36))</f>
        <v/>
      </c>
      <c r="L31" s="48">
        <f>IF(SUMIFS(CNXL_SQL_2!$F:$F,CNXL_SQL_2!$A:$A,'PAGE_1 (4)'!$R31,CNXL_SQL_2!$D:$D,'PAGE_1 (4)'!$S$37)=0,"",SUMIFS(CNXL_SQL_2!$F:$F,CNXL_SQL_2!$A:$A,'PAGE_1 (4)'!$R31,CNXL_SQL_2!$D:$D,'PAGE_1 (4)'!$S$37))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IF(SUMIF(CNXL_SQL_2!$E:$E,'PAGE_1 (4)'!R31,CNXL_SQL_2!$F:$F)=0,"",SUMIF(CNXL_SQL_2!$E:$E,'PAGE_1 (4)'!R31,CNXL_SQL_2!$F:$F))</f>
        <v/>
      </c>
      <c r="Q31" s="59" t="n"/>
      <c r="R31" s="60" t="inlineStr">
        <is>
          <t>AX</t>
        </is>
      </c>
      <c r="S31" s="85" t="inlineStr">
        <is>
          <t>FLIGHT OPERATIONS</t>
        </is>
      </c>
      <c r="T31" s="60" t="n"/>
      <c r="U31" s="60" t="n"/>
      <c r="V31" s="59" t="n"/>
      <c r="W31" s="60" t="n"/>
      <c r="X31" s="60" t="n"/>
    </row>
    <row r="32" ht="14.5" customHeight="1" s="286">
      <c r="B32" s="191" t="inlineStr">
        <is>
          <t>YX - Republic</t>
        </is>
      </c>
      <c r="C32" s="81">
        <f>SUMIF(SCH_DEP_SQL_4!$A:$A,'PAGE_1 (4)'!R32,SCH_DEP_SQL_4!$E:$E)</f>
        <v/>
      </c>
      <c r="D32" s="190">
        <f>IF(SUMIFS(CNXL_SQL_2!$F:$F,CNXL_SQL_2!$A:$A,'PAGE_1 (4)'!$R32,CNXL_SQL_2!$D:$D,'PAGE_1 (4)'!$S$29)=0,"",SUMIFS(CNXL_SQL_2!$F:$F,CNXL_SQL_2!$A:$A,'PAGE_1 (4)'!$R32,CNXL_SQL_2!$D:$D,'PAGE_1 (4)'!$S$29))</f>
        <v/>
      </c>
      <c r="E32" s="190">
        <f>IF(SUMIFS(CNXL_SQL_2!$F:$F,CNXL_SQL_2!$A:$A,'PAGE_1 (4)'!$R32,CNXL_SQL_2!$D:$D,'PAGE_1 (4)'!$S$30)=0,"",SUMIFS(CNXL_SQL_2!$F:$F,CNXL_SQL_2!$A:$A,'PAGE_1 (4)'!$R32,CNXL_SQL_2!$D:$D,'PAGE_1 (4)'!$S$30))</f>
        <v/>
      </c>
      <c r="F32" s="190">
        <f>IF(SUMIFS(CNXL_SQL_2!$F:$F,CNXL_SQL_2!$A:$A,'PAGE_1 (4)'!$R32,CNXL_SQL_2!$D:$D,'PAGE_1 (4)'!$S$31)=0,"",SUMIFS(CNXL_SQL_2!$F:$F,CNXL_SQL_2!$A:$A,'PAGE_1 (4)'!$R32,CNXL_SQL_2!$D:$D,'PAGE_1 (4)'!$S$31))</f>
        <v/>
      </c>
      <c r="G32" s="190">
        <f>IF(SUMIFS(CNXL_SQL_2!$F:$F,CNXL_SQL_2!$A:$A,'PAGE_1 (4)'!$R32,CNXL_SQL_2!$D:$D,'PAGE_1 (4)'!$S$32)=0,"",SUMIFS(CNXL_SQL_2!$F:$F,CNXL_SQL_2!$A:$A,'PAGE_1 (4)'!$R32,CNXL_SQL_2!$D:$D,'PAGE_1 (4)'!$S$32))</f>
        <v/>
      </c>
      <c r="H32" s="190">
        <f>IF(SUMIFS(CNXL_SQL_2!$F:$F,CNXL_SQL_2!$A:$A,'PAGE_1 (4)'!$R32,CNXL_SQL_2!$D:$D,'PAGE_1 (4)'!$S$33)=0,"",SUMIFS(CNXL_SQL_2!$F:$F,CNXL_SQL_2!$A:$A,'PAGE_1 (4)'!$R32,CNXL_SQL_2!$D:$D,'PAGE_1 (4)'!$S$33))</f>
        <v/>
      </c>
      <c r="I32" s="190">
        <f>IF(SUMIFS(CNXL_SQL_2!$F:$F,CNXL_SQL_2!$A:$A,'PAGE_1 (4)'!$R32,CNXL_SQL_2!$D:$D,'PAGE_1 (4)'!$S$34)=0,"",SUMIFS(CNXL_SQL_2!$F:$F,CNXL_SQL_2!$A:$A,'PAGE_1 (4)'!$R32,CNXL_SQL_2!$D:$D,'PAGE_1 (4)'!$S$34))</f>
        <v/>
      </c>
      <c r="J32" s="190">
        <f>IF(SUMIFS(CNXL_SQL_2!$F:$F,CNXL_SQL_2!$A:$A,'PAGE_1 (4)'!$R32,CNXL_SQL_2!$D:$D,'PAGE_1 (4)'!$S$35)=0,"",SUMIFS(CNXL_SQL_2!$F:$F,CNXL_SQL_2!$A:$A,'PAGE_1 (4)'!$R32,CNXL_SQL_2!$D:$D,'PAGE_1 (4)'!$S$35))</f>
        <v/>
      </c>
      <c r="K32" s="190">
        <f>IF(SUMIFS(CNXL_SQL_2!$F:$F,CNXL_SQL_2!$A:$A,'PAGE_1 (4)'!$R32,CNXL_SQL_2!$D:$D,'PAGE_1 (4)'!$S$36)=0,"",SUMIFS(CNXL_SQL_2!$F:$F,CNXL_SQL_2!$A:$A,'PAGE_1 (4)'!$R32,CNXL_SQL_2!$D:$D,'PAGE_1 (4)'!$S$36))</f>
        <v/>
      </c>
      <c r="L32" s="190">
        <f>IF(SUMIFS(CNXL_SQL_2!$F:$F,CNXL_SQL_2!$A:$A,'PAGE_1 (4)'!$R32,CNXL_SQL_2!$D:$D,'PAGE_1 (4)'!$S$37)=0,"",SUMIFS(CNXL_SQL_2!$F:$F,CNXL_SQL_2!$A:$A,'PAGE_1 (4)'!$R32,CNXL_SQL_2!$D:$D,'PAGE_1 (4)'!$S$37))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IF(SUMIF(CNXL_SQL_2!$E:$E,'PAGE_1 (4)'!R32,CNXL_SQL_2!$F:$F)=0,"",SUMIF(CNXL_SQL_2!$E:$E,'PAGE_1 (4)'!R32,CNXL_SQL_2!$F:$F))</f>
        <v/>
      </c>
      <c r="Q32" s="59" t="n"/>
      <c r="R32" s="60" t="inlineStr">
        <is>
          <t>YX</t>
        </is>
      </c>
      <c r="S32" s="85" t="inlineStr">
        <is>
          <t>INFLIGHT SERVICES</t>
        </is>
      </c>
      <c r="T32" s="60" t="n"/>
      <c r="U32" s="60" t="n"/>
      <c r="V32" s="59" t="n"/>
      <c r="W32" s="60" t="n"/>
      <c r="X32" s="60" t="n"/>
    </row>
    <row r="33" ht="14.5" customHeight="1" s="286">
      <c r="B33" s="66" t="inlineStr">
        <is>
          <t>G7 - Go Jet</t>
        </is>
      </c>
      <c r="C33" s="80">
        <f>SUMIF(SCH_DEP_SQL_4!$A:$A,'PAGE_1 (4)'!R33,SCH_DEP_SQL_4!$E:$E)</f>
        <v/>
      </c>
      <c r="D33" s="48">
        <f>IF(SUMIFS(CNXL_SQL_2!$F:$F,CNXL_SQL_2!$A:$A,'PAGE_1 (4)'!$R33,CNXL_SQL_2!$D:$D,'PAGE_1 (4)'!$S$29)=0,"",SUMIFS(CNXL_SQL_2!$F:$F,CNXL_SQL_2!$A:$A,'PAGE_1 (4)'!$R33,CNXL_SQL_2!$D:$D,'PAGE_1 (4)'!$S$29))</f>
        <v/>
      </c>
      <c r="E33" s="48">
        <f>IF(SUMIFS(CNXL_SQL_2!$F:$F,CNXL_SQL_2!$A:$A,'PAGE_1 (4)'!$R33,CNXL_SQL_2!$D:$D,'PAGE_1 (4)'!$S$30)=0,"",SUMIFS(CNXL_SQL_2!$F:$F,CNXL_SQL_2!$A:$A,'PAGE_1 (4)'!$R33,CNXL_SQL_2!$D:$D,'PAGE_1 (4)'!$S$30))</f>
        <v/>
      </c>
      <c r="F33" s="48">
        <f>IF(SUMIFS(CNXL_SQL_2!$F:$F,CNXL_SQL_2!$A:$A,'PAGE_1 (4)'!$R33,CNXL_SQL_2!$D:$D,'PAGE_1 (4)'!$S$31)=0,"",SUMIFS(CNXL_SQL_2!$F:$F,CNXL_SQL_2!$A:$A,'PAGE_1 (4)'!$R33,CNXL_SQL_2!$D:$D,'PAGE_1 (4)'!$S$31))</f>
        <v/>
      </c>
      <c r="G33" s="48">
        <f>IF(SUMIFS(CNXL_SQL_2!$F:$F,CNXL_SQL_2!$A:$A,'PAGE_1 (4)'!$R33,CNXL_SQL_2!$D:$D,'PAGE_1 (4)'!$S$32)=0,"",SUMIFS(CNXL_SQL_2!$F:$F,CNXL_SQL_2!$A:$A,'PAGE_1 (4)'!$R33,CNXL_SQL_2!$D:$D,'PAGE_1 (4)'!$S$32))</f>
        <v/>
      </c>
      <c r="H33" s="48">
        <f>IF(SUMIFS(CNXL_SQL_2!$F:$F,CNXL_SQL_2!$A:$A,'PAGE_1 (4)'!$R33,CNXL_SQL_2!$D:$D,'PAGE_1 (4)'!$S$33)=0,"",SUMIFS(CNXL_SQL_2!$F:$F,CNXL_SQL_2!$A:$A,'PAGE_1 (4)'!$R33,CNXL_SQL_2!$D:$D,'PAGE_1 (4)'!$S$33))</f>
        <v/>
      </c>
      <c r="I33" s="48">
        <f>IF(SUMIFS(CNXL_SQL_2!$F:$F,CNXL_SQL_2!$A:$A,'PAGE_1 (4)'!$R33,CNXL_SQL_2!$D:$D,'PAGE_1 (4)'!$S$34)=0,"",SUMIFS(CNXL_SQL_2!$F:$F,CNXL_SQL_2!$A:$A,'PAGE_1 (4)'!$R33,CNXL_SQL_2!$D:$D,'PAGE_1 (4)'!$S$34))</f>
        <v/>
      </c>
      <c r="J33" s="48">
        <f>IF(SUMIFS(CNXL_SQL_2!$F:$F,CNXL_SQL_2!$A:$A,'PAGE_1 (4)'!$R33,CNXL_SQL_2!$D:$D,'PAGE_1 (4)'!$S$35)=0,"",SUMIFS(CNXL_SQL_2!$F:$F,CNXL_SQL_2!$A:$A,'PAGE_1 (4)'!$R33,CNXL_SQL_2!$D:$D,'PAGE_1 (4)'!$S$35))</f>
        <v/>
      </c>
      <c r="K33" s="48">
        <f>IF(SUMIFS(CNXL_SQL_2!$F:$F,CNXL_SQL_2!$A:$A,'PAGE_1 (4)'!$R33,CNXL_SQL_2!$D:$D,'PAGE_1 (4)'!$S$36)=0,"",SUMIFS(CNXL_SQL_2!$F:$F,CNXL_SQL_2!$A:$A,'PAGE_1 (4)'!$R33,CNXL_SQL_2!$D:$D,'PAGE_1 (4)'!$S$36))</f>
        <v/>
      </c>
      <c r="L33" s="48">
        <f>IF(SUMIFS(CNXL_SQL_2!$F:$F,CNXL_SQL_2!$A:$A,'PAGE_1 (4)'!$R33,CNXL_SQL_2!$D:$D,'PAGE_1 (4)'!$S$37)=0,"",SUMIFS(CNXL_SQL_2!$F:$F,CNXL_SQL_2!$A:$A,'PAGE_1 (4)'!$R33,CNXL_SQL_2!$D:$D,'PAGE_1 (4)'!$S$37))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IF(SUMIF(CNXL_SQL_2!$E:$E,'PAGE_1 (4)'!R33,CNXL_SQL_2!$F:$F)=0,"",SUMIF(CNXL_SQL_2!$E:$E,'PAGE_1 (4)'!R33,CNXL_SQL_2!$F:$F))</f>
        <v/>
      </c>
      <c r="Q33" s="59" t="n"/>
      <c r="R33" s="60" t="inlineStr">
        <is>
          <t>G7</t>
        </is>
      </c>
      <c r="S33" s="85" t="inlineStr">
        <is>
          <t>AIRPORT OPERATIONS</t>
        </is>
      </c>
      <c r="T33" s="60" t="n"/>
      <c r="U33" s="60" t="n"/>
      <c r="V33" s="59" t="n"/>
      <c r="W33" s="60" t="n"/>
      <c r="X33" s="60" t="n"/>
    </row>
    <row r="34" ht="14.5" customHeight="1" s="286">
      <c r="B34" s="191" t="inlineStr">
        <is>
          <t>C5 - CommutAir</t>
        </is>
      </c>
      <c r="C34" s="81">
        <f>SUMIF(SCH_DEP_SQL_4!$A:$A,'PAGE_1 (4)'!R34,SCH_DEP_SQL_4!$E:$E)</f>
        <v/>
      </c>
      <c r="D34" s="190">
        <f>IF(SUMIFS(CNXL_SQL_2!$F:$F,CNXL_SQL_2!$A:$A,'PAGE_1 (4)'!$R34,CNXL_SQL_2!$D:$D,'PAGE_1 (4)'!$S$29)=0,"",SUMIFS(CNXL_SQL_2!$F:$F,CNXL_SQL_2!$A:$A,'PAGE_1 (4)'!$R34,CNXL_SQL_2!$D:$D,'PAGE_1 (4)'!$S$29))</f>
        <v/>
      </c>
      <c r="E34" s="190">
        <f>IF(SUMIFS(CNXL_SQL_2!$F:$F,CNXL_SQL_2!$A:$A,'PAGE_1 (4)'!$R34,CNXL_SQL_2!$D:$D,'PAGE_1 (4)'!$S$30)=0,"",SUMIFS(CNXL_SQL_2!$F:$F,CNXL_SQL_2!$A:$A,'PAGE_1 (4)'!$R34,CNXL_SQL_2!$D:$D,'PAGE_1 (4)'!$S$30))</f>
        <v/>
      </c>
      <c r="F34" s="190">
        <f>IF(SUMIFS(CNXL_SQL_2!$F:$F,CNXL_SQL_2!$A:$A,'PAGE_1 (4)'!$R34,CNXL_SQL_2!$D:$D,'PAGE_1 (4)'!$S$31)=0,"",SUMIFS(CNXL_SQL_2!$F:$F,CNXL_SQL_2!$A:$A,'PAGE_1 (4)'!$R34,CNXL_SQL_2!$D:$D,'PAGE_1 (4)'!$S$31))</f>
        <v/>
      </c>
      <c r="G34" s="190">
        <f>IF(SUMIFS(CNXL_SQL_2!$F:$F,CNXL_SQL_2!$A:$A,'PAGE_1 (4)'!$R34,CNXL_SQL_2!$D:$D,'PAGE_1 (4)'!$S$32)=0,"",SUMIFS(CNXL_SQL_2!$F:$F,CNXL_SQL_2!$A:$A,'PAGE_1 (4)'!$R34,CNXL_SQL_2!$D:$D,'PAGE_1 (4)'!$S$32))</f>
        <v/>
      </c>
      <c r="H34" s="190">
        <f>IF(SUMIFS(CNXL_SQL_2!$F:$F,CNXL_SQL_2!$A:$A,'PAGE_1 (4)'!$R34,CNXL_SQL_2!$D:$D,'PAGE_1 (4)'!$S$33)=0,"",SUMIFS(CNXL_SQL_2!$F:$F,CNXL_SQL_2!$A:$A,'PAGE_1 (4)'!$R34,CNXL_SQL_2!$D:$D,'PAGE_1 (4)'!$S$33))</f>
        <v/>
      </c>
      <c r="I34" s="190">
        <f>IF(SUMIFS(CNXL_SQL_2!$F:$F,CNXL_SQL_2!$A:$A,'PAGE_1 (4)'!$R34,CNXL_SQL_2!$D:$D,'PAGE_1 (4)'!$S$34)=0,"",SUMIFS(CNXL_SQL_2!$F:$F,CNXL_SQL_2!$A:$A,'PAGE_1 (4)'!$R34,CNXL_SQL_2!$D:$D,'PAGE_1 (4)'!$S$34))</f>
        <v/>
      </c>
      <c r="J34" s="190">
        <f>IF(SUMIFS(CNXL_SQL_2!$F:$F,CNXL_SQL_2!$A:$A,'PAGE_1 (4)'!$R34,CNXL_SQL_2!$D:$D,'PAGE_1 (4)'!$S$35)=0,"",SUMIFS(CNXL_SQL_2!$F:$F,CNXL_SQL_2!$A:$A,'PAGE_1 (4)'!$R34,CNXL_SQL_2!$D:$D,'PAGE_1 (4)'!$S$35))</f>
        <v/>
      </c>
      <c r="K34" s="190">
        <f>IF(SUMIFS(CNXL_SQL_2!$F:$F,CNXL_SQL_2!$A:$A,'PAGE_1 (4)'!$R34,CNXL_SQL_2!$D:$D,'PAGE_1 (4)'!$S$36)=0,"",SUMIFS(CNXL_SQL_2!$F:$F,CNXL_SQL_2!$A:$A,'PAGE_1 (4)'!$R34,CNXL_SQL_2!$D:$D,'PAGE_1 (4)'!$S$36))</f>
        <v/>
      </c>
      <c r="L34" s="190">
        <f>IF(SUMIFS(CNXL_SQL_2!$F:$F,CNXL_SQL_2!$A:$A,'PAGE_1 (4)'!$R34,CNXL_SQL_2!$D:$D,'PAGE_1 (4)'!$S$37)=0,"",SUMIFS(CNXL_SQL_2!$F:$F,CNXL_SQL_2!$A:$A,'PAGE_1 (4)'!$R34,CNXL_SQL_2!$D:$D,'PAGE_1 (4)'!$S$37))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IF(SUMIF(CNXL_SQL_2!$E:$E,'PAGE_1 (4)'!R34,CNXL_SQL_2!$F:$F)=0,"",SUMIF(CNXL_SQL_2!$E:$E,'PAGE_1 (4)'!R34,CNXL_SQL_2!$F:$F))</f>
        <v/>
      </c>
      <c r="Q34" s="59" t="n"/>
      <c r="R34" s="60" t="inlineStr">
        <is>
          <t>C5</t>
        </is>
      </c>
      <c r="S34" s="85" t="inlineStr">
        <is>
          <t>NETWORK OPERATIONS CENTER</t>
        </is>
      </c>
      <c r="T34" s="60" t="n"/>
      <c r="U34" s="60" t="n"/>
      <c r="V34" s="59" t="n"/>
      <c r="W34" s="60" t="n"/>
      <c r="X34" s="60" t="n"/>
    </row>
    <row r="35" ht="14.5" customHeight="1" s="286">
      <c r="B35" s="66" t="inlineStr">
        <is>
          <t>YV - Mesa</t>
        </is>
      </c>
      <c r="C35" s="80">
        <f>SUMIF(SCH_DEP_SQL_4!$A:$A,'PAGE_1 (4)'!R35,SCH_DEP_SQL_4!$E:$E)</f>
        <v/>
      </c>
      <c r="D35" s="48">
        <f>IF(SUMIFS(CNXL_SQL_2!$F:$F,CNXL_SQL_2!$A:$A,'PAGE_1 (4)'!$R35,CNXL_SQL_2!$D:$D,'PAGE_1 (4)'!$S$29)=0,"",SUMIFS(CNXL_SQL_2!$F:$F,CNXL_SQL_2!$A:$A,'PAGE_1 (4)'!$R35,CNXL_SQL_2!$D:$D,'PAGE_1 (4)'!$S$29))</f>
        <v/>
      </c>
      <c r="E35" s="48">
        <f>IF(SUMIFS(CNXL_SQL_2!$F:$F,CNXL_SQL_2!$A:$A,'PAGE_1 (4)'!$R35,CNXL_SQL_2!$D:$D,'PAGE_1 (4)'!$S$30)=0,"",SUMIFS(CNXL_SQL_2!$F:$F,CNXL_SQL_2!$A:$A,'PAGE_1 (4)'!$R35,CNXL_SQL_2!$D:$D,'PAGE_1 (4)'!$S$30))</f>
        <v/>
      </c>
      <c r="F35" s="48">
        <f>IF(SUMIFS(CNXL_SQL_2!$F:$F,CNXL_SQL_2!$A:$A,'PAGE_1 (4)'!$R35,CNXL_SQL_2!$D:$D,'PAGE_1 (4)'!$S$31)=0,"",SUMIFS(CNXL_SQL_2!$F:$F,CNXL_SQL_2!$A:$A,'PAGE_1 (4)'!$R35,CNXL_SQL_2!$D:$D,'PAGE_1 (4)'!$S$31))</f>
        <v/>
      </c>
      <c r="G35" s="48">
        <f>IF(SUMIFS(CNXL_SQL_2!$F:$F,CNXL_SQL_2!$A:$A,'PAGE_1 (4)'!$R35,CNXL_SQL_2!$D:$D,'PAGE_1 (4)'!$S$32)=0,"",SUMIFS(CNXL_SQL_2!$F:$F,CNXL_SQL_2!$A:$A,'PAGE_1 (4)'!$R35,CNXL_SQL_2!$D:$D,'PAGE_1 (4)'!$S$32))</f>
        <v/>
      </c>
      <c r="H35" s="48">
        <f>IF(SUMIFS(CNXL_SQL_2!$F:$F,CNXL_SQL_2!$A:$A,'PAGE_1 (4)'!$R35,CNXL_SQL_2!$D:$D,'PAGE_1 (4)'!$S$33)=0,"",SUMIFS(CNXL_SQL_2!$F:$F,CNXL_SQL_2!$A:$A,'PAGE_1 (4)'!$R35,CNXL_SQL_2!$D:$D,'PAGE_1 (4)'!$S$33))</f>
        <v/>
      </c>
      <c r="I35" s="48">
        <f>IF(SUMIFS(CNXL_SQL_2!$F:$F,CNXL_SQL_2!$A:$A,'PAGE_1 (4)'!$R35,CNXL_SQL_2!$D:$D,'PAGE_1 (4)'!$S$34)=0,"",SUMIFS(CNXL_SQL_2!$F:$F,CNXL_SQL_2!$A:$A,'PAGE_1 (4)'!$R35,CNXL_SQL_2!$D:$D,'PAGE_1 (4)'!$S$34))</f>
        <v/>
      </c>
      <c r="J35" s="48">
        <f>IF(SUMIFS(CNXL_SQL_2!$F:$F,CNXL_SQL_2!$A:$A,'PAGE_1 (4)'!$R35,CNXL_SQL_2!$D:$D,'PAGE_1 (4)'!$S$35)=0,"",SUMIFS(CNXL_SQL_2!$F:$F,CNXL_SQL_2!$A:$A,'PAGE_1 (4)'!$R35,CNXL_SQL_2!$D:$D,'PAGE_1 (4)'!$S$35))</f>
        <v/>
      </c>
      <c r="K35" s="48">
        <f>IF(SUMIFS(CNXL_SQL_2!$F:$F,CNXL_SQL_2!$A:$A,'PAGE_1 (4)'!$R35,CNXL_SQL_2!$D:$D,'PAGE_1 (4)'!$S$36)=0,"",SUMIFS(CNXL_SQL_2!$F:$F,CNXL_SQL_2!$A:$A,'PAGE_1 (4)'!$R35,CNXL_SQL_2!$D:$D,'PAGE_1 (4)'!$S$36))</f>
        <v/>
      </c>
      <c r="L35" s="48">
        <f>IF(SUMIFS(CNXL_SQL_2!$F:$F,CNXL_SQL_2!$A:$A,'PAGE_1 (4)'!$R35,CNXL_SQL_2!$D:$D,'PAGE_1 (4)'!$S$37)=0,"",SUMIFS(CNXL_SQL_2!$F:$F,CNXL_SQL_2!$A:$A,'PAGE_1 (4)'!$R35,CNXL_SQL_2!$D:$D,'PAGE_1 (4)'!$S$37))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IF(SUMIF(CNXL_SQL_2!$E:$E,'PAGE_1 (4)'!R35,CNXL_SQL_2!$F:$F)=0,"",SUMIF(CNXL_SQL_2!$E:$E,'PAGE_1 (4)'!R35,CNXL_SQL_2!$F:$F))</f>
        <v/>
      </c>
      <c r="Q35" s="59" t="n"/>
      <c r="R35" s="60" t="inlineStr">
        <is>
          <t>YV</t>
        </is>
      </c>
      <c r="S35" s="85" t="inlineStr">
        <is>
          <t>TECHNOLOGY</t>
        </is>
      </c>
      <c r="T35" s="60" t="n"/>
      <c r="U35" s="60" t="n"/>
      <c r="V35" s="59" t="n"/>
      <c r="W35" s="60" t="n"/>
      <c r="X35" s="60" t="n"/>
    </row>
    <row r="36" ht="15" customHeight="1" s="286" thickBot="1">
      <c r="B36" s="191" t="inlineStr">
        <is>
          <t>ZW - Air Wisconsin</t>
        </is>
      </c>
      <c r="C36" s="81">
        <f>SUMIF(SCH_DEP_SQL_4!$A:$A,'PAGE_1 (4)'!R36,SCH_DEP_SQL_4!$E:$E)</f>
        <v/>
      </c>
      <c r="D36" s="190">
        <f>IF(SUMIFS(CNXL_SQL_2!$F:$F,CNXL_SQL_2!$A:$A,'PAGE_1 (4)'!$R36,CNXL_SQL_2!$D:$D,'PAGE_1 (4)'!$S$29)=0,"",SUMIFS(CNXL_SQL_2!$F:$F,CNXL_SQL_2!$A:$A,'PAGE_1 (4)'!$R36,CNXL_SQL_2!$D:$D,'PAGE_1 (4)'!$S$29))</f>
        <v/>
      </c>
      <c r="E36" s="190">
        <f>IF(SUMIFS(CNXL_SQL_2!$F:$F,CNXL_SQL_2!$A:$A,'PAGE_1 (4)'!$R36,CNXL_SQL_2!$D:$D,'PAGE_1 (4)'!$S$30)=0,"",SUMIFS(CNXL_SQL_2!$F:$F,CNXL_SQL_2!$A:$A,'PAGE_1 (4)'!$R36,CNXL_SQL_2!$D:$D,'PAGE_1 (4)'!$S$30))</f>
        <v/>
      </c>
      <c r="F36" s="190">
        <f>IF(SUMIFS(CNXL_SQL_2!$F:$F,CNXL_SQL_2!$A:$A,'PAGE_1 (4)'!$R36,CNXL_SQL_2!$D:$D,'PAGE_1 (4)'!$S$31)=0,"",SUMIFS(CNXL_SQL_2!$F:$F,CNXL_SQL_2!$A:$A,'PAGE_1 (4)'!$R36,CNXL_SQL_2!$D:$D,'PAGE_1 (4)'!$S$31))</f>
        <v/>
      </c>
      <c r="G36" s="190">
        <f>IF(SUMIFS(CNXL_SQL_2!$F:$F,CNXL_SQL_2!$A:$A,'PAGE_1 (4)'!$R36,CNXL_SQL_2!$D:$D,'PAGE_1 (4)'!$S$32)=0,"",SUMIFS(CNXL_SQL_2!$F:$F,CNXL_SQL_2!$A:$A,'PAGE_1 (4)'!$R36,CNXL_SQL_2!$D:$D,'PAGE_1 (4)'!$S$32))</f>
        <v/>
      </c>
      <c r="H36" s="190">
        <f>IF(SUMIFS(CNXL_SQL_2!$F:$F,CNXL_SQL_2!$A:$A,'PAGE_1 (4)'!$R36,CNXL_SQL_2!$D:$D,'PAGE_1 (4)'!$S$33)=0,"",SUMIFS(CNXL_SQL_2!$F:$F,CNXL_SQL_2!$A:$A,'PAGE_1 (4)'!$R36,CNXL_SQL_2!$D:$D,'PAGE_1 (4)'!$S$33))</f>
        <v/>
      </c>
      <c r="I36" s="190">
        <f>IF(SUMIFS(CNXL_SQL_2!$F:$F,CNXL_SQL_2!$A:$A,'PAGE_1 (4)'!$R36,CNXL_SQL_2!$D:$D,'PAGE_1 (4)'!$S$34)=0,"",SUMIFS(CNXL_SQL_2!$F:$F,CNXL_SQL_2!$A:$A,'PAGE_1 (4)'!$R36,CNXL_SQL_2!$D:$D,'PAGE_1 (4)'!$S$34))</f>
        <v/>
      </c>
      <c r="J36" s="190">
        <f>IF(SUMIFS(CNXL_SQL_2!$F:$F,CNXL_SQL_2!$A:$A,'PAGE_1 (4)'!$R36,CNXL_SQL_2!$D:$D,'PAGE_1 (4)'!$S$35)=0,"",SUMIFS(CNXL_SQL_2!$F:$F,CNXL_SQL_2!$A:$A,'PAGE_1 (4)'!$R36,CNXL_SQL_2!$D:$D,'PAGE_1 (4)'!$S$35))</f>
        <v/>
      </c>
      <c r="K36" s="190">
        <f>IF(SUMIFS(CNXL_SQL_2!$F:$F,CNXL_SQL_2!$A:$A,'PAGE_1 (4)'!$R36,CNXL_SQL_2!$D:$D,'PAGE_1 (4)'!$S$36)=0,"",SUMIFS(CNXL_SQL_2!$F:$F,CNXL_SQL_2!$A:$A,'PAGE_1 (4)'!$R36,CNXL_SQL_2!$D:$D,'PAGE_1 (4)'!$S$36))</f>
        <v/>
      </c>
      <c r="L36" s="190">
        <f>IF(SUMIFS(CNXL_SQL_2!$F:$F,CNXL_SQL_2!$A:$A,'PAGE_1 (4)'!$R36,CNXL_SQL_2!$D:$D,'PAGE_1 (4)'!$S$37)=0,"",SUMIFS(CNXL_SQL_2!$F:$F,CNXL_SQL_2!$A:$A,'PAGE_1 (4)'!$R36,CNXL_SQL_2!$D:$D,'PAGE_1 (4)'!$S$37))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IF(SUMIF(CNXL_SQL_2!$E:$E,'PAGE_1 (4)'!R36,CNXL_SQL_2!$F:$F)=0,"",SUMIF(CNXL_SQL_2!$E:$E,'PAGE_1 (4)'!R36,CNXL_SQL_2!$F:$F))</f>
        <v/>
      </c>
      <c r="Q36" s="59" t="n"/>
      <c r="R36" s="60" t="inlineStr">
        <is>
          <t>ZW</t>
        </is>
      </c>
      <c r="S36" s="85" t="inlineStr">
        <is>
          <t>CATERING OPERATIONS</t>
        </is>
      </c>
      <c r="T36" s="60" t="n"/>
      <c r="U36" s="60" t="n"/>
      <c r="V36" s="59" t="n"/>
      <c r="W36" s="60" t="n"/>
      <c r="X36" s="60" t="n"/>
    </row>
    <row r="37" ht="15" customHeight="1" s="286" thickBot="1">
      <c r="B37" s="68" t="inlineStr">
        <is>
          <t>Total:</t>
        </is>
      </c>
      <c r="C37" s="82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9" t="n"/>
      <c r="R37" s="60" t="n"/>
      <c r="S37" s="85" t="inlineStr">
        <is>
          <t>OTHER</t>
        </is>
      </c>
      <c r="T37" s="60" t="n"/>
      <c r="U37" s="60" t="n"/>
      <c r="V37" s="59" t="n"/>
      <c r="W37" s="60" t="n"/>
      <c r="X37" s="60" t="n"/>
    </row>
    <row r="38" ht="9.4" customHeight="1" s="286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9" t="n"/>
      <c r="R38" s="60" t="n"/>
      <c r="S38" s="60" t="n"/>
      <c r="T38" s="60" t="n"/>
      <c r="U38" s="60" t="n"/>
      <c r="V38" s="59" t="n"/>
      <c r="W38" s="60" t="n"/>
      <c r="X38" s="60" t="n"/>
    </row>
    <row r="39" ht="9.4" customHeight="1" s="286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9" t="n"/>
      <c r="R39" s="60" t="n"/>
      <c r="S39" s="60" t="n"/>
      <c r="T39" s="60" t="n"/>
      <c r="U39" s="60" t="n"/>
      <c r="V39" s="59" t="n"/>
      <c r="W39" s="60" t="n"/>
      <c r="X39" s="60" t="n"/>
    </row>
    <row r="40" ht="9.4" customHeight="1" s="286" thickBot="1">
      <c r="Q40" s="59" t="n"/>
      <c r="R40" s="60" t="n"/>
      <c r="S40" s="60" t="n"/>
      <c r="T40" s="60" t="n"/>
      <c r="U40" s="60" t="n"/>
      <c r="V40" s="59" t="n"/>
      <c r="W40" s="60" t="n"/>
      <c r="X40" s="60" t="n"/>
    </row>
    <row r="41" ht="16" customHeight="1" s="286" thickBot="1">
      <c r="B41" s="316" t="inlineStr">
        <is>
          <t>Residual Cancel Detail</t>
        </is>
      </c>
      <c r="C41" s="350" t="n"/>
      <c r="D41" s="350" t="n"/>
      <c r="E41" s="350" t="n"/>
      <c r="F41" s="350" t="n"/>
      <c r="G41" s="350" t="n"/>
      <c r="H41" s="350" t="n"/>
      <c r="I41" s="350" t="n"/>
      <c r="J41" s="350" t="n"/>
      <c r="K41" s="350" t="n"/>
      <c r="L41" s="350" t="n"/>
      <c r="M41" s="350" t="n"/>
      <c r="N41" s="350" t="n"/>
      <c r="O41" s="350" t="n"/>
      <c r="P41" s="350" t="n"/>
      <c r="Q41" s="59" t="n"/>
      <c r="R41" s="60" t="n"/>
      <c r="S41" s="60" t="n"/>
      <c r="T41" s="60" t="n"/>
      <c r="U41" s="60" t="n"/>
      <c r="V41" s="59" t="n"/>
      <c r="W41" s="60" t="n"/>
      <c r="X41" s="60" t="n"/>
    </row>
    <row r="42" ht="30.65" customHeight="1" s="286" thickBot="1">
      <c r="B42" s="70" t="inlineStr">
        <is>
          <t>Express Partner</t>
        </is>
      </c>
      <c r="C42" s="71" t="inlineStr">
        <is>
          <t>Scheduled Departures</t>
        </is>
      </c>
      <c r="D42" s="72" t="inlineStr">
        <is>
          <t>Weather &amp; ATC</t>
        </is>
      </c>
      <c r="E42" s="72" t="inlineStr">
        <is>
          <t>Technical Operations</t>
        </is>
      </c>
      <c r="F42" s="72" t="inlineStr">
        <is>
          <t>Flight Operations</t>
        </is>
      </c>
      <c r="G42" s="72" t="inlineStr">
        <is>
          <t>Inflight Services</t>
        </is>
      </c>
      <c r="H42" s="72" t="inlineStr">
        <is>
          <t>Airport Operations</t>
        </is>
      </c>
      <c r="I42" s="72" t="inlineStr">
        <is>
          <t>Network Operations</t>
        </is>
      </c>
      <c r="J42" s="72" t="inlineStr">
        <is>
          <t>IT</t>
        </is>
      </c>
      <c r="K42" s="72" t="inlineStr">
        <is>
          <t>Catering Operations</t>
        </is>
      </c>
      <c r="L42" s="72" t="inlineStr">
        <is>
          <t>Other</t>
        </is>
      </c>
      <c r="M42" s="73" t="inlineStr">
        <is>
          <t>Total Cancels</t>
        </is>
      </c>
      <c r="N42" s="74" t="inlineStr">
        <is>
          <t>ES covered for this partner</t>
        </is>
      </c>
      <c r="O42" s="74" t="inlineStr">
        <is>
          <t>Net Cancel</t>
        </is>
      </c>
      <c r="P42" s="74" t="inlineStr">
        <is>
          <t>ES covered by this partner</t>
        </is>
      </c>
      <c r="Q42" s="59" t="n"/>
      <c r="R42" s="59" t="n"/>
      <c r="S42" s="59" t="n"/>
      <c r="T42" s="59" t="n"/>
      <c r="U42" s="59" t="n"/>
      <c r="V42" s="59" t="n"/>
      <c r="W42" s="60" t="n"/>
      <c r="X42" s="60" t="n"/>
    </row>
    <row r="43" ht="13" customHeight="1" s="286">
      <c r="B43" s="66" t="inlineStr">
        <is>
          <t>EV - ExpressJet</t>
        </is>
      </c>
      <c r="C43" s="80">
        <f>SUMIF(SCH_DEP_SQL_4!$A:$A,'PAGE_1 (4)'!R29,SCH_DEP_SQL_4!$E:$E)</f>
        <v/>
      </c>
      <c r="D43" s="48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48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48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48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48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48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48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48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48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IF(SUMIF(RES_CNXL_SQL_3!$E:$E,'PAGE_1 (4)'!R29,RES_CNXL_SQL_3!$F:$F)=0,"",SUMIF(RES_CNXL_SQL_3!$E:$E,'PAGE_1 (4)'!R29,RES_CNXL_SQL_3!$F:$F))</f>
        <v/>
      </c>
      <c r="Q43" s="60" t="n"/>
      <c r="R43" s="60" t="n"/>
      <c r="S43" s="60" t="n"/>
      <c r="T43" s="60" t="n"/>
      <c r="U43" s="60" t="n"/>
      <c r="V43" s="60" t="n"/>
      <c r="W43" s="60" t="n"/>
      <c r="X43" s="60" t="n"/>
    </row>
    <row r="44" ht="13" customHeight="1" s="286">
      <c r="B44" s="191" t="inlineStr">
        <is>
          <t>OO - SkyWest</t>
        </is>
      </c>
      <c r="C44" s="81">
        <f>SUMIF(SCH_DEP_SQL_4!$A:$A,'PAGE_1 (4)'!R30,SCH_DEP_SQL_4!$E:$E)</f>
        <v/>
      </c>
      <c r="D44" s="190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90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90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90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90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90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90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90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90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IF(SUMIF(RES_CNXL_SQL_3!$E:$E,'PAGE_1 (4)'!R30,RES_CNXL_SQL_3!$F:$F)=0,"",SUMIF(RES_CNXL_SQL_3!$E:$E,'PAGE_1 (4)'!R30,RES_CNXL_SQL_3!$F:$F))</f>
        <v/>
      </c>
    </row>
    <row r="45" ht="13" customHeight="1" s="286">
      <c r="B45" s="66" t="inlineStr">
        <is>
          <t>AX - Trans States</t>
        </is>
      </c>
      <c r="C45" s="80">
        <f>SUMIF(SCH_DEP_SQL_4!$A:$A,'PAGE_1 (4)'!R31,SCH_DEP_SQL_4!$E:$E)</f>
        <v/>
      </c>
      <c r="D45" s="48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48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48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48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48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48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48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48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48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IF(SUMIF(RES_CNXL_SQL_3!$E:$E,'PAGE_1 (4)'!R31,RES_CNXL_SQL_3!$F:$F)=0,"",SUMIF(RES_CNXL_SQL_3!$E:$E,'PAGE_1 (4)'!R31,RES_CNXL_SQL_3!$F:$F))</f>
        <v/>
      </c>
    </row>
    <row r="46" ht="13" customHeight="1" s="286">
      <c r="B46" s="191" t="inlineStr">
        <is>
          <t>YX - Republic</t>
        </is>
      </c>
      <c r="C46" s="81">
        <f>SUMIF(SCH_DEP_SQL_4!$A:$A,'PAGE_1 (4)'!R32,SCH_DEP_SQL_4!$E:$E)</f>
        <v/>
      </c>
      <c r="D46" s="190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90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90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90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90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90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90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90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90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IF(SUMIF(RES_CNXL_SQL_3!$E:$E,'PAGE_1 (4)'!R32,RES_CNXL_SQL_3!$F:$F)=0,"",SUMIF(RES_CNXL_SQL_3!$E:$E,'PAGE_1 (4)'!R32,RES_CNXL_SQL_3!$F:$F))</f>
        <v/>
      </c>
    </row>
    <row r="47" ht="13" customHeight="1" s="286">
      <c r="B47" s="66" t="inlineStr">
        <is>
          <t>G7 - Go Jet</t>
        </is>
      </c>
      <c r="C47" s="80">
        <f>SUMIF(SCH_DEP_SQL_4!$A:$A,'PAGE_1 (4)'!R33,SCH_DEP_SQL_4!$E:$E)</f>
        <v/>
      </c>
      <c r="D47" s="48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48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48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48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48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48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48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48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48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IF(SUMIF(RES_CNXL_SQL_3!$E:$E,'PAGE_1 (4)'!R33,RES_CNXL_SQL_3!$F:$F)=0,"",SUMIF(RES_CNXL_SQL_3!$E:$E,'PAGE_1 (4)'!R33,RES_CNXL_SQL_3!$F:$F))</f>
        <v/>
      </c>
    </row>
    <row r="48" ht="13" customHeight="1" s="286">
      <c r="B48" s="191" t="inlineStr">
        <is>
          <t>C5 - CommutAir</t>
        </is>
      </c>
      <c r="C48" s="81">
        <f>SUMIF(SCH_DEP_SQL_4!$A:$A,'PAGE_1 (4)'!R34,SCH_DEP_SQL_4!$E:$E)</f>
        <v/>
      </c>
      <c r="D48" s="190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90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90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90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90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90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90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90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90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IF(SUMIF(RES_CNXL_SQL_3!$E:$E,'PAGE_1 (4)'!R34,RES_CNXL_SQL_3!$F:$F)=0,"",SUMIF(RES_CNXL_SQL_3!$E:$E,'PAGE_1 (4)'!R34,RES_CNXL_SQL_3!$F:$F))</f>
        <v/>
      </c>
    </row>
    <row r="49" ht="13" customHeight="1" s="286">
      <c r="B49" s="66" t="inlineStr">
        <is>
          <t>YV - Mesa</t>
        </is>
      </c>
      <c r="C49" s="80">
        <f>SUMIF(SCH_DEP_SQL_4!$A:$A,'PAGE_1 (4)'!R35,SCH_DEP_SQL_4!$E:$E)</f>
        <v/>
      </c>
      <c r="D49" s="48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48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48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48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48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48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48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48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48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IF(SUMIF(RES_CNXL_SQL_3!$E:$E,'PAGE_1 (4)'!R35,RES_CNXL_SQL_3!$F:$F)=0,"",SUMIF(RES_CNXL_SQL_3!$E:$E,'PAGE_1 (4)'!R35,RES_CNXL_SQL_3!$F:$F))</f>
        <v/>
      </c>
    </row>
    <row r="50" ht="13.5" customHeight="1" s="286" thickBot="1">
      <c r="B50" s="191" t="inlineStr">
        <is>
          <t>ZW - Air Wisconsin</t>
        </is>
      </c>
      <c r="C50" s="81">
        <f>SUMIF(SCH_DEP_SQL_4!$A:$A,'PAGE_1 (4)'!R36,SCH_DEP_SQL_4!$E:$E)</f>
        <v/>
      </c>
      <c r="D50" s="190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90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90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90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90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90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90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90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90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IF(SUMIF(RES_CNXL_SQL_3!$E:$E,'PAGE_1 (4)'!R36,RES_CNXL_SQL_3!$F:$F)=0,"",SUMIF(RES_CNXL_SQL_3!$E:$E,'PAGE_1 (4)'!R36,RES_CNXL_SQL_3!$F:$F))</f>
        <v/>
      </c>
    </row>
    <row r="51" ht="13.5" customHeight="1" s="286" thickBot="1">
      <c r="B51" s="68" t="inlineStr">
        <is>
          <t>Total:</t>
        </is>
      </c>
      <c r="C51" s="82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 s="286">
      <c r="C52" s="69" t="n"/>
    </row>
  </sheetData>
  <mergeCells count="13">
    <mergeCell ref="B2:C2"/>
    <mergeCell ref="E20:F20"/>
    <mergeCell ref="D2:E2"/>
    <mergeCell ref="E24:F24"/>
    <mergeCell ref="B4:H4"/>
    <mergeCell ref="E19:F19"/>
    <mergeCell ref="E23:F23"/>
    <mergeCell ref="B27:P27"/>
    <mergeCell ref="B41:P41"/>
    <mergeCell ref="E22:F22"/>
    <mergeCell ref="B16:K16"/>
    <mergeCell ref="E18:F18"/>
    <mergeCell ref="E21:F21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73" dxfId="2"/>
  </conditionalFormatting>
  <conditionalFormatting sqref="E29:E36">
    <cfRule type="top10" rank="1" priority="72" dxfId="2"/>
  </conditionalFormatting>
  <conditionalFormatting sqref="F29:F36">
    <cfRule type="top10" rank="1" priority="71" dxfId="2"/>
  </conditionalFormatting>
  <conditionalFormatting sqref="G29:G36">
    <cfRule type="top10" rank="1" priority="70" dxfId="2"/>
  </conditionalFormatting>
  <conditionalFormatting sqref="H29:H36">
    <cfRule type="top10" rank="1" priority="69" dxfId="2"/>
  </conditionalFormatting>
  <conditionalFormatting sqref="I29:I36">
    <cfRule type="top10" rank="1" priority="68" dxfId="2"/>
  </conditionalFormatting>
  <conditionalFormatting sqref="J29:J36">
    <cfRule type="top10" rank="1" priority="67" dxfId="2"/>
  </conditionalFormatting>
  <conditionalFormatting sqref="K29:K36">
    <cfRule type="top10" rank="1" priority="66" dxfId="2"/>
  </conditionalFormatting>
  <conditionalFormatting sqref="L29:L36">
    <cfRule type="top10" rank="1" priority="65" dxfId="2"/>
  </conditionalFormatting>
  <conditionalFormatting sqref="D43:D50">
    <cfRule type="top10" rank="1" priority="64" dxfId="2"/>
  </conditionalFormatting>
  <conditionalFormatting sqref="E43:E50">
    <cfRule type="top10" rank="1" priority="63" dxfId="2"/>
  </conditionalFormatting>
  <conditionalFormatting sqref="F43:F50">
    <cfRule type="top10" rank="1" priority="62" dxfId="2"/>
  </conditionalFormatting>
  <conditionalFormatting sqref="G43:G50">
    <cfRule type="top10" rank="1" priority="61" dxfId="2"/>
  </conditionalFormatting>
  <conditionalFormatting sqref="H43:H50">
    <cfRule type="top10" rank="1" priority="60" dxfId="2"/>
  </conditionalFormatting>
  <conditionalFormatting sqref="I43:I50">
    <cfRule type="top10" rank="1" priority="59" dxfId="2"/>
  </conditionalFormatting>
  <conditionalFormatting sqref="J43:J50">
    <cfRule type="top10" rank="1" priority="58" dxfId="2"/>
  </conditionalFormatting>
  <conditionalFormatting sqref="K43:K50">
    <cfRule type="top10" rank="1" priority="57" dxfId="2"/>
  </conditionalFormatting>
  <conditionalFormatting sqref="L43:L50">
    <cfRule type="top10" rank="1" priority="56" dxfId="2"/>
  </conditionalFormatting>
  <conditionalFormatting sqref="F6">
    <cfRule type="cellIs" priority="53" operator="greaterThan" dxfId="70">
      <formula>0</formula>
    </cfRule>
    <cfRule type="cellIs" priority="55" operator="lessThan" dxfId="0">
      <formula>0</formula>
    </cfRule>
  </conditionalFormatting>
  <conditionalFormatting sqref="F7">
    <cfRule type="cellIs" priority="54" operator="lessThan" dxfId="0">
      <formula>0</formula>
    </cfRule>
  </conditionalFormatting>
  <conditionalFormatting sqref="G6">
    <cfRule type="cellIs" priority="51" operator="greaterThan" dxfId="121">
      <formula>0</formula>
    </cfRule>
    <cfRule type="cellIs" priority="52" operator="lessThan" dxfId="0">
      <formula>0</formula>
    </cfRule>
  </conditionalFormatting>
  <conditionalFormatting sqref="G7">
    <cfRule type="cellIs" priority="48" operator="greaterThan" dxfId="71">
      <formula>0</formula>
    </cfRule>
    <cfRule type="cellIs" priority="49" operator="greaterThan" dxfId="70">
      <formula>0</formula>
    </cfRule>
    <cfRule type="cellIs" priority="50" operator="lessThan" dxfId="0">
      <formula>0</formula>
    </cfRule>
  </conditionalFormatting>
  <conditionalFormatting sqref="G8">
    <cfRule type="cellIs" priority="45" operator="greaterThan" dxfId="71">
      <formula>0</formula>
    </cfRule>
    <cfRule type="cellIs" priority="46" operator="greaterThan" dxfId="70">
      <formula>0</formula>
    </cfRule>
    <cfRule type="cellIs" priority="47" operator="lessThan" dxfId="0">
      <formula>0</formula>
    </cfRule>
  </conditionalFormatting>
  <conditionalFormatting sqref="F8">
    <cfRule type="cellIs" priority="42" operator="greaterThan" dxfId="71">
      <formula>0</formula>
    </cfRule>
    <cfRule type="cellIs" priority="43" operator="greaterThan" dxfId="70">
      <formula>0</formula>
    </cfRule>
    <cfRule type="cellIs" priority="44" operator="lessThan" dxfId="0">
      <formula>0</formula>
    </cfRule>
  </conditionalFormatting>
  <conditionalFormatting sqref="E19:E22">
    <cfRule type="cellIs" priority="31" operator="greaterThan" dxfId="121">
      <formula>0</formula>
    </cfRule>
    <cfRule type="cellIs" priority="32" operator="lessThan" dxfId="0">
      <formula>0</formula>
    </cfRule>
  </conditionalFormatting>
  <conditionalFormatting sqref="I19">
    <cfRule type="cellIs" priority="17" operator="greaterThan" dxfId="121">
      <formula>0</formula>
    </cfRule>
    <cfRule type="cellIs" priority="18" operator="lessThan" dxfId="0">
      <formula>0</formula>
    </cfRule>
  </conditionalFormatting>
  <conditionalFormatting sqref="I20">
    <cfRule type="cellIs" priority="15" operator="greaterThan" dxfId="121">
      <formula>0</formula>
    </cfRule>
    <cfRule type="cellIs" priority="16" operator="lessThan" dxfId="0">
      <formula>0</formula>
    </cfRule>
  </conditionalFormatting>
  <conditionalFormatting sqref="J19">
    <cfRule type="cellIs" priority="13" operator="greaterThan" dxfId="121">
      <formula>0</formula>
    </cfRule>
    <cfRule type="cellIs" priority="14" operator="lessThan" dxfId="0">
      <formula>0</formula>
    </cfRule>
  </conditionalFormatting>
  <conditionalFormatting sqref="J20">
    <cfRule type="cellIs" priority="11" operator="greaterThan" dxfId="121">
      <formula>0</formula>
    </cfRule>
    <cfRule type="cellIs" priority="12" operator="lessThan" dxfId="0">
      <formula>0</formula>
    </cfRule>
  </conditionalFormatting>
  <conditionalFormatting sqref="J21">
    <cfRule type="cellIs" priority="9" operator="greaterThan" dxfId="121">
      <formula>0</formula>
    </cfRule>
    <cfRule type="cellIs" priority="10" operator="lessThan" dxfId="0">
      <formula>0</formula>
    </cfRule>
  </conditionalFormatting>
  <conditionalFormatting sqref="I22">
    <cfRule type="cellIs" priority="7" operator="greaterThanOrEqual" dxfId="121">
      <formula>0</formula>
    </cfRule>
    <cfRule type="cellIs" priority="8" operator="lessThan" dxfId="0">
      <formula>0</formula>
    </cfRule>
  </conditionalFormatting>
  <conditionalFormatting sqref="J22">
    <cfRule type="cellIs" priority="5" operator="greaterThanOrEqual" dxfId="121">
      <formula>0</formula>
    </cfRule>
    <cfRule type="cellIs" priority="6" operator="lessThan" dxfId="0">
      <formula>0</formula>
    </cfRule>
  </conditionalFormatting>
  <conditionalFormatting sqref="J23">
    <cfRule type="cellIs" priority="3" operator="greaterThan" dxfId="121">
      <formula>0</formula>
    </cfRule>
    <cfRule type="cellIs" priority="4" operator="lessThan" dxfId="0">
      <formula>0</formula>
    </cfRule>
  </conditionalFormatting>
  <conditionalFormatting sqref="E23:E24">
    <cfRule type="cellIs" priority="1" operator="greaterThan" dxfId="121">
      <formula>0</formula>
    </cfRule>
    <cfRule type="cellIs" priority="2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8">
    <tabColor theme="9" tint="-0.249977111117893"/>
    <outlinePr summaryBelow="1" summaryRight="1"/>
    <pageSetUpPr fitToPage="1"/>
  </sheetPr>
  <dimension ref="A2:X51"/>
  <sheetViews>
    <sheetView showGridLines="0" tabSelected="1" zoomScale="85" zoomScaleNormal="85" workbookViewId="0">
      <selection activeCell="D6" sqref="D6"/>
    </sheetView>
  </sheetViews>
  <sheetFormatPr baseColWidth="8" defaultColWidth="8.7265625" defaultRowHeight="12" outlineLevelCol="0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6"/>
    <col width="9.7265625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726562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s="286" thickBot="1"/>
    <row r="2" ht="28.9" customHeight="1" s="286">
      <c r="B2" s="338" t="inlineStr">
        <is>
          <t>UAX Daily Snapshot for</t>
        </is>
      </c>
      <c r="C2" s="339" t="n"/>
      <c r="D2" s="340">
        <f>TODAY()-1</f>
        <v/>
      </c>
      <c r="E2" s="339" t="n"/>
    </row>
    <row r="3" ht="15" customHeight="1" s="286" thickBot="1">
      <c r="F3" s="1" t="n"/>
      <c r="J3" s="85" t="n"/>
      <c r="K3" s="85" t="n"/>
      <c r="L3" s="85" t="n"/>
      <c r="M3" s="84" t="n"/>
      <c r="N3" s="84" t="n"/>
      <c r="O3" s="84" t="n"/>
      <c r="P3" s="84" t="n"/>
      <c r="Q3" s="84" t="n"/>
      <c r="R3" s="84" t="n"/>
      <c r="S3" s="84" t="n"/>
      <c r="T3" s="84" t="n"/>
    </row>
    <row r="4" ht="18" customHeight="1" s="286" thickBot="1">
      <c r="B4" s="314" t="inlineStr">
        <is>
          <t>Reliability Snapshot - SYS</t>
        </is>
      </c>
      <c r="C4" s="341" t="n"/>
      <c r="D4" s="341" t="n"/>
      <c r="E4" s="341" t="n"/>
      <c r="F4" s="341" t="n"/>
      <c r="G4" s="341" t="n"/>
      <c r="H4" s="341" t="n"/>
      <c r="N4" s="122" t="n"/>
      <c r="O4" s="122" t="n"/>
      <c r="P4" s="60" t="n"/>
      <c r="Q4" s="60" t="n"/>
      <c r="R4" s="60" t="n"/>
      <c r="S4" s="122" t="n"/>
      <c r="T4" s="122" t="n"/>
    </row>
    <row r="5" ht="19.9" customHeight="1" s="286" thickBot="1">
      <c r="B5" s="64" t="inlineStr">
        <is>
          <t>Metric</t>
        </is>
      </c>
      <c r="C5" s="49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N5" s="122" t="n"/>
      <c r="O5" s="122" t="n"/>
      <c r="P5" s="60" t="n"/>
      <c r="Q5" s="60">
        <f>MONTH(TODAY()-1)</f>
        <v/>
      </c>
      <c r="R5" s="60" t="n"/>
      <c r="S5" s="122" t="n"/>
      <c r="T5" s="122" t="n"/>
    </row>
    <row r="6" ht="19.15" customHeight="1" s="286">
      <c r="B6" s="62" t="inlineStr">
        <is>
          <t>Completion</t>
        </is>
      </c>
      <c r="C6" s="134">
        <f>UA_SQL_1!N2/UA_SQL_1!M2</f>
        <v/>
      </c>
      <c r="D6" s="134">
        <f>UA_SQL_1!F2/UA_SQL_1!E2</f>
        <v/>
      </c>
      <c r="E6" s="131" t="inlineStr">
        <is>
          <t>-</t>
        </is>
      </c>
      <c r="F6" s="83">
        <f>((UA_SQL_1!$N$2/UA_SQL_1!$M$2)-(SUMIF(OA_SQL_1!$A$1:$A$3,"DL",OA_SQL_1!$K$1:$K$3)/SUMIF(OA_SQL_1!$A$1:$A$3,"DL",OA_SQL_1!$I$1:$I$3)))*100</f>
        <v/>
      </c>
      <c r="G6" s="83">
        <f>((UA_SQL_1!$N$2/UA_SQL_1!$M$2)-(SUMIF(OA_SQL_1!$A$1:$A$3,"AA",OA_SQL_1!$K$1:$K$3)/SUMIF(OA_SQL_1!$A$1:$A$3,"AA",OA_SQL_1!$I$1:$I$3)))*100</f>
        <v/>
      </c>
      <c r="H6" s="52">
        <f>RANK!F2</f>
        <v/>
      </c>
      <c r="N6" s="122" t="n"/>
      <c r="O6" s="122" t="n"/>
      <c r="P6" s="60" t="n"/>
      <c r="Q6" s="60" t="n"/>
      <c r="R6" s="60" t="n"/>
      <c r="S6" s="122" t="n"/>
      <c r="T6" s="122" t="n"/>
    </row>
    <row r="7" ht="19.9" customHeight="1" s="286">
      <c r="B7" s="62" t="inlineStr">
        <is>
          <t>A:00</t>
        </is>
      </c>
      <c r="C7" s="343">
        <f>UA_SQL_1!$Q$2/UA_SQL_1!$M$2</f>
        <v/>
      </c>
      <c r="D7" s="343">
        <f>UA_SQL_1!I2/UA_SQL_1!E2</f>
        <v/>
      </c>
      <c r="E7" s="131" t="inlineStr">
        <is>
          <t>-</t>
        </is>
      </c>
      <c r="F7" s="83">
        <f>((UA_SQL_1!$Q$2/UA_SQL_1!$M$2)-(SUMIF(OA_SQL_1!$A$1:$A$3,"DL",OA_SQL_1!$L$1:$L$3)/SUMIF(OA_SQL_1!$A$1:$A$3,"DL",OA_SQL_1!$I$1:$I$3)))*100</f>
        <v/>
      </c>
      <c r="G7" s="83">
        <f>((UA_SQL_1!$Q$2/UA_SQL_1!$M$2)-(SUMIF(OA_SQL_1!$A$1:$A$3,"AA",OA_SQL_1!$L$1:$L$3)/SUMIF(OA_SQL_1!$A$1:$A$3,"AA",OA_SQL_1!$I$1:$I$3)))*100</f>
        <v/>
      </c>
      <c r="H7" s="52">
        <f>RANK!F3</f>
        <v/>
      </c>
      <c r="N7" s="122" t="n"/>
      <c r="O7" s="122" t="n"/>
      <c r="P7" s="60" t="n"/>
      <c r="Q7" s="60" t="n"/>
      <c r="R7" s="60" t="n"/>
      <c r="S7" s="122" t="n"/>
      <c r="T7" s="122" t="n"/>
    </row>
    <row r="8" ht="19.15" customHeight="1" s="286">
      <c r="B8" s="63" t="inlineStr">
        <is>
          <t xml:space="preserve">CD:00 </t>
        </is>
      </c>
      <c r="C8" s="343">
        <f>UA_SQL_1!$P$2/UA_SQL_1!$M$2</f>
        <v/>
      </c>
      <c r="D8" s="345">
        <f>UA_SQL_1!H2/UA_SQL_1!E2</f>
        <v/>
      </c>
      <c r="E8" s="131" t="inlineStr">
        <is>
          <t>-</t>
        </is>
      </c>
      <c r="F8" s="83">
        <f>((UA_SQL_1!$P$2/UA_SQL_1!$M$2)-(SUMIF(OA_SQL_1!$A$1:$A$3,"DL",OA_SQL_1!$J$1:$J$3)/SUMIF(OA_SQL_1!$A$1:$A$3,"DL",OA_SQL_1!$I$1:$I$3)))*100</f>
        <v/>
      </c>
      <c r="G8" s="83">
        <f>((UA_SQL_1!$P$2/UA_SQL_1!$M$2)-(SUMIF(OA_SQL_1!$A$1:$A$3,"AA",OA_SQL_1!$J$1:$J$3)/SUMIF(OA_SQL_1!$A$1:$A$3,"AA",OA_SQL_1!$I$1:$I$3)))*100</f>
        <v/>
      </c>
      <c r="H8" s="52">
        <f>RANK!F4</f>
        <v/>
      </c>
      <c r="N8" s="122" t="n"/>
      <c r="O8" s="122" t="n"/>
      <c r="P8" s="122" t="n"/>
      <c r="Q8" s="122" t="n"/>
      <c r="R8" s="122" t="n"/>
      <c r="S8" s="122" t="n"/>
      <c r="T8" s="122" t="n"/>
    </row>
    <row r="9" ht="19.9" customHeight="1" s="286">
      <c r="B9" s="63" t="inlineStr">
        <is>
          <t xml:space="preserve">D:00 </t>
        </is>
      </c>
      <c r="C9" s="343">
        <f>UA_SQL_1!$O$2/UA_SQL_1!$M$2</f>
        <v/>
      </c>
      <c r="D9" s="345">
        <f>UA_SQL_1!G2/UA_SQL_1!E2</f>
        <v/>
      </c>
      <c r="E9" s="131" t="inlineStr">
        <is>
          <t>-</t>
        </is>
      </c>
      <c r="F9" s="75" t="n"/>
      <c r="G9" s="75" t="n"/>
      <c r="H9" s="75" t="n"/>
      <c r="N9" s="122" t="n"/>
      <c r="O9" s="122" t="n"/>
      <c r="P9" s="122" t="n"/>
      <c r="Q9" s="122" t="n"/>
      <c r="R9" s="122" t="n"/>
      <c r="S9" s="122" t="n"/>
      <c r="T9" s="122" t="n"/>
    </row>
    <row r="10" ht="20.5" customHeight="1" s="286">
      <c r="B10" s="62" t="inlineStr">
        <is>
          <t>STAR D:00</t>
        </is>
      </c>
      <c r="C10" s="343">
        <f>UA_SQL_1!$S$2/UA_SQL_1!$R$2</f>
        <v/>
      </c>
      <c r="D10" s="343">
        <f>UA_SQL_1!K2/UA_SQL_1!J2</f>
        <v/>
      </c>
      <c r="E10" s="131" t="inlineStr">
        <is>
          <t>-</t>
        </is>
      </c>
      <c r="F10" s="76" t="n"/>
      <c r="G10" s="76" t="n"/>
      <c r="H10" s="76" t="n"/>
      <c r="N10" s="122" t="n"/>
      <c r="O10" s="122" t="n"/>
      <c r="P10" s="122" t="n"/>
      <c r="Q10" s="122" t="n"/>
      <c r="R10" s="122" t="n"/>
      <c r="S10" s="122" t="n"/>
      <c r="T10" s="122" t="n"/>
    </row>
    <row r="11" ht="19.9" customHeight="1" s="286">
      <c r="B11" s="62" t="inlineStr">
        <is>
          <t>Controllable Completion</t>
        </is>
      </c>
      <c r="C11" s="134">
        <f>(UA_SQL_1!$M$2-UA_SQL_1!$T$2)/UA_SQL_1!$M$2</f>
        <v/>
      </c>
      <c r="D11" s="134">
        <f>(UA_SQL_1!E2-UA_SQL_1!L2)/UA_SQL_1!E2</f>
        <v/>
      </c>
      <c r="E11" s="131" t="inlineStr">
        <is>
          <t>-</t>
        </is>
      </c>
      <c r="F11" s="75" t="n"/>
      <c r="G11" s="75" t="n"/>
      <c r="H11" s="75" t="n"/>
      <c r="N11" s="122" t="n"/>
      <c r="O11" s="122" t="n"/>
      <c r="P11" s="122" t="n"/>
      <c r="Q11" s="122" t="n"/>
      <c r="R11" s="122" t="n"/>
      <c r="S11" s="122" t="n"/>
      <c r="T11" s="122" t="n"/>
    </row>
    <row r="12" ht="19.9" customHeight="1" s="286">
      <c r="B12" s="62" t="inlineStr">
        <is>
          <t>Total diverts</t>
        </is>
      </c>
      <c r="C12" s="52">
        <f>SUMIFS(TOTAL_DIVERTS_SQL_5!$B:$B,TOTAL_DIVERTS_SQL_5!$A:$A,"YEST")</f>
        <v/>
      </c>
      <c r="D12" s="52">
        <f>SUMIFS(TOTAL_DIVERTS_SQL_5!$B:$B,TOTAL_DIVERTS_SQL_5!A:A,"MTD")</f>
        <v/>
      </c>
      <c r="E12" s="86" t="n"/>
      <c r="F12" s="75" t="n"/>
      <c r="G12" s="75" t="n"/>
      <c r="H12" s="75" t="n"/>
      <c r="N12" s="122" t="n"/>
      <c r="O12" s="122" t="n"/>
      <c r="P12" s="122" t="n"/>
      <c r="Q12" s="122" t="n"/>
      <c r="R12" s="122" t="n"/>
      <c r="S12" s="122" t="n"/>
      <c r="T12" s="122" t="n"/>
    </row>
    <row r="13" ht="19.9" customHeight="1" s="286">
      <c r="B13" s="62" t="inlineStr">
        <is>
          <t>Diverts recovered</t>
        </is>
      </c>
      <c r="C13" s="52">
        <f>SUMIF(DIVERTS_RECOVERED_SQL_6!$A:$A,"YEST",DIVERTS_RECOVERED_SQL_6!$C:$C)</f>
        <v/>
      </c>
      <c r="D13" s="52">
        <f>SUMIF(DIVERTS_RECOVERED_SQL_6!$A:$A,"MTD",DIVERTS_RECOVERED_SQL_6!$C:$C)</f>
        <v/>
      </c>
      <c r="E13" s="86" t="n"/>
      <c r="F13" s="75" t="n"/>
      <c r="G13" s="75" t="n"/>
      <c r="H13" s="75" t="n"/>
      <c r="J13" s="59" t="n"/>
      <c r="K13" s="59" t="n"/>
      <c r="L13" s="59" t="n"/>
      <c r="M13" s="59" t="n"/>
      <c r="N13" s="59" t="n"/>
      <c r="O13" s="60" t="n"/>
      <c r="P13" s="60" t="n"/>
    </row>
    <row r="14" ht="19.15" customHeight="1" s="286">
      <c r="B14" s="62" t="inlineStr">
        <is>
          <t>Yet to depart</t>
        </is>
      </c>
      <c r="C14" s="52">
        <f>FLIGHTS_NOT_DEPARTED_SQL_8!$A$2</f>
        <v/>
      </c>
      <c r="D14" s="136" t="n"/>
      <c r="O14" s="59" t="n"/>
      <c r="P14" s="59" t="n"/>
      <c r="Q14" s="59" t="n"/>
      <c r="R14" s="59" t="n"/>
      <c r="S14" s="59" t="n"/>
      <c r="T14" s="59" t="n"/>
      <c r="U14" s="59" t="n"/>
      <c r="V14" s="59" t="n"/>
      <c r="W14" s="60" t="n"/>
      <c r="X14" s="60" t="n"/>
    </row>
    <row r="15" ht="19.15" customHeight="1" s="286">
      <c r="B15" s="62" t="inlineStr">
        <is>
          <t>Repositioned flights</t>
        </is>
      </c>
      <c r="C15" s="52">
        <f>REPOSITIONED_FLIGHTS_SQL_13!$A$2</f>
        <v/>
      </c>
      <c r="D15" s="136" t="n"/>
      <c r="O15" s="59" t="n"/>
      <c r="P15" s="59" t="n"/>
      <c r="Q15" s="59" t="n"/>
      <c r="R15" s="59" t="n"/>
      <c r="S15" s="59" t="n"/>
      <c r="T15" s="59" t="n"/>
      <c r="U15" s="59" t="n"/>
      <c r="V15" s="59" t="n"/>
      <c r="W15" s="60" t="n"/>
      <c r="X15" s="60" t="n"/>
    </row>
    <row r="16" ht="14.5" customHeight="1" s="286">
      <c r="O16" s="59" t="n"/>
      <c r="P16" s="59" t="n"/>
      <c r="Q16" s="59" t="n"/>
      <c r="R16" s="59" t="n"/>
      <c r="S16" s="59" t="n"/>
      <c r="T16" s="59" t="n"/>
      <c r="U16" s="59" t="n"/>
      <c r="V16" s="59" t="n"/>
      <c r="W16" s="60" t="n"/>
      <c r="X16" s="60" t="n"/>
    </row>
    <row r="17" ht="14.5" customHeight="1" s="286">
      <c r="O17" s="59" t="n"/>
      <c r="P17" s="59" t="n"/>
      <c r="Q17" s="59" t="n"/>
      <c r="R17" s="59" t="n"/>
      <c r="S17" s="59" t="n"/>
      <c r="T17" s="59" t="n"/>
      <c r="U17" s="59" t="n"/>
      <c r="V17" s="59" t="n"/>
      <c r="W17" s="60" t="n"/>
      <c r="X17" s="60" t="n"/>
    </row>
    <row r="18" ht="19.15" customHeight="1" s="286" thickBot="1">
      <c r="B18" s="324" t="inlineStr">
        <is>
          <t>Reliability Snapshot - Hubs</t>
        </is>
      </c>
      <c r="C18" s="348" t="n"/>
      <c r="D18" s="348" t="n"/>
      <c r="E18" s="348" t="n"/>
      <c r="F18" s="348" t="n"/>
      <c r="G18" s="348" t="n"/>
      <c r="H18" s="348" t="n"/>
      <c r="I18" s="348" t="n"/>
      <c r="J18" s="348" t="n"/>
      <c r="K18" s="348" t="n"/>
      <c r="L18" s="348" t="n"/>
      <c r="M18" s="348" t="n"/>
      <c r="O18" s="59" t="n"/>
      <c r="P18" s="59" t="n"/>
      <c r="Q18" s="59" t="n"/>
      <c r="R18" s="59" t="n"/>
      <c r="S18" s="59" t="n"/>
      <c r="T18" s="59" t="n"/>
      <c r="U18" s="59" t="n"/>
      <c r="V18" s="59" t="n"/>
      <c r="W18" s="60" t="n"/>
      <c r="X18" s="60" t="n"/>
    </row>
    <row r="19" ht="19.15" customHeight="1" s="286" thickBot="1">
      <c r="B19" s="64" t="inlineStr">
        <is>
          <t>Market</t>
        </is>
      </c>
      <c r="C19" s="49" t="inlineStr">
        <is>
          <t>D:00</t>
        </is>
      </c>
      <c r="D19" s="45" t="inlineStr">
        <is>
          <t>CD:00</t>
        </is>
      </c>
      <c r="E19" s="45" t="inlineStr">
        <is>
          <t>DL Diff.</t>
        </is>
      </c>
      <c r="F19" s="45" t="inlineStr">
        <is>
          <t>AA Diff.</t>
        </is>
      </c>
      <c r="G19" s="118" t="inlineStr">
        <is>
          <t>AS Diff.</t>
        </is>
      </c>
      <c r="H19" s="46" t="inlineStr">
        <is>
          <t>Rank</t>
        </is>
      </c>
      <c r="I19" s="106" t="inlineStr">
        <is>
          <t>Completion</t>
        </is>
      </c>
      <c r="J19" s="45" t="inlineStr">
        <is>
          <t>DL Diff.</t>
        </is>
      </c>
      <c r="K19" s="45" t="inlineStr">
        <is>
          <t>AA Diff.</t>
        </is>
      </c>
      <c r="L19" s="118" t="inlineStr">
        <is>
          <t>AS Diff.</t>
        </is>
      </c>
      <c r="M19" s="46" t="inlineStr">
        <is>
          <t>Rank</t>
        </is>
      </c>
      <c r="Q19" s="59" t="n"/>
      <c r="R19" s="59" t="n"/>
      <c r="S19" s="59" t="n"/>
      <c r="T19" s="59" t="n"/>
      <c r="U19" s="59" t="n"/>
      <c r="V19" s="59" t="n"/>
      <c r="W19" s="60" t="n"/>
      <c r="X19" s="60" t="n"/>
    </row>
    <row r="20" ht="19.15" customHeight="1" s="286">
      <c r="B20" s="62" t="inlineStr">
        <is>
          <t>Denver</t>
        </is>
      </c>
      <c r="C20" s="343">
        <f>SUMIFS(UA_HUB_SQL_7!J:J,UA_HUB_SQL_7!$B:$B,PAGE_1!B20)/SUMIFS(UA_HUB_SQL_7!$F:$F,UA_HUB_SQL_7!$B:$B,PAGE_1!B20)</f>
        <v/>
      </c>
      <c r="D20" s="343">
        <f>SUMIFS(UA_HUB_SQL_7!K:K,UA_HUB_SQL_7!B:B,PAGE_1!B20)/SUMIFS(UA_HUB_SQL_7!F:F,UA_HUB_SQL_7!B:B,PAGE_1!B20)</f>
        <v/>
      </c>
      <c r="E20" s="116" t="inlineStr">
        <is>
          <t>-</t>
        </is>
      </c>
      <c r="F20" s="116" t="inlineStr">
        <is>
          <t>-</t>
        </is>
      </c>
      <c r="G20" s="116" t="inlineStr">
        <is>
          <t>-</t>
        </is>
      </c>
      <c r="H20" s="120" t="inlineStr">
        <is>
          <t>-</t>
        </is>
      </c>
      <c r="I20" s="363">
        <f>SUMIFS(UA_HUB_SQL_7!G:G,UA_HUB_SQL_7!$B:$B,PAGE_1!B20)/SUMIFS(UA_HUB_SQL_7!$F:$F,UA_HUB_SQL_7!$B:$B,PAGE_1!B20)</f>
        <v/>
      </c>
      <c r="J20" s="116" t="inlineStr">
        <is>
          <t>-</t>
        </is>
      </c>
      <c r="K20" s="116" t="inlineStr">
        <is>
          <t>-</t>
        </is>
      </c>
      <c r="L20" s="116" t="inlineStr">
        <is>
          <t>-</t>
        </is>
      </c>
      <c r="M20" s="116" t="inlineStr">
        <is>
          <t>-</t>
        </is>
      </c>
      <c r="Q20" s="59" t="n"/>
      <c r="R20" s="59" t="n"/>
      <c r="S20" s="59" t="n"/>
      <c r="T20" s="59" t="n"/>
      <c r="U20" s="59" t="n"/>
      <c r="V20" s="59" t="n"/>
      <c r="W20" s="60" t="n"/>
      <c r="X20" s="60" t="n"/>
    </row>
    <row r="21" ht="19.15" customHeight="1" s="286">
      <c r="B21" s="62" t="inlineStr">
        <is>
          <t>New York</t>
        </is>
      </c>
      <c r="C21" s="343">
        <f>IFERROR(SUMIFS(UA_HUB_SQL_7!J:J,UA_HUB_SQL_7!$B:$B,PAGE_1!B21)/SUMIFS(UA_HUB_SQL_7!$F:$F,UA_HUB_SQL_7!$B:$B,PAGE_1!B21),"-")</f>
        <v/>
      </c>
      <c r="D21" s="343">
        <f>IFERROR(SUMIFS(UA_HUB_SQL_7!K:K,UA_HUB_SQL_7!B:B,PAGE_1!B21)/SUMIFS(UA_HUB_SQL_7!F:F,UA_HUB_SQL_7!B:B,PAGE_1!B21),"-")</f>
        <v/>
      </c>
      <c r="E21" s="83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/>
      </c>
      <c r="F21" s="83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/>
      </c>
      <c r="G21" s="116" t="inlineStr">
        <is>
          <t>-</t>
        </is>
      </c>
      <c r="H21" s="121">
        <f>IFERROR(RANK!F9,"-")</f>
        <v/>
      </c>
      <c r="I21" s="363">
        <f>IFERROR(SUMIFS(UA_HUB_SQL_7!G:G,UA_HUB_SQL_7!$B:$B,PAGE_1!B21)/SUMIFS(UA_HUB_SQL_7!$F:$F,UA_HUB_SQL_7!$B:$B,PAGE_1!B21),"-")</f>
        <v/>
      </c>
      <c r="J21" s="83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/>
      </c>
      <c r="K21" s="83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/>
      </c>
      <c r="L21" s="116" t="inlineStr">
        <is>
          <t>-</t>
        </is>
      </c>
      <c r="M21" s="52">
        <f>IFERROR(RANK!F20,"-")</f>
        <v/>
      </c>
      <c r="Q21" s="59" t="n"/>
      <c r="R21" s="59" t="n"/>
      <c r="S21" s="59" t="n"/>
      <c r="T21" s="59" t="n"/>
      <c r="U21" s="59" t="n"/>
      <c r="V21" s="59" t="n"/>
      <c r="W21" s="60" t="n"/>
      <c r="X21" s="60" t="n"/>
    </row>
    <row r="22" ht="19.15" customHeight="1" s="286">
      <c r="B22" s="63" t="inlineStr">
        <is>
          <t>Washington DC</t>
        </is>
      </c>
      <c r="C22" s="343">
        <f>SUMIFS(UA_HUB_SQL_7!J:J,UA_HUB_SQL_7!$B:$B,PAGE_1!B22)/SUMIFS(UA_HUB_SQL_7!$F:$F,UA_HUB_SQL_7!$B:$B,PAGE_1!B22)</f>
        <v/>
      </c>
      <c r="D22" s="343">
        <f>SUMIFS(UA_HUB_SQL_7!K:K,UA_HUB_SQL_7!B:B,PAGE_1!B22)/SUMIFS(UA_HUB_SQL_7!F:F,UA_HUB_SQL_7!B:B,PAGE_1!B22)</f>
        <v/>
      </c>
      <c r="E22" s="83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/>
      </c>
      <c r="F22" s="83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/>
      </c>
      <c r="G22" s="116" t="inlineStr">
        <is>
          <t>-</t>
        </is>
      </c>
      <c r="H22" s="121">
        <f>RANK!F10</f>
        <v/>
      </c>
      <c r="I22" s="363">
        <f>SUMIFS(UA_HUB_SQL_7!G:G,UA_HUB_SQL_7!$B:$B,PAGE_1!B22)/SUMIFS(UA_HUB_SQL_7!$F:$F,UA_HUB_SQL_7!$B:$B,PAGE_1!B22)</f>
        <v/>
      </c>
      <c r="J22" s="83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/>
      </c>
      <c r="K22" s="83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/>
      </c>
      <c r="L22" s="116" t="inlineStr">
        <is>
          <t>-</t>
        </is>
      </c>
      <c r="M22" s="52">
        <f>RANK!F21</f>
        <v/>
      </c>
      <c r="Q22" s="59" t="n"/>
      <c r="R22" s="59" t="n"/>
      <c r="S22" s="59" t="n"/>
      <c r="T22" s="59" t="n"/>
      <c r="U22" s="59" t="n"/>
      <c r="V22" s="59" t="n"/>
      <c r="W22" s="60" t="n"/>
      <c r="X22" s="60" t="n"/>
    </row>
    <row r="23" ht="19.15" customHeight="1" s="286">
      <c r="B23" s="63" t="inlineStr">
        <is>
          <t>Texas</t>
        </is>
      </c>
      <c r="C23" s="343">
        <f>SUMIFS(UA_HUB_SQL_7!J:J,UA_HUB_SQL_7!$B:$B,PAGE_1!B23)/SUMIFS(UA_HUB_SQL_7!$F:$F,UA_HUB_SQL_7!$B:$B,PAGE_1!B23)</f>
        <v/>
      </c>
      <c r="D23" s="343">
        <f>SUMIFS(UA_HUB_SQL_7!K:K,UA_HUB_SQL_7!B:B,PAGE_1!B23)/SUMIFS(UA_HUB_SQL_7!F:F,UA_HUB_SQL_7!B:B,PAGE_1!B23)</f>
        <v/>
      </c>
      <c r="E23" s="116" t="inlineStr">
        <is>
          <t>-</t>
        </is>
      </c>
      <c r="F23" s="83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/>
      </c>
      <c r="G23" s="116" t="inlineStr">
        <is>
          <t>-</t>
        </is>
      </c>
      <c r="H23" s="121">
        <f>RANK!F11</f>
        <v/>
      </c>
      <c r="I23" s="363">
        <f>SUMIFS(UA_HUB_SQL_7!G:G,UA_HUB_SQL_7!$B:$B,PAGE_1!B23)/SUMIFS(UA_HUB_SQL_7!$F:$F,UA_HUB_SQL_7!$B:$B,PAGE_1!B23)</f>
        <v/>
      </c>
      <c r="J23" s="116" t="inlineStr">
        <is>
          <t>-</t>
        </is>
      </c>
      <c r="K23" s="83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/>
      </c>
      <c r="L23" s="116" t="inlineStr">
        <is>
          <t>-</t>
        </is>
      </c>
      <c r="M23" s="52">
        <f>RANK!F22</f>
        <v/>
      </c>
      <c r="Q23" s="59" t="n"/>
      <c r="R23" s="59" t="n"/>
      <c r="S23" s="59" t="n"/>
      <c r="T23" s="59" t="n"/>
      <c r="U23" s="59" t="n"/>
      <c r="V23" s="59" t="n"/>
      <c r="W23" s="60" t="n"/>
      <c r="X23" s="60" t="n"/>
    </row>
    <row r="24" ht="19.15" customHeight="1" s="286">
      <c r="B24" s="62" t="inlineStr">
        <is>
          <t>Los Angeles</t>
        </is>
      </c>
      <c r="C24" s="343">
        <f>IFERROR(SUMIFS(UA_HUB_SQL_7!J:J,UA_HUB_SQL_7!$B:$B,PAGE_1!B24)/SUMIFS(UA_HUB_SQL_7!$F:$F,UA_HUB_SQL_7!$B:$B,PAGE_1!B24),"-")</f>
        <v/>
      </c>
      <c r="D24" s="343">
        <f>IFERROR(SUMIFS(UA_HUB_SQL_7!K:K,UA_HUB_SQL_7!B:B,PAGE_1!B24)/SUMIFS(UA_HUB_SQL_7!F:F,UA_HUB_SQL_7!B:B,PAGE_1!B24),"-")</f>
        <v/>
      </c>
      <c r="E24" s="83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/>
      </c>
      <c r="F24" s="83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/>
      </c>
      <c r="G24" s="116" t="inlineStr">
        <is>
          <t>-</t>
        </is>
      </c>
      <c r="H24" s="121">
        <f>IFERROR(RANK!F12,"-")</f>
        <v/>
      </c>
      <c r="I24" s="363">
        <f>IFERROR(SUMIFS(UA_HUB_SQL_7!G:G,UA_HUB_SQL_7!$B:$B,PAGE_1!B24)/SUMIFS(UA_HUB_SQL_7!$F:$F,UA_HUB_SQL_7!$B:$B,PAGE_1!B24),"-")</f>
        <v/>
      </c>
      <c r="J24" s="83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/>
      </c>
      <c r="K24" s="83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/>
      </c>
      <c r="L24" s="116" t="inlineStr">
        <is>
          <t>-</t>
        </is>
      </c>
      <c r="M24" s="52">
        <f>IFERROR(RANK!F23,"-")</f>
        <v/>
      </c>
      <c r="Q24" s="59" t="n"/>
      <c r="R24" s="59" t="n"/>
      <c r="S24" s="59" t="n"/>
      <c r="T24" s="59" t="n"/>
      <c r="U24" s="59" t="n"/>
      <c r="V24" s="59" t="n"/>
      <c r="W24" s="60" t="n"/>
      <c r="X24" s="60" t="n"/>
    </row>
    <row r="25" ht="19.15" customHeight="1" s="286">
      <c r="B25" s="63" t="inlineStr">
        <is>
          <t>Chicago</t>
        </is>
      </c>
      <c r="C25" s="343">
        <f>SUMIFS(UA_HUB_SQL_7!J:J,UA_HUB_SQL_7!$B:$B,PAGE_1!B25)/SUMIFS(UA_HUB_SQL_7!$F:$F,UA_HUB_SQL_7!$B:$B,PAGE_1!B25)</f>
        <v/>
      </c>
      <c r="D25" s="343">
        <f>SUMIFS(UA_HUB_SQL_7!K:K,UA_HUB_SQL_7!B:B,PAGE_1!B25)/SUMIFS(UA_HUB_SQL_7!F:F,UA_HUB_SQL_7!B:B,PAGE_1!B25)</f>
        <v/>
      </c>
      <c r="E25" s="83" t="inlineStr">
        <is>
          <t>-</t>
        </is>
      </c>
      <c r="F25" s="83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/>
      </c>
      <c r="G25" s="83" t="inlineStr">
        <is>
          <t>-</t>
        </is>
      </c>
      <c r="H25" s="121">
        <f>IFERROR(RANK!F13,"-")</f>
        <v/>
      </c>
      <c r="I25" s="363">
        <f>SUMIFS(UA_HUB_SQL_7!G:G,UA_HUB_SQL_7!$B:$B,PAGE_1!B25)/SUMIFS(UA_HUB_SQL_7!$F:$F,UA_HUB_SQL_7!$B:$B,PAGE_1!B25)</f>
        <v/>
      </c>
      <c r="J25" s="116" t="inlineStr">
        <is>
          <t>-</t>
        </is>
      </c>
      <c r="K25" s="83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/>
      </c>
      <c r="L25" s="116" t="inlineStr">
        <is>
          <t>-</t>
        </is>
      </c>
      <c r="M25" s="52">
        <f>RANK!F24</f>
        <v/>
      </c>
      <c r="N25" s="60" t="n"/>
      <c r="O25" s="60" t="n"/>
      <c r="P25" s="59" t="n"/>
      <c r="Q25" s="59" t="n"/>
      <c r="R25" s="59" t="n"/>
      <c r="S25" s="59" t="n"/>
      <c r="T25" s="59" t="n"/>
      <c r="U25" s="59" t="n"/>
      <c r="V25" s="59" t="n"/>
      <c r="W25" s="60" t="n"/>
      <c r="X25" s="60" t="n"/>
    </row>
    <row r="26" ht="19.15" customHeight="1" s="286">
      <c r="B26" s="62" t="inlineStr">
        <is>
          <t>San Francisco</t>
        </is>
      </c>
      <c r="C26" s="343">
        <f>SUMIFS(UA_HUB_SQL_7!J:J,UA_HUB_SQL_7!$B:$B,PAGE_1!B26)/SUMIFS(UA_HUB_SQL_7!$F:$F,UA_HUB_SQL_7!$B:$B,PAGE_1!B26)</f>
        <v/>
      </c>
      <c r="D26" s="343">
        <f>SUMIFS(UA_HUB_SQL_7!K:K,UA_HUB_SQL_7!B:B,PAGE_1!B26)/SUMIFS(UA_HUB_SQL_7!F:F,UA_HUB_SQL_7!B:B,PAGE_1!B26)</f>
        <v/>
      </c>
      <c r="E26" s="116" t="inlineStr">
        <is>
          <t>-</t>
        </is>
      </c>
      <c r="F26" s="116" t="inlineStr">
        <is>
          <t>-</t>
        </is>
      </c>
      <c r="G26" s="83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/>
      </c>
      <c r="H26" s="121">
        <f>RANK!F14</f>
        <v/>
      </c>
      <c r="I26" s="363">
        <f>SUMIFS(UA_HUB_SQL_7!G:G,UA_HUB_SQL_7!$B:$B,PAGE_1!B26)/SUMIFS(UA_HUB_SQL_7!$F:$F,UA_HUB_SQL_7!$B:$B,PAGE_1!B26)</f>
        <v/>
      </c>
      <c r="J26" s="116" t="inlineStr">
        <is>
          <t>-</t>
        </is>
      </c>
      <c r="K26" s="116" t="inlineStr">
        <is>
          <t>-</t>
        </is>
      </c>
      <c r="L26" s="83">
        <f>((SUMIFS(UA_HUB_SQL_7!G:G,UA_HUB_SQL_7!$B:$B,PAGE_1!B26)/SUMIFS(UA_HUB_SQL_7!$F:$F,UA_HUB_SQL_7!$B:$B,PAGE_1!B26))-(SUMIFS(OA_SQL_2!L:L,OA_SQL_2!A:A,PAGE_1!B26,OA_SQL_2!B:B,"AS")/SUMIFS(OA_SQL_2!J:J,OA_SQL_2!A:A,PAGE_1!B26,OA_SQL_2!B:B,"AS")))*100</f>
        <v/>
      </c>
      <c r="M26" s="52">
        <f>RANK!F25</f>
        <v/>
      </c>
      <c r="N26" s="60">
        <f>SUMIFS(OA_SQL_2!K:K,OA_SQL_2!A:A,PAGE_1!B26,OA_SQL_2!B:B,"AS")/SUMIFS(OA_SQL_2!J:J,OA_SQL_2!A:A,PAGE_1!B26,OA_SQL_2!B:B,"AS")</f>
        <v/>
      </c>
      <c r="O26" s="60" t="n"/>
      <c r="P26" s="59" t="n"/>
      <c r="Q26" s="59" t="n"/>
      <c r="R26" s="59" t="n"/>
      <c r="S26" s="59" t="n"/>
      <c r="T26" s="59" t="n"/>
      <c r="U26" s="59" t="n"/>
      <c r="V26" s="59" t="n"/>
      <c r="W26" s="60" t="n"/>
      <c r="X26" s="60" t="n"/>
    </row>
    <row r="27" ht="19.15" customHeight="1" s="286">
      <c r="A27" s="60" t="inlineStr">
        <is>
          <t>Line</t>
        </is>
      </c>
      <c r="B27" s="62" t="inlineStr">
        <is>
          <t>Line stations</t>
        </is>
      </c>
      <c r="C27" s="343">
        <f>SUMIFS(UA_HUB_SQL_7!J:J,UA_HUB_SQL_7!$B:$B,PAGE_1!A27)/SUMIFS(UA_HUB_SQL_7!$F:$F,UA_HUB_SQL_7!$B:$B,PAGE_1!A27)</f>
        <v/>
      </c>
      <c r="D27" s="343">
        <f>SUMIFS(UA_HUB_SQL_7!K:K,UA_HUB_SQL_7!B:B,PAGE_1!A27)/SUMIFS(UA_HUB_SQL_7!F:F,UA_HUB_SQL_7!B:B,PAGE_1!A27)</f>
        <v/>
      </c>
      <c r="E27" s="83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/>
      </c>
      <c r="F27" s="83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/>
      </c>
      <c r="G27" s="83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/>
      </c>
      <c r="H27" s="121">
        <f>RANK!F15</f>
        <v/>
      </c>
      <c r="I27" s="363">
        <f>SUMIFS(UA_HUB_SQL_7!G:G,UA_HUB_SQL_7!$B:$B,PAGE_1!A27)/SUMIFS(UA_HUB_SQL_7!$F:$F,UA_HUB_SQL_7!$B:$B,PAGE_1!A27)</f>
        <v/>
      </c>
      <c r="J27" s="83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/>
      </c>
      <c r="K27" s="83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/>
      </c>
      <c r="L27" s="83">
        <f>((SUMIFS(UA_HUB_SQL_7!G:G,UA_HUB_SQL_7!$B:$B,PAGE_1!A27)/SUMIFS(UA_HUB_SQL_7!$F:$F,UA_HUB_SQL_7!$B:$B,PAGE_1!A27))-(SUMIFS(OA_SQL_2!L:L,OA_SQL_2!A:A,PAGE_1!A27,OA_SQL_2!B:B,"AS")/SUMIFS(OA_SQL_2!J:J,OA_SQL_2!A:A,PAGE_1!A27,OA_SQL_2!B:B,"AS")))*100</f>
        <v/>
      </c>
      <c r="M27" s="52">
        <f>RANK!F26</f>
        <v/>
      </c>
      <c r="N27" s="60">
        <f>(SUMIFS(UA_HUB_SQL_7!K:K,UA_HUB_SQL_7!B:B,PAGE_1!A27)/SUMIFS(UA_HUB_SQL_7!F:F,UA_HUB_SQL_7!B:B,PAGE_1!A27))</f>
        <v/>
      </c>
      <c r="O27" s="60">
        <f>(SUMIFS(OA_SQL_2!K:K,OA_SQL_2!A:A,PAGE_1!A27,OA_SQL_2!B:B,"DL")/SUMIFS(OA_SQL_2!J:J,OA_SQL_2!A:A,PAGE_1!A27,OA_SQL_2!B:B,"DL"))</f>
        <v/>
      </c>
      <c r="P27" s="59" t="n"/>
      <c r="Q27" s="59" t="n"/>
      <c r="R27" s="59" t="n"/>
      <c r="S27" s="59" t="n"/>
      <c r="T27" s="59" t="n"/>
      <c r="U27" s="59" t="n"/>
      <c r="V27" s="59" t="n"/>
      <c r="W27" s="60" t="n"/>
      <c r="X27" s="60" t="n"/>
    </row>
    <row r="28">
      <c r="N28" s="60" t="n"/>
      <c r="O28" s="60" t="n"/>
      <c r="P28" s="59" t="n"/>
      <c r="Q28" s="59" t="n"/>
      <c r="R28" s="59" t="n"/>
      <c r="S28" s="59" t="n"/>
      <c r="T28" s="59" t="n"/>
      <c r="U28" s="59" t="n"/>
      <c r="V28" s="59" t="n"/>
      <c r="W28" s="60" t="n"/>
      <c r="X28" s="60" t="n"/>
    </row>
    <row r="29" ht="12.5" customHeight="1" s="286" thickBot="1">
      <c r="C29" s="346" t="n"/>
      <c r="Q29" s="59" t="n"/>
      <c r="R29" s="59" t="n"/>
      <c r="S29" s="59" t="n"/>
      <c r="T29" s="59" t="n"/>
      <c r="U29" s="59" t="n"/>
      <c r="V29" s="59" t="n"/>
      <c r="W29" s="60" t="n"/>
      <c r="X29" s="60" t="n"/>
    </row>
    <row r="30" ht="16" customHeight="1" s="286" thickBot="1">
      <c r="B30" s="314" t="inlineStr">
        <is>
          <t>Cancel Detail</t>
        </is>
      </c>
      <c r="C30" s="341" t="n"/>
      <c r="D30" s="341" t="n"/>
      <c r="E30" s="341" t="n"/>
      <c r="F30" s="341" t="n"/>
      <c r="G30" s="341" t="n"/>
      <c r="H30" s="341" t="n"/>
      <c r="I30" s="341" t="n"/>
      <c r="J30" s="341" t="n"/>
      <c r="K30" s="341" t="n"/>
      <c r="L30" s="341" t="n"/>
      <c r="M30" s="341" t="n"/>
      <c r="N30" s="341" t="n"/>
      <c r="O30" s="341" t="n"/>
      <c r="P30" s="341" t="n"/>
      <c r="Q30" s="59" t="n"/>
      <c r="R30" s="60" t="n"/>
      <c r="S30" s="60" t="n"/>
      <c r="T30" s="60" t="n"/>
      <c r="U30" s="60" t="n"/>
      <c r="V30" s="59" t="n"/>
      <c r="W30" s="60" t="n"/>
      <c r="X30" s="60" t="n"/>
    </row>
    <row r="31" ht="30.65" customHeight="1" s="286" thickBot="1">
      <c r="B31" s="70" t="inlineStr">
        <is>
          <t>Express Partner</t>
        </is>
      </c>
      <c r="C31" s="71" t="inlineStr">
        <is>
          <t>Scheduled Departures</t>
        </is>
      </c>
      <c r="D31" s="72" t="inlineStr">
        <is>
          <t>Weather &amp; ATC</t>
        </is>
      </c>
      <c r="E31" s="72" t="inlineStr">
        <is>
          <t>Technical Operations</t>
        </is>
      </c>
      <c r="F31" s="72" t="inlineStr">
        <is>
          <t>Flight Operations</t>
        </is>
      </c>
      <c r="G31" s="72" t="inlineStr">
        <is>
          <t>Inflight Services</t>
        </is>
      </c>
      <c r="H31" s="72" t="inlineStr">
        <is>
          <t>Airport Operations</t>
        </is>
      </c>
      <c r="I31" s="72" t="inlineStr">
        <is>
          <t>Network Operations</t>
        </is>
      </c>
      <c r="J31" s="72" t="inlineStr">
        <is>
          <t>IT</t>
        </is>
      </c>
      <c r="K31" s="72" t="inlineStr">
        <is>
          <t>Catering Operations</t>
        </is>
      </c>
      <c r="L31" s="72" t="inlineStr">
        <is>
          <t>Other</t>
        </is>
      </c>
      <c r="M31" s="73" t="inlineStr">
        <is>
          <t>Total Cancels</t>
        </is>
      </c>
      <c r="N31" s="74" t="inlineStr">
        <is>
          <t>ES covered for this partner</t>
        </is>
      </c>
      <c r="O31" s="74" t="inlineStr">
        <is>
          <t>Net Cancel</t>
        </is>
      </c>
      <c r="P31" s="74" t="inlineStr">
        <is>
          <t>ES covered by this partner</t>
        </is>
      </c>
      <c r="Q31" s="145" t="n"/>
      <c r="R31" s="143" t="n"/>
      <c r="S31" s="143" t="n"/>
      <c r="T31" s="143" t="n"/>
      <c r="U31" s="143" t="n"/>
      <c r="V31" s="60" t="n"/>
      <c r="W31" s="60" t="n"/>
      <c r="X31" s="60" t="n"/>
    </row>
    <row r="32" ht="14.5" customHeight="1" s="286">
      <c r="B32" s="191" t="inlineStr">
        <is>
          <t>OO - SkyWest</t>
        </is>
      </c>
      <c r="C32" s="81">
        <f>SUMIF(SCH_DEP_SQL_4!$A:$A,PAGE_1!R33,SCH_DEP_SQL_4!$E:$E)</f>
        <v/>
      </c>
      <c r="D32" s="190">
        <f>IF(SUMIFS(CNXL_SQL_2!$F:$F,CNXL_SQL_2!$A:$A,PAGE_1!$R33,CNXL_SQL_2!$D:$D,PAGE_1!$S$32)=0,"",SUMIFS(CNXL_SQL_2!$F:$F,CNXL_SQL_2!$A:$A,PAGE_1!$R33,CNXL_SQL_2!$D:$D,PAGE_1!$S$32))</f>
        <v/>
      </c>
      <c r="E32" s="190">
        <f>IF(SUMIFS(CNXL_SQL_2!$F:$F,CNXL_SQL_2!$A:$A,PAGE_1!$R33,CNXL_SQL_2!$D:$D,PAGE_1!$S$33)=0,"",SUMIFS(CNXL_SQL_2!$F:$F,CNXL_SQL_2!$A:$A,PAGE_1!$R33,CNXL_SQL_2!$D:$D,PAGE_1!$S$33))</f>
        <v/>
      </c>
      <c r="F32" s="190">
        <f>IF(SUMIFS(CNXL_SQL_2!$F:$F,CNXL_SQL_2!$A:$A,PAGE_1!$R33,CNXL_SQL_2!$D:$D,PAGE_1!$S$34)=0,"",SUMIFS(CNXL_SQL_2!$F:$F,CNXL_SQL_2!$A:$A,PAGE_1!$R33,CNXL_SQL_2!$D:$D,PAGE_1!$S$34))</f>
        <v/>
      </c>
      <c r="G32" s="190">
        <f>IF(SUMIFS(CNXL_SQL_2!$F:$F,CNXL_SQL_2!$A:$A,PAGE_1!$R33,CNXL_SQL_2!$D:$D,PAGE_1!$S$35)=0,"",SUMIFS(CNXL_SQL_2!$F:$F,CNXL_SQL_2!$A:$A,PAGE_1!$R33,CNXL_SQL_2!$D:$D,PAGE_1!$S$35))</f>
        <v/>
      </c>
      <c r="H32" s="190">
        <f>IF(SUMIFS(CNXL_SQL_2!$F:$F,CNXL_SQL_2!$A:$A,PAGE_1!$R33,CNXL_SQL_2!$D:$D,PAGE_1!$S$36)=0,"",SUMIFS(CNXL_SQL_2!$F:$F,CNXL_SQL_2!$A:$A,PAGE_1!$R33,CNXL_SQL_2!$D:$D,PAGE_1!$S$36))</f>
        <v/>
      </c>
      <c r="I32" s="190">
        <f>IF(SUMIFS(CNXL_SQL_2!$F:$F,CNXL_SQL_2!$A:$A,PAGE_1!$R33,CNXL_SQL_2!$D:$D,PAGE_1!$S$37)=0,"",SUMIFS(CNXL_SQL_2!$F:$F,CNXL_SQL_2!$A:$A,PAGE_1!$R33,CNXL_SQL_2!$D:$D,PAGE_1!$S$37))</f>
        <v/>
      </c>
      <c r="J32" s="190">
        <f>IF(SUMIFS(CNXL_SQL_2!$F:$F,CNXL_SQL_2!$A:$A,PAGE_1!$R33,CNXL_SQL_2!$D:$D,PAGE_1!$S$38)=0,"",SUMIFS(CNXL_SQL_2!$F:$F,CNXL_SQL_2!$A:$A,PAGE_1!$R33,CNXL_SQL_2!$D:$D,PAGE_1!$S$38))</f>
        <v/>
      </c>
      <c r="K32" s="190">
        <f>IF(SUMIFS(CNXL_SQL_2!$F:$F,CNXL_SQL_2!$A:$A,PAGE_1!$R33,CNXL_SQL_2!$D:$D,PAGE_1!$S$39)=0,"",SUMIFS(CNXL_SQL_2!$F:$F,CNXL_SQL_2!$A:$A,PAGE_1!$R33,CNXL_SQL_2!$D:$D,PAGE_1!$S$39))</f>
        <v/>
      </c>
      <c r="L32" s="190">
        <f>IF(SUMIFS(CNXL_SQL_2!$F:$F,CNXL_SQL_2!$A:$A,PAGE_1!$R33,CNXL_SQL_2!$D:$D,PAGE_1!$S$40)=0,"",SUMIFS(CNXL_SQL_2!$F:$F,CNXL_SQL_2!$A:$A,PAGE_1!$R33,CNXL_SQL_2!$D:$D,PAGE_1!$S$40))</f>
        <v/>
      </c>
      <c r="M32" s="18">
        <f>IF(SUM(D32:L32)=0,"",SUM(D32:L32))</f>
        <v/>
      </c>
      <c r="N32" s="18">
        <f>ES_MATRIX!K4</f>
        <v/>
      </c>
      <c r="O32" s="18">
        <f>IFERROR(M32-ES_MATRIX!L4,"")</f>
        <v/>
      </c>
      <c r="P32" s="16">
        <f>IF(SUMIF(CNXL_SQL_2!$E:$E,PAGE_1!R33,CNXL_SQL_2!$F:$F)=0,"",SUMIF(CNXL_SQL_2!$E:$E,PAGE_1!R33,CNXL_SQL_2!$F:$F))</f>
        <v/>
      </c>
      <c r="Q32" s="145" t="n"/>
      <c r="R32" s="144" t="n"/>
      <c r="S32" s="144" t="inlineStr">
        <is>
          <t>WEATHER/ATC</t>
        </is>
      </c>
      <c r="T32" s="143" t="n"/>
      <c r="U32" s="143" t="n"/>
      <c r="V32" s="60" t="n"/>
      <c r="W32" s="60" t="n"/>
      <c r="X32" s="60" t="n"/>
    </row>
    <row r="33" ht="14.5" customHeight="1" s="286">
      <c r="B33" s="192" t="inlineStr">
        <is>
          <t>YX - Republic</t>
        </is>
      </c>
      <c r="C33" s="138">
        <f>SUMIF(SCH_DEP_SQL_4!$A:$A,PAGE_1!R35,SCH_DEP_SQL_4!$E:$E)</f>
        <v/>
      </c>
      <c r="D33" s="193">
        <f>IF(SUMIFS(CNXL_SQL_2!$F:$F,CNXL_SQL_2!$A:$A,PAGE_1!$R35,CNXL_SQL_2!$D:$D,PAGE_1!$S$32)=0,"",SUMIFS(CNXL_SQL_2!$F:$F,CNXL_SQL_2!$A:$A,PAGE_1!$R35,CNXL_SQL_2!$D:$D,PAGE_1!$S$32))</f>
        <v/>
      </c>
      <c r="E33" s="193">
        <f>IF(SUMIFS(CNXL_SQL_2!$F:$F,CNXL_SQL_2!$A:$A,PAGE_1!$R35,CNXL_SQL_2!$D:$D,PAGE_1!$S$33)=0,"",SUMIFS(CNXL_SQL_2!$F:$F,CNXL_SQL_2!$A:$A,PAGE_1!$R35,CNXL_SQL_2!$D:$D,PAGE_1!$S$33))</f>
        <v/>
      </c>
      <c r="F33" s="193">
        <f>IF(SUMIFS(CNXL_SQL_2!$F:$F,CNXL_SQL_2!$A:$A,PAGE_1!$R35,CNXL_SQL_2!$D:$D,PAGE_1!$S$34)=0,"",SUMIFS(CNXL_SQL_2!$F:$F,CNXL_SQL_2!$A:$A,PAGE_1!$R35,CNXL_SQL_2!$D:$D,PAGE_1!$S$34))</f>
        <v/>
      </c>
      <c r="G33" s="193">
        <f>IF(SUMIFS(CNXL_SQL_2!$F:$F,CNXL_SQL_2!$A:$A,PAGE_1!$R35,CNXL_SQL_2!$D:$D,PAGE_1!$S$35)=0,"",SUMIFS(CNXL_SQL_2!$F:$F,CNXL_SQL_2!$A:$A,PAGE_1!$R35,CNXL_SQL_2!$D:$D,PAGE_1!$S$35))</f>
        <v/>
      </c>
      <c r="H33" s="193">
        <f>IF(SUMIFS(CNXL_SQL_2!$F:$F,CNXL_SQL_2!$A:$A,PAGE_1!$R35,CNXL_SQL_2!$D:$D,PAGE_1!$S$36)=0,"",SUMIFS(CNXL_SQL_2!$F:$F,CNXL_SQL_2!$A:$A,PAGE_1!$R35,CNXL_SQL_2!$D:$D,PAGE_1!$S$36))</f>
        <v/>
      </c>
      <c r="I33" s="193">
        <f>IF(SUMIFS(CNXL_SQL_2!$F:$F,CNXL_SQL_2!$A:$A,PAGE_1!$R35,CNXL_SQL_2!$D:$D,PAGE_1!$S$37)=0,"",SUMIFS(CNXL_SQL_2!$F:$F,CNXL_SQL_2!$A:$A,PAGE_1!$R35,CNXL_SQL_2!$D:$D,PAGE_1!$S$37))</f>
        <v/>
      </c>
      <c r="J33" s="193">
        <f>IF(SUMIFS(CNXL_SQL_2!$F:$F,CNXL_SQL_2!$A:$A,PAGE_1!$R35,CNXL_SQL_2!$D:$D,PAGE_1!$S$38)=0,"",SUMIFS(CNXL_SQL_2!$F:$F,CNXL_SQL_2!$A:$A,PAGE_1!$R35,CNXL_SQL_2!$D:$D,PAGE_1!$S$38))</f>
        <v/>
      </c>
      <c r="K33" s="193">
        <f>IF(SUMIFS(CNXL_SQL_2!$F:$F,CNXL_SQL_2!$A:$A,PAGE_1!$R35,CNXL_SQL_2!$D:$D,PAGE_1!$S$39)=0,"",SUMIFS(CNXL_SQL_2!$F:$F,CNXL_SQL_2!$A:$A,PAGE_1!$R35,CNXL_SQL_2!$D:$D,PAGE_1!$S$39))</f>
        <v/>
      </c>
      <c r="L33" s="193">
        <f>IF(SUMIFS(CNXL_SQL_2!$F:$F,CNXL_SQL_2!$A:$A,PAGE_1!$R35,CNXL_SQL_2!$D:$D,PAGE_1!$S$40)=0,"",SUMIFS(CNXL_SQL_2!$F:$F,CNXL_SQL_2!$A:$A,PAGE_1!$R35,CNXL_SQL_2!$D:$D,PAGE_1!$S$40))</f>
        <v/>
      </c>
      <c r="M33" s="140">
        <f>IF(SUM(D33:L33)=0,"",SUM(D33:L33))</f>
        <v/>
      </c>
      <c r="N33" s="140">
        <f>ES_MATRIX!K6</f>
        <v/>
      </c>
      <c r="O33" s="140">
        <f>IFERROR(M33-ES_MATRIX!L6,"")</f>
        <v/>
      </c>
      <c r="P33" s="141">
        <f>IF(SUMIF(CNXL_SQL_2!$E:$E,PAGE_1!R35,CNXL_SQL_2!$F:$F)=0,"",SUMIF(CNXL_SQL_2!$E:$E,PAGE_1!R35,CNXL_SQL_2!$F:$F))</f>
        <v/>
      </c>
      <c r="Q33" s="145" t="n"/>
      <c r="R33" s="143" t="inlineStr">
        <is>
          <t>OO</t>
        </is>
      </c>
      <c r="S33" s="144" t="inlineStr">
        <is>
          <t>TECHNICAL OPERATIONS-AIRCRAFT</t>
        </is>
      </c>
      <c r="T33" s="143" t="n"/>
      <c r="U33" s="143" t="n"/>
      <c r="V33" s="60" t="n"/>
      <c r="W33" s="60" t="n"/>
      <c r="X33" s="60" t="n"/>
    </row>
    <row r="34" ht="14.5" customHeight="1" s="286">
      <c r="B34" s="191" t="inlineStr">
        <is>
          <t>G7 - Go Jet</t>
        </is>
      </c>
      <c r="C34" s="81">
        <f>SUMIF(SCH_DEP_SQL_4!$A:$A,PAGE_1!R36,SCH_DEP_SQL_4!$E:$E)</f>
        <v/>
      </c>
      <c r="D34" s="190">
        <f>IF(SUMIFS(CNXL_SQL_2!$F:$F,CNXL_SQL_2!$A:$A,PAGE_1!$R36,CNXL_SQL_2!$D:$D,PAGE_1!$S$32)=0,"",SUMIFS(CNXL_SQL_2!$F:$F,CNXL_SQL_2!$A:$A,PAGE_1!$R36,CNXL_SQL_2!$D:$D,PAGE_1!$S$32))</f>
        <v/>
      </c>
      <c r="E34" s="190">
        <f>IF(SUMIFS(CNXL_SQL_2!$F:$F,CNXL_SQL_2!$A:$A,PAGE_1!$R36,CNXL_SQL_2!$D:$D,PAGE_1!$S$33)=0,"",SUMIFS(CNXL_SQL_2!$F:$F,CNXL_SQL_2!$A:$A,PAGE_1!$R36,CNXL_SQL_2!$D:$D,PAGE_1!$S$33))</f>
        <v/>
      </c>
      <c r="F34" s="190">
        <f>IF(SUMIFS(CNXL_SQL_2!$F:$F,CNXL_SQL_2!$A:$A,PAGE_1!$R36,CNXL_SQL_2!$D:$D,PAGE_1!$S$34)=0,"",SUMIFS(CNXL_SQL_2!$F:$F,CNXL_SQL_2!$A:$A,PAGE_1!$R36,CNXL_SQL_2!$D:$D,PAGE_1!$S$34))</f>
        <v/>
      </c>
      <c r="G34" s="190">
        <f>IF(SUMIFS(CNXL_SQL_2!$F:$F,CNXL_SQL_2!$A:$A,PAGE_1!$R36,CNXL_SQL_2!$D:$D,PAGE_1!$S$35)=0,"",SUMIFS(CNXL_SQL_2!$F:$F,CNXL_SQL_2!$A:$A,PAGE_1!$R36,CNXL_SQL_2!$D:$D,PAGE_1!$S$35))</f>
        <v/>
      </c>
      <c r="H34" s="190">
        <f>IF(SUMIFS(CNXL_SQL_2!$F:$F,CNXL_SQL_2!$A:$A,PAGE_1!$R36,CNXL_SQL_2!$D:$D,PAGE_1!$S$36)=0,"",SUMIFS(CNXL_SQL_2!$F:$F,CNXL_SQL_2!$A:$A,PAGE_1!$R36,CNXL_SQL_2!$D:$D,PAGE_1!$S$36))</f>
        <v/>
      </c>
      <c r="I34" s="190">
        <f>IF(SUMIFS(CNXL_SQL_2!$F:$F,CNXL_SQL_2!$A:$A,PAGE_1!$R36,CNXL_SQL_2!$D:$D,PAGE_1!$S$37)=0,"",SUMIFS(CNXL_SQL_2!$F:$F,CNXL_SQL_2!$A:$A,PAGE_1!$R36,CNXL_SQL_2!$D:$D,PAGE_1!$S$37))</f>
        <v/>
      </c>
      <c r="J34" s="190">
        <f>IF(SUMIFS(CNXL_SQL_2!$F:$F,CNXL_SQL_2!$A:$A,PAGE_1!$R36,CNXL_SQL_2!$D:$D,PAGE_1!$S$38)=0,"",SUMIFS(CNXL_SQL_2!$F:$F,CNXL_SQL_2!$A:$A,PAGE_1!$R36,CNXL_SQL_2!$D:$D,PAGE_1!$S$38))</f>
        <v/>
      </c>
      <c r="K34" s="190">
        <f>IF(SUMIFS(CNXL_SQL_2!$F:$F,CNXL_SQL_2!$A:$A,PAGE_1!$R36,CNXL_SQL_2!$D:$D,PAGE_1!$S$39)=0,"",SUMIFS(CNXL_SQL_2!$F:$F,CNXL_SQL_2!$A:$A,PAGE_1!$R36,CNXL_SQL_2!$D:$D,PAGE_1!$S$39))</f>
        <v/>
      </c>
      <c r="L34" s="190">
        <f>IF(SUMIFS(CNXL_SQL_2!$F:$F,CNXL_SQL_2!$A:$A,PAGE_1!$R36,CNXL_SQL_2!$D:$D,PAGE_1!$S$40)=0,"",SUMIFS(CNXL_SQL_2!$F:$F,CNXL_SQL_2!$A:$A,PAGE_1!$R36,CNXL_SQL_2!$D:$D,PAGE_1!$S$40))</f>
        <v/>
      </c>
      <c r="M34" s="41">
        <f>IF(SUM(D34:L34)=0,"",SUM(D34:L34))</f>
        <v/>
      </c>
      <c r="N34" s="18">
        <f>ES_MATRIX!K7</f>
        <v/>
      </c>
      <c r="O34" s="18">
        <f>IFERROR(M34-ES_MATRIX!L7,"")</f>
        <v/>
      </c>
      <c r="P34" s="16">
        <f>IF(SUMIF(CNXL_SQL_2!$E:$E,PAGE_1!R36,CNXL_SQL_2!$F:$F)=0,"",SUMIF(CNXL_SQL_2!$E:$E,PAGE_1!R36,CNXL_SQL_2!$F:$F))</f>
        <v/>
      </c>
      <c r="Q34" s="145" t="n"/>
      <c r="R34" s="143" t="n"/>
      <c r="S34" s="144" t="inlineStr">
        <is>
          <t>FLIGHT OPERATIONS</t>
        </is>
      </c>
      <c r="T34" s="143" t="n"/>
      <c r="U34" s="143" t="n"/>
      <c r="V34" s="60" t="n"/>
      <c r="W34" s="60" t="n"/>
      <c r="X34" s="60" t="n"/>
    </row>
    <row r="35" ht="14.5" customHeight="1" s="286">
      <c r="B35" s="192" t="inlineStr">
        <is>
          <t>C5 - CommutAir</t>
        </is>
      </c>
      <c r="C35" s="138">
        <f>SUMIF(SCH_DEP_SQL_4!$A:$A,PAGE_1!R37,SCH_DEP_SQL_4!$E:$E)</f>
        <v/>
      </c>
      <c r="D35" s="193">
        <f>IF(SUMIFS(CNXL_SQL_2!$F:$F,CNXL_SQL_2!$A:$A,PAGE_1!$R37,CNXL_SQL_2!$D:$D,PAGE_1!$S$32)=0,"",SUMIFS(CNXL_SQL_2!$F:$F,CNXL_SQL_2!$A:$A,PAGE_1!$R37,CNXL_SQL_2!$D:$D,PAGE_1!$S$32))</f>
        <v/>
      </c>
      <c r="E35" s="193">
        <f>IF(SUMIFS(CNXL_SQL_2!$F:$F,CNXL_SQL_2!$A:$A,PAGE_1!$R37,CNXL_SQL_2!$D:$D,PAGE_1!$S$33)=0,"",SUMIFS(CNXL_SQL_2!$F:$F,CNXL_SQL_2!$A:$A,PAGE_1!$R37,CNXL_SQL_2!$D:$D,PAGE_1!$S$33))</f>
        <v/>
      </c>
      <c r="F35" s="193">
        <f>IF(SUMIFS(CNXL_SQL_2!$F:$F,CNXL_SQL_2!$A:$A,PAGE_1!$R37,CNXL_SQL_2!$D:$D,PAGE_1!$S$34)=0,"",SUMIFS(CNXL_SQL_2!$F:$F,CNXL_SQL_2!$A:$A,PAGE_1!$R37,CNXL_SQL_2!$D:$D,PAGE_1!$S$34))</f>
        <v/>
      </c>
      <c r="G35" s="193">
        <f>IF(SUMIFS(CNXL_SQL_2!$F:$F,CNXL_SQL_2!$A:$A,PAGE_1!$R37,CNXL_SQL_2!$D:$D,PAGE_1!$S$35)=0,"",SUMIFS(CNXL_SQL_2!$F:$F,CNXL_SQL_2!$A:$A,PAGE_1!$R37,CNXL_SQL_2!$D:$D,PAGE_1!$S$35))</f>
        <v/>
      </c>
      <c r="H35" s="193">
        <f>IF(SUMIFS(CNXL_SQL_2!$F:$F,CNXL_SQL_2!$A:$A,PAGE_1!$R37,CNXL_SQL_2!$D:$D,PAGE_1!$S$36)=0,"",SUMIFS(CNXL_SQL_2!$F:$F,CNXL_SQL_2!$A:$A,PAGE_1!$R37,CNXL_SQL_2!$D:$D,PAGE_1!$S$36))</f>
        <v/>
      </c>
      <c r="I35" s="193">
        <f>IF(SUMIFS(CNXL_SQL_2!$F:$F,CNXL_SQL_2!$A:$A,PAGE_1!$R37,CNXL_SQL_2!$D:$D,PAGE_1!$S$37)=0,"",SUMIFS(CNXL_SQL_2!$F:$F,CNXL_SQL_2!$A:$A,PAGE_1!$R37,CNXL_SQL_2!$D:$D,PAGE_1!$S$37))</f>
        <v/>
      </c>
      <c r="J35" s="193">
        <f>IF(SUMIFS(CNXL_SQL_2!$F:$F,CNXL_SQL_2!$A:$A,PAGE_1!$R37,CNXL_SQL_2!$D:$D,PAGE_1!$S$38)=0,"",SUMIFS(CNXL_SQL_2!$F:$F,CNXL_SQL_2!$A:$A,PAGE_1!$R37,CNXL_SQL_2!$D:$D,PAGE_1!$S$38))</f>
        <v/>
      </c>
      <c r="K35" s="193">
        <f>IF(SUMIFS(CNXL_SQL_2!$F:$F,CNXL_SQL_2!$A:$A,PAGE_1!$R37,CNXL_SQL_2!$D:$D,PAGE_1!$S$39)=0,"",SUMIFS(CNXL_SQL_2!$F:$F,CNXL_SQL_2!$A:$A,PAGE_1!$R37,CNXL_SQL_2!$D:$D,PAGE_1!$S$39))</f>
        <v/>
      </c>
      <c r="L35" s="193">
        <f>IF(SUMIFS(CNXL_SQL_2!$F:$F,CNXL_SQL_2!$A:$A,PAGE_1!$R37,CNXL_SQL_2!$D:$D,PAGE_1!$S$40)=0,"",SUMIFS(CNXL_SQL_2!$F:$F,CNXL_SQL_2!$A:$A,PAGE_1!$R37,CNXL_SQL_2!$D:$D,PAGE_1!$S$40))</f>
        <v/>
      </c>
      <c r="M35" s="142">
        <f>IF(SUM(D35:L35)=0,"",SUM(D35:L35))</f>
        <v/>
      </c>
      <c r="N35" s="140">
        <f>ES_MATRIX!K8</f>
        <v/>
      </c>
      <c r="O35" s="140">
        <f>IFERROR(M35-ES_MATRIX!L8,"")</f>
        <v/>
      </c>
      <c r="P35" s="141">
        <f>IF(SUMIF(CNXL_SQL_2!$E:$E,PAGE_1!R37,CNXL_SQL_2!$F:$F)=0,"",SUMIF(CNXL_SQL_2!$E:$E,PAGE_1!R37,CNXL_SQL_2!$F:$F))</f>
        <v/>
      </c>
      <c r="Q35" s="145" t="n"/>
      <c r="R35" s="143" t="inlineStr">
        <is>
          <t>YX</t>
        </is>
      </c>
      <c r="S35" s="144" t="inlineStr">
        <is>
          <t>INFLIGHT SERVICES</t>
        </is>
      </c>
      <c r="T35" s="143" t="n"/>
      <c r="U35" s="143" t="n"/>
      <c r="V35" s="60" t="n"/>
      <c r="W35" s="60" t="n"/>
      <c r="X35" s="60" t="n"/>
    </row>
    <row r="36" ht="14.5" customHeight="1" s="286">
      <c r="B36" s="191" t="inlineStr">
        <is>
          <t>YV - Mesa</t>
        </is>
      </c>
      <c r="C36" s="81">
        <f>SUMIF(SCH_DEP_SQL_4!$A:$A,PAGE_1!R38,SCH_DEP_SQL_4!$E:$E)</f>
        <v/>
      </c>
      <c r="D36" s="190">
        <f>IF(SUMIFS(CNXL_SQL_2!$F:$F,CNXL_SQL_2!$A:$A,PAGE_1!$R38,CNXL_SQL_2!$D:$D,PAGE_1!$S$32)=0,"",SUMIFS(CNXL_SQL_2!$F:$F,CNXL_SQL_2!$A:$A,PAGE_1!$R38,CNXL_SQL_2!$D:$D,PAGE_1!$S$32))</f>
        <v/>
      </c>
      <c r="E36" s="190">
        <f>IF(SUMIFS(CNXL_SQL_2!$F:$F,CNXL_SQL_2!$A:$A,PAGE_1!$R38,CNXL_SQL_2!$D:$D,PAGE_1!$S$33)=0,"",SUMIFS(CNXL_SQL_2!$F:$F,CNXL_SQL_2!$A:$A,PAGE_1!$R38,CNXL_SQL_2!$D:$D,PAGE_1!$S$33))</f>
        <v/>
      </c>
      <c r="F36" s="190">
        <f>IF(SUMIFS(CNXL_SQL_2!$F:$F,CNXL_SQL_2!$A:$A,PAGE_1!$R38,CNXL_SQL_2!$D:$D,PAGE_1!$S$34)=0,"",SUMIFS(CNXL_SQL_2!$F:$F,CNXL_SQL_2!$A:$A,PAGE_1!$R38,CNXL_SQL_2!$D:$D,PAGE_1!$S$34))</f>
        <v/>
      </c>
      <c r="G36" s="190">
        <f>IF(SUMIFS(CNXL_SQL_2!$F:$F,CNXL_SQL_2!$A:$A,PAGE_1!$R38,CNXL_SQL_2!$D:$D,PAGE_1!$S$35)=0,"",SUMIFS(CNXL_SQL_2!$F:$F,CNXL_SQL_2!$A:$A,PAGE_1!$R38,CNXL_SQL_2!$D:$D,PAGE_1!$S$35))</f>
        <v/>
      </c>
      <c r="H36" s="190">
        <f>IF(SUMIFS(CNXL_SQL_2!$F:$F,CNXL_SQL_2!$A:$A,PAGE_1!$R38,CNXL_SQL_2!$D:$D,PAGE_1!$S$36)=0,"",SUMIFS(CNXL_SQL_2!$F:$F,CNXL_SQL_2!$A:$A,PAGE_1!$R38,CNXL_SQL_2!$D:$D,PAGE_1!$S$36))</f>
        <v/>
      </c>
      <c r="I36" s="190">
        <f>IF(SUMIFS(CNXL_SQL_2!$F:$F,CNXL_SQL_2!$A:$A,PAGE_1!$R38,CNXL_SQL_2!$D:$D,PAGE_1!$S$37)=0,"",SUMIFS(CNXL_SQL_2!$F:$F,CNXL_SQL_2!$A:$A,PAGE_1!$R38,CNXL_SQL_2!$D:$D,PAGE_1!$S$37))</f>
        <v/>
      </c>
      <c r="J36" s="190">
        <f>IF(SUMIFS(CNXL_SQL_2!$F:$F,CNXL_SQL_2!$A:$A,PAGE_1!$R38,CNXL_SQL_2!$D:$D,PAGE_1!$S$38)=0,"",SUMIFS(CNXL_SQL_2!$F:$F,CNXL_SQL_2!$A:$A,PAGE_1!$R38,CNXL_SQL_2!$D:$D,PAGE_1!$S$38))</f>
        <v/>
      </c>
      <c r="K36" s="190">
        <f>IF(SUMIFS(CNXL_SQL_2!$F:$F,CNXL_SQL_2!$A:$A,PAGE_1!$R38,CNXL_SQL_2!$D:$D,PAGE_1!$S$39)=0,"",SUMIFS(CNXL_SQL_2!$F:$F,CNXL_SQL_2!$A:$A,PAGE_1!$R38,CNXL_SQL_2!$D:$D,PAGE_1!$S$39))</f>
        <v/>
      </c>
      <c r="L36" s="190">
        <f>IF(SUMIFS(CNXL_SQL_2!$F:$F,CNXL_SQL_2!$A:$A,PAGE_1!$R38,CNXL_SQL_2!$D:$D,PAGE_1!$S$40)=0,"",SUMIFS(CNXL_SQL_2!$F:$F,CNXL_SQL_2!$A:$A,PAGE_1!$R38,CNXL_SQL_2!$D:$D,PAGE_1!$S$40))</f>
        <v/>
      </c>
      <c r="M36" s="41">
        <f>IF(SUM(D36:L36)=0,"",SUM(D36:L36))</f>
        <v/>
      </c>
      <c r="N36" s="18">
        <f>ES_MATRIX!K9</f>
        <v/>
      </c>
      <c r="O36" s="18">
        <f>IFERROR(M36-ES_MATRIX!L9,"")</f>
        <v/>
      </c>
      <c r="P36" s="16">
        <f>IF(SUMIF(CNXL_SQL_2!$E:$E,PAGE_1!R38,CNXL_SQL_2!$F:$F)=0,"",SUMIF(CNXL_SQL_2!$E:$E,PAGE_1!R38,CNXL_SQL_2!$F:$F))</f>
        <v/>
      </c>
      <c r="Q36" s="145" t="n"/>
      <c r="R36" s="143" t="inlineStr">
        <is>
          <t>G7</t>
        </is>
      </c>
      <c r="S36" s="144" t="inlineStr">
        <is>
          <t>AIRPORT OPERATIONS</t>
        </is>
      </c>
      <c r="T36" s="143" t="n"/>
      <c r="U36" s="143" t="n"/>
      <c r="V36" s="60" t="n"/>
      <c r="W36" s="60" t="n"/>
      <c r="X36" s="60" t="n"/>
    </row>
    <row r="37" ht="15" customHeight="1" s="286" thickBot="1">
      <c r="B37" s="192" t="inlineStr">
        <is>
          <t>ZW - Air Wisconsin</t>
        </is>
      </c>
      <c r="C37" s="138">
        <f>SUMIF(SCH_DEP_SQL_4!$A:$A,PAGE_1!R39,SCH_DEP_SQL_4!$E:$E)</f>
        <v/>
      </c>
      <c r="D37" s="193">
        <f>IF(SUMIFS(CNXL_SQL_2!$F:$F,CNXL_SQL_2!$A:$A,PAGE_1!$R39,CNXL_SQL_2!$D:$D,PAGE_1!$S$32)=0,"",SUMIFS(CNXL_SQL_2!$F:$F,CNXL_SQL_2!$A:$A,PAGE_1!$R39,CNXL_SQL_2!$D:$D,PAGE_1!$S$32))</f>
        <v/>
      </c>
      <c r="E37" s="193">
        <f>IF(SUMIFS(CNXL_SQL_2!$F:$F,CNXL_SQL_2!$A:$A,PAGE_1!$R39,CNXL_SQL_2!$D:$D,PAGE_1!$S$33)=0,"",SUMIFS(CNXL_SQL_2!$F:$F,CNXL_SQL_2!$A:$A,PAGE_1!$R39,CNXL_SQL_2!$D:$D,PAGE_1!$S$33))</f>
        <v/>
      </c>
      <c r="F37" s="193">
        <f>IF(SUMIFS(CNXL_SQL_2!$F:$F,CNXL_SQL_2!$A:$A,PAGE_1!$R39,CNXL_SQL_2!$D:$D,PAGE_1!$S$34)=0,"",SUMIFS(CNXL_SQL_2!$F:$F,CNXL_SQL_2!$A:$A,PAGE_1!$R39,CNXL_SQL_2!$D:$D,PAGE_1!$S$34))</f>
        <v/>
      </c>
      <c r="G37" s="193">
        <f>IF(SUMIFS(CNXL_SQL_2!$F:$F,CNXL_SQL_2!$A:$A,PAGE_1!$R39,CNXL_SQL_2!$D:$D,PAGE_1!$S$35)=0,"",SUMIFS(CNXL_SQL_2!$F:$F,CNXL_SQL_2!$A:$A,PAGE_1!$R39,CNXL_SQL_2!$D:$D,PAGE_1!$S$35))</f>
        <v/>
      </c>
      <c r="H37" s="193">
        <f>IF(SUMIFS(CNXL_SQL_2!$F:$F,CNXL_SQL_2!$A:$A,PAGE_1!$R39,CNXL_SQL_2!$D:$D,PAGE_1!$S$36)=0,"",SUMIFS(CNXL_SQL_2!$F:$F,CNXL_SQL_2!$A:$A,PAGE_1!$R39,CNXL_SQL_2!$D:$D,PAGE_1!$S$36))</f>
        <v/>
      </c>
      <c r="I37" s="193">
        <f>IF(SUMIFS(CNXL_SQL_2!$F:$F,CNXL_SQL_2!$A:$A,PAGE_1!$R39,CNXL_SQL_2!$D:$D,PAGE_1!$S$37)=0,"",SUMIFS(CNXL_SQL_2!$F:$F,CNXL_SQL_2!$A:$A,PAGE_1!$R39,CNXL_SQL_2!$D:$D,PAGE_1!$S$37))</f>
        <v/>
      </c>
      <c r="J37" s="193">
        <f>IF(SUMIFS(CNXL_SQL_2!$F:$F,CNXL_SQL_2!$A:$A,PAGE_1!$R39,CNXL_SQL_2!$D:$D,PAGE_1!$S$38)=0,"",SUMIFS(CNXL_SQL_2!$F:$F,CNXL_SQL_2!$A:$A,PAGE_1!$R39,CNXL_SQL_2!$D:$D,PAGE_1!$S$38))</f>
        <v/>
      </c>
      <c r="K37" s="193">
        <f>IF(SUMIFS(CNXL_SQL_2!$F:$F,CNXL_SQL_2!$A:$A,PAGE_1!$R39,CNXL_SQL_2!$D:$D,PAGE_1!$S$39)=0,"",SUMIFS(CNXL_SQL_2!$F:$F,CNXL_SQL_2!$A:$A,PAGE_1!$R39,CNXL_SQL_2!$D:$D,PAGE_1!$S$39))</f>
        <v/>
      </c>
      <c r="L37" s="193">
        <f>IF(SUMIFS(CNXL_SQL_2!$F:$F,CNXL_SQL_2!$A:$A,PAGE_1!$R39,CNXL_SQL_2!$D:$D,PAGE_1!$S$40)=0,"",SUMIFS(CNXL_SQL_2!$F:$F,CNXL_SQL_2!$A:$A,PAGE_1!$R39,CNXL_SQL_2!$D:$D,PAGE_1!$S$40))</f>
        <v/>
      </c>
      <c r="M37" s="140">
        <f>IF(SUM(D37:L37)=0,"",SUM(D37:L37))</f>
        <v/>
      </c>
      <c r="N37" s="140">
        <f>ES_MATRIX!K10</f>
        <v/>
      </c>
      <c r="O37" s="140">
        <f>IFERROR(M37-ES_MATRIX!L10,"")</f>
        <v/>
      </c>
      <c r="P37" s="141">
        <f>IF(SUMIF(CNXL_SQL_2!$E:$E,PAGE_1!R39,CNXL_SQL_2!$F:$F)=0,"",SUMIF(CNXL_SQL_2!$E:$E,PAGE_1!R39,CNXL_SQL_2!$F:$F))</f>
        <v/>
      </c>
      <c r="Q37" s="145" t="n"/>
      <c r="R37" s="143" t="inlineStr">
        <is>
          <t>C5</t>
        </is>
      </c>
      <c r="S37" s="144" t="inlineStr">
        <is>
          <t>NETWORK OPERATIONS CENTER</t>
        </is>
      </c>
      <c r="T37" s="143" t="n"/>
      <c r="U37" s="143" t="n"/>
      <c r="V37" s="60" t="n"/>
      <c r="W37" s="60" t="n"/>
      <c r="X37" s="60" t="n"/>
    </row>
    <row r="38" ht="15" customHeight="1" s="286" thickBot="1">
      <c r="B38" s="68" t="inlineStr">
        <is>
          <t>Total:</t>
        </is>
      </c>
      <c r="C38" s="82">
        <f>SUM(C32:C37)</f>
        <v/>
      </c>
      <c r="D38" s="22">
        <f>IF(SUM(D32:D37)=0,"",SUM(D32:D37))</f>
        <v/>
      </c>
      <c r="E38" s="22">
        <f>IF(SUM(E32:E37)=0,"",SUM(E32:E37))</f>
        <v/>
      </c>
      <c r="F38" s="22">
        <f>IF(SUM(F32:F37)=0,"",SUM(F32:F37))</f>
        <v/>
      </c>
      <c r="G38" s="22">
        <f>IF(SUM(G32:G37)=0,"",SUM(G32:G37))</f>
        <v/>
      </c>
      <c r="H38" s="22">
        <f>IF(SUM(H32:H37)=0,"",SUM(H32:H37))</f>
        <v/>
      </c>
      <c r="I38" s="22">
        <f>IF(SUM(I32:I37)=0,"",SUM(I32:I37))</f>
        <v/>
      </c>
      <c r="J38" s="22">
        <f>IF(SUM(J32:J37)=0,"",SUM(J32:J37))</f>
        <v/>
      </c>
      <c r="K38" s="22">
        <f>IF(SUM(K32:K37)=0,"",SUM(K32:K37))</f>
        <v/>
      </c>
      <c r="L38" s="22">
        <f>IF(SUM(L32:L37)=0,"",SUM(L32:L37))</f>
        <v/>
      </c>
      <c r="M38" s="23">
        <f>SUM(M32:M37)</f>
        <v/>
      </c>
      <c r="N38" s="23" t="n"/>
      <c r="O38" s="23">
        <f>SUM(O32:O37)</f>
        <v/>
      </c>
      <c r="P38" s="23">
        <f>SUM(P32:P37)</f>
        <v/>
      </c>
      <c r="Q38" s="145" t="n"/>
      <c r="R38" s="143" t="inlineStr">
        <is>
          <t>YV</t>
        </is>
      </c>
      <c r="S38" s="144" t="inlineStr">
        <is>
          <t>TECHNOLOGY</t>
        </is>
      </c>
      <c r="T38" s="143" t="n"/>
      <c r="U38" s="143" t="n"/>
      <c r="V38" s="60" t="n"/>
      <c r="W38" s="60" t="n"/>
      <c r="X38" s="60" t="n"/>
    </row>
    <row r="39" ht="14.5" customHeight="1" s="286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145" t="n"/>
      <c r="R39" s="143" t="inlineStr">
        <is>
          <t>ZW</t>
        </is>
      </c>
      <c r="S39" s="144" t="inlineStr">
        <is>
          <t>CATERING OPERATIONS</t>
        </is>
      </c>
      <c r="T39" s="143" t="n"/>
      <c r="U39" s="143" t="n"/>
      <c r="V39" s="60" t="n"/>
      <c r="W39" s="60" t="n"/>
      <c r="X39" s="60" t="n"/>
    </row>
    <row r="40" ht="14.5" customHeight="1" s="286">
      <c r="B40" s="8" t="n"/>
      <c r="C40" s="9" t="n"/>
      <c r="H40" s="9" t="n"/>
      <c r="I40" s="9" t="n"/>
      <c r="J40" s="9" t="n"/>
      <c r="K40" s="9" t="n"/>
      <c r="L40" s="9" t="n"/>
      <c r="M40" s="9" t="n"/>
      <c r="N40" s="9" t="n"/>
      <c r="O40" s="9" t="n"/>
      <c r="P40" s="9" t="n"/>
      <c r="Q40" s="143" t="n"/>
      <c r="R40" s="143" t="n"/>
      <c r="S40" s="144" t="inlineStr">
        <is>
          <t>OTHER</t>
        </is>
      </c>
      <c r="T40" s="143" t="n"/>
      <c r="U40" s="143" t="n"/>
      <c r="V40" s="60" t="n"/>
      <c r="W40" s="60" t="n"/>
      <c r="X40" s="60" t="n"/>
    </row>
    <row r="41" ht="9.4" customHeight="1" s="286" thickBot="1">
      <c r="Q41" s="143" t="n"/>
      <c r="R41" s="143" t="n"/>
      <c r="S41" s="143" t="n"/>
      <c r="T41" s="143" t="n"/>
      <c r="U41" s="143" t="n"/>
      <c r="V41" s="60" t="n"/>
      <c r="W41" s="60" t="n"/>
      <c r="X41" s="60" t="n"/>
    </row>
    <row r="42" ht="9.4" customHeight="1" s="286" thickBot="1">
      <c r="B42" s="316" t="inlineStr">
        <is>
          <t>Residual Cancel Detail</t>
        </is>
      </c>
      <c r="C42" s="350" t="n"/>
      <c r="D42" s="350" t="n"/>
      <c r="E42" s="350" t="n"/>
      <c r="F42" s="350" t="n"/>
      <c r="G42" s="350" t="n"/>
      <c r="H42" s="350" t="n"/>
      <c r="I42" s="350" t="n"/>
      <c r="J42" s="350" t="n"/>
      <c r="K42" s="350" t="n"/>
      <c r="L42" s="350" t="n"/>
      <c r="M42" s="350" t="n"/>
      <c r="N42" s="350" t="n"/>
      <c r="O42" s="350" t="n"/>
      <c r="P42" s="350" t="n"/>
      <c r="Q42" s="143" t="n"/>
      <c r="R42" s="143" t="n"/>
      <c r="S42" s="143" t="n"/>
      <c r="T42" s="143" t="n"/>
      <c r="U42" s="143" t="n"/>
      <c r="V42" s="59" t="n"/>
      <c r="W42" s="60" t="n"/>
      <c r="X42" s="60" t="n"/>
    </row>
    <row r="43" ht="30.65" customHeight="1" s="286" thickBot="1">
      <c r="B43" s="70" t="inlineStr">
        <is>
          <t>Express Partner</t>
        </is>
      </c>
      <c r="C43" s="71" t="inlineStr">
        <is>
          <t>Scheduled Departures</t>
        </is>
      </c>
      <c r="D43" s="72" t="inlineStr">
        <is>
          <t>Weather &amp; ATC</t>
        </is>
      </c>
      <c r="E43" s="72" t="inlineStr">
        <is>
          <t>Technical Operations</t>
        </is>
      </c>
      <c r="F43" s="72" t="inlineStr">
        <is>
          <t>Flight Operations</t>
        </is>
      </c>
      <c r="G43" s="72" t="inlineStr">
        <is>
          <t>Inflight Services</t>
        </is>
      </c>
      <c r="H43" s="72" t="inlineStr">
        <is>
          <t>Airport Operations</t>
        </is>
      </c>
      <c r="I43" s="72" t="inlineStr">
        <is>
          <t>Network Operations</t>
        </is>
      </c>
      <c r="J43" s="72" t="inlineStr">
        <is>
          <t>IT</t>
        </is>
      </c>
      <c r="K43" s="72" t="inlineStr">
        <is>
          <t>Catering Operations</t>
        </is>
      </c>
      <c r="L43" s="72" t="inlineStr">
        <is>
          <t>Other</t>
        </is>
      </c>
      <c r="M43" s="73" t="inlineStr">
        <is>
          <t>Total Cancels</t>
        </is>
      </c>
      <c r="N43" s="74" t="inlineStr">
        <is>
          <t>ES covered for this partner</t>
        </is>
      </c>
      <c r="O43" s="74" t="inlineStr">
        <is>
          <t>Net Cancel</t>
        </is>
      </c>
      <c r="P43" s="74" t="inlineStr">
        <is>
          <t>ES covered by this partner</t>
        </is>
      </c>
      <c r="Q43" s="143" t="n"/>
      <c r="R43" s="143" t="n"/>
      <c r="S43" s="143" t="n"/>
      <c r="T43" s="143" t="n"/>
      <c r="U43" s="143" t="n"/>
      <c r="V43" s="59" t="n"/>
      <c r="W43" s="60" t="n"/>
      <c r="X43" s="60" t="n"/>
    </row>
    <row r="44" ht="13" customHeight="1" s="286">
      <c r="B44" s="191" t="inlineStr">
        <is>
          <t>OO - SkyWest</t>
        </is>
      </c>
      <c r="C44" s="81">
        <f>SUMIF(SCH_DEP_SQL_4!$A:$A,PAGE_1!R33,SCH_DEP_SQL_4!$E:$E)</f>
        <v/>
      </c>
      <c r="D44" s="190">
        <f>IF(SUMIFS(RES_CNXL_SQL_3!$F:$F,RES_CNXL_SQL_3!$A:$A,PAGE_1!$R33,RES_CNXL_SQL_3!$D:$D,PAGE_1!$S$32)=0,"",SUMIFS(RES_CNXL_SQL_3!$F:$F,RES_CNXL_SQL_3!$A:$A,PAGE_1!$R33,RES_CNXL_SQL_3!$D:$D,PAGE_1!$S$32))</f>
        <v/>
      </c>
      <c r="E44" s="190">
        <f>IF(SUMIFS(RES_CNXL_SQL_3!$F:$F,RES_CNXL_SQL_3!$A:$A,PAGE_1!$R33,RES_CNXL_SQL_3!$D:$D,PAGE_1!$S$33)=0,"",SUMIFS(RES_CNXL_SQL_3!$F:$F,RES_CNXL_SQL_3!$A:$A,PAGE_1!$R33,RES_CNXL_SQL_3!$D:$D,PAGE_1!$S$33))</f>
        <v/>
      </c>
      <c r="F44" s="190">
        <f>IF(SUMIFS(RES_CNXL_SQL_3!$F:$F,RES_CNXL_SQL_3!$A:$A,PAGE_1!$R33,RES_CNXL_SQL_3!$D:$D,PAGE_1!$S$34)=0,"",SUMIFS(RES_CNXL_SQL_3!$F:$F,RES_CNXL_SQL_3!$A:$A,PAGE_1!$R33,RES_CNXL_SQL_3!$D:$D,PAGE_1!$S$34))</f>
        <v/>
      </c>
      <c r="G44" s="190">
        <f>IF(SUMIFS(RES_CNXL_SQL_3!$F:$F,RES_CNXL_SQL_3!$A:$A,PAGE_1!$R33,RES_CNXL_SQL_3!$D:$D,PAGE_1!$S$35)=0,"",SUMIFS(RES_CNXL_SQL_3!$F:$F,RES_CNXL_SQL_3!$A:$A,PAGE_1!$R33,RES_CNXL_SQL_3!$D:$D,PAGE_1!$S$35))</f>
        <v/>
      </c>
      <c r="H44" s="190">
        <f>IF(SUMIFS(RES_CNXL_SQL_3!$F:$F,RES_CNXL_SQL_3!$A:$A,PAGE_1!$R33,RES_CNXL_SQL_3!$D:$D,PAGE_1!$S$36)=0,"",SUMIFS(RES_CNXL_SQL_3!$F:$F,RES_CNXL_SQL_3!$A:$A,PAGE_1!$R33,RES_CNXL_SQL_3!$D:$D,PAGE_1!$S$36))</f>
        <v/>
      </c>
      <c r="I44" s="190">
        <f>IF(SUMIFS(RES_CNXL_SQL_3!$F:$F,RES_CNXL_SQL_3!$A:$A,PAGE_1!$R33,RES_CNXL_SQL_3!$D:$D,PAGE_1!$S$37)=0,"",SUMIFS(RES_CNXL_SQL_3!$F:$F,RES_CNXL_SQL_3!$A:$A,PAGE_1!$R33,RES_CNXL_SQL_3!$D:$D,PAGE_1!$S$37))</f>
        <v/>
      </c>
      <c r="J44" s="190">
        <f>IF(SUMIFS(RES_CNXL_SQL_3!$F:$F,RES_CNXL_SQL_3!$A:$A,PAGE_1!$R33,RES_CNXL_SQL_3!$D:$D,PAGE_1!$S$38)=0,"",SUMIFS(RES_CNXL_SQL_3!$F:$F,RES_CNXL_SQL_3!$A:$A,PAGE_1!$R33,RES_CNXL_SQL_3!$D:$D,PAGE_1!$S$38))</f>
        <v/>
      </c>
      <c r="K44" s="190">
        <f>IF(SUMIFS(RES_CNXL_SQL_3!$F:$F,RES_CNXL_SQL_3!$A:$A,PAGE_1!$R33,RES_CNXL_SQL_3!$D:$D,PAGE_1!$S$39)=0,"",SUMIFS(RES_CNXL_SQL_3!$F:$F,RES_CNXL_SQL_3!$A:$A,PAGE_1!$R33,RES_CNXL_SQL_3!$D:$D,PAGE_1!$S$39))</f>
        <v/>
      </c>
      <c r="L44" s="190">
        <f>IF(SUMIFS(RES_CNXL_SQL_3!$F:$F,RES_CNXL_SQL_3!$A:$A,PAGE_1!$R33,RES_CNXL_SQL_3!$D:$D,PAGE_1!$S$40)=0,"",SUMIFS(RES_CNXL_SQL_3!$F:$F,RES_CNXL_SQL_3!$A:$A,PAGE_1!$R33,RES_CNXL_SQL_3!$D:$D,PAGE_1!$S$40))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IF(SUMIF(RES_CNXL_SQL_3!$E:$E,PAGE_1!R33,RES_CNXL_SQL_3!$F:$F)=0,"",SUMIF(RES_CNXL_SQL_3!$E:$E,PAGE_1!R33,RES_CNXL_SQL_3!$F:$F))</f>
        <v/>
      </c>
      <c r="Q44" s="59" t="n"/>
      <c r="R44" s="60" t="n"/>
      <c r="S44" s="60" t="n"/>
      <c r="T44" s="60" t="n"/>
      <c r="U44" s="60" t="n"/>
      <c r="V44" s="59" t="n"/>
      <c r="W44" s="60" t="n"/>
      <c r="X44" s="60" t="n"/>
    </row>
    <row r="45" ht="13" customHeight="1" s="286">
      <c r="B45" s="192" t="inlineStr">
        <is>
          <t>YX - Republic</t>
        </is>
      </c>
      <c r="C45" s="138">
        <f>SUMIF(SCH_DEP_SQL_4!$A:$A,PAGE_1!R35,SCH_DEP_SQL_4!$E:$E)</f>
        <v/>
      </c>
      <c r="D45" s="193">
        <f>IF(SUMIFS(RES_CNXL_SQL_3!$F:$F,RES_CNXL_SQL_3!$A:$A,PAGE_1!$R35,RES_CNXL_SQL_3!$D:$D,PAGE_1!$S$32)=0,"",SUMIFS(RES_CNXL_SQL_3!$F:$F,RES_CNXL_SQL_3!$A:$A,PAGE_1!$R35,RES_CNXL_SQL_3!$D:$D,PAGE_1!$S$32))</f>
        <v/>
      </c>
      <c r="E45" s="193">
        <f>IF(SUMIFS(RES_CNXL_SQL_3!$F:$F,RES_CNXL_SQL_3!$A:$A,PAGE_1!$R35,RES_CNXL_SQL_3!$D:$D,PAGE_1!$S$33)=0,"",SUMIFS(RES_CNXL_SQL_3!$F:$F,RES_CNXL_SQL_3!$A:$A,PAGE_1!$R35,RES_CNXL_SQL_3!$D:$D,PAGE_1!$S$33))</f>
        <v/>
      </c>
      <c r="F45" s="193">
        <f>IF(SUMIFS(RES_CNXL_SQL_3!$F:$F,RES_CNXL_SQL_3!$A:$A,PAGE_1!$R35,RES_CNXL_SQL_3!$D:$D,PAGE_1!$S$34)=0,"",SUMIFS(RES_CNXL_SQL_3!$F:$F,RES_CNXL_SQL_3!$A:$A,PAGE_1!$R35,RES_CNXL_SQL_3!$D:$D,PAGE_1!$S$34))</f>
        <v/>
      </c>
      <c r="G45" s="193">
        <f>IF(SUMIFS(RES_CNXL_SQL_3!$F:$F,RES_CNXL_SQL_3!$A:$A,PAGE_1!$R35,RES_CNXL_SQL_3!$D:$D,PAGE_1!$S$35)=0,"",SUMIFS(RES_CNXL_SQL_3!$F:$F,RES_CNXL_SQL_3!$A:$A,PAGE_1!$R35,RES_CNXL_SQL_3!$D:$D,PAGE_1!$S$35))</f>
        <v/>
      </c>
      <c r="H45" s="193">
        <f>IF(SUMIFS(RES_CNXL_SQL_3!$F:$F,RES_CNXL_SQL_3!$A:$A,PAGE_1!$R35,RES_CNXL_SQL_3!$D:$D,PAGE_1!$S$36)=0,"",SUMIFS(RES_CNXL_SQL_3!$F:$F,RES_CNXL_SQL_3!$A:$A,PAGE_1!$R35,RES_CNXL_SQL_3!$D:$D,PAGE_1!$S$36))</f>
        <v/>
      </c>
      <c r="I45" s="193">
        <f>IF(SUMIFS(RES_CNXL_SQL_3!$F:$F,RES_CNXL_SQL_3!$A:$A,PAGE_1!$R35,RES_CNXL_SQL_3!$D:$D,PAGE_1!$S$37)=0,"",SUMIFS(RES_CNXL_SQL_3!$F:$F,RES_CNXL_SQL_3!$A:$A,PAGE_1!$R35,RES_CNXL_SQL_3!$D:$D,PAGE_1!$S$37))</f>
        <v/>
      </c>
      <c r="J45" s="193">
        <f>IF(SUMIFS(RES_CNXL_SQL_3!$F:$F,RES_CNXL_SQL_3!$A:$A,PAGE_1!$R35,RES_CNXL_SQL_3!$D:$D,PAGE_1!$S$38)=0,"",SUMIFS(RES_CNXL_SQL_3!$F:$F,RES_CNXL_SQL_3!$A:$A,PAGE_1!$R35,RES_CNXL_SQL_3!$D:$D,PAGE_1!$S$38))</f>
        <v/>
      </c>
      <c r="K45" s="193">
        <f>IF(SUMIFS(RES_CNXL_SQL_3!$F:$F,RES_CNXL_SQL_3!$A:$A,PAGE_1!$R35,RES_CNXL_SQL_3!$D:$D,PAGE_1!$S$39)=0,"",SUMIFS(RES_CNXL_SQL_3!$F:$F,RES_CNXL_SQL_3!$A:$A,PAGE_1!$R35,RES_CNXL_SQL_3!$D:$D,PAGE_1!$S$39))</f>
        <v/>
      </c>
      <c r="L45" s="193">
        <f>IF(SUMIFS(RES_CNXL_SQL_3!$F:$F,RES_CNXL_SQL_3!$A:$A,PAGE_1!$R35,RES_CNXL_SQL_3!$D:$D,PAGE_1!$S$40)=0,"",SUMIFS(RES_CNXL_SQL_3!$F:$F,RES_CNXL_SQL_3!$A:$A,PAGE_1!$R35,RES_CNXL_SQL_3!$D:$D,PAGE_1!$S$40))</f>
        <v/>
      </c>
      <c r="M45" s="140">
        <f>IF(SUM(D45:L45)=0,"",SUM(D45:L45))</f>
        <v/>
      </c>
      <c r="N45" s="140">
        <f>ES_MATRIX!K17</f>
        <v/>
      </c>
      <c r="O45" s="140">
        <f>IFERROR(M45-ES_MATRIX!L17,"")</f>
        <v/>
      </c>
      <c r="P45" s="141">
        <f>IF(SUMIF(RES_CNXL_SQL_3!$E:$E,PAGE_1!R35,RES_CNXL_SQL_3!$F:$F)=0,"",SUMIF(RES_CNXL_SQL_3!$E:$E,PAGE_1!R35,RES_CNXL_SQL_3!$F:$F))</f>
        <v/>
      </c>
      <c r="Q45" s="59" t="n"/>
      <c r="R45" s="59" t="n"/>
      <c r="S45" s="59" t="n"/>
      <c r="T45" s="59" t="n"/>
      <c r="U45" s="59" t="n"/>
      <c r="V45" s="59" t="n"/>
      <c r="W45" s="60" t="n"/>
      <c r="X45" s="60" t="n"/>
    </row>
    <row r="46" ht="13" customHeight="1" s="286">
      <c r="B46" s="191" t="inlineStr">
        <is>
          <t>G7 - Go Jet</t>
        </is>
      </c>
      <c r="C46" s="81">
        <f>SUMIF(SCH_DEP_SQL_4!$A:$A,PAGE_1!R36,SCH_DEP_SQL_4!$E:$E)</f>
        <v/>
      </c>
      <c r="D46" s="190">
        <f>IF(SUMIFS(RES_CNXL_SQL_3!$F:$F,RES_CNXL_SQL_3!$A:$A,PAGE_1!$R36,RES_CNXL_SQL_3!$D:$D,PAGE_1!$S$32)=0,"",SUMIFS(RES_CNXL_SQL_3!$F:$F,RES_CNXL_SQL_3!$A:$A,PAGE_1!$R36,RES_CNXL_SQL_3!$D:$D,PAGE_1!$S$32))</f>
        <v/>
      </c>
      <c r="E46" s="190">
        <f>IF(SUMIFS(RES_CNXL_SQL_3!$F:$F,RES_CNXL_SQL_3!$A:$A,PAGE_1!$R36,RES_CNXL_SQL_3!$D:$D,PAGE_1!$S$33)=0,"",SUMIFS(RES_CNXL_SQL_3!$F:$F,RES_CNXL_SQL_3!$A:$A,PAGE_1!$R36,RES_CNXL_SQL_3!$D:$D,PAGE_1!$S$33))</f>
        <v/>
      </c>
      <c r="F46" s="190">
        <f>IF(SUMIFS(RES_CNXL_SQL_3!$F:$F,RES_CNXL_SQL_3!$A:$A,PAGE_1!$R36,RES_CNXL_SQL_3!$D:$D,PAGE_1!$S$34)=0,"",SUMIFS(RES_CNXL_SQL_3!$F:$F,RES_CNXL_SQL_3!$A:$A,PAGE_1!$R36,RES_CNXL_SQL_3!$D:$D,PAGE_1!$S$34))</f>
        <v/>
      </c>
      <c r="G46" s="190">
        <f>IF(SUMIFS(RES_CNXL_SQL_3!$F:$F,RES_CNXL_SQL_3!$A:$A,PAGE_1!$R36,RES_CNXL_SQL_3!$D:$D,PAGE_1!$S$35)=0,"",SUMIFS(RES_CNXL_SQL_3!$F:$F,RES_CNXL_SQL_3!$A:$A,PAGE_1!$R36,RES_CNXL_SQL_3!$D:$D,PAGE_1!$S$35))</f>
        <v/>
      </c>
      <c r="H46" s="190">
        <f>IF(SUMIFS(RES_CNXL_SQL_3!$F:$F,RES_CNXL_SQL_3!$A:$A,PAGE_1!$R36,RES_CNXL_SQL_3!$D:$D,PAGE_1!$S$36)=0,"",SUMIFS(RES_CNXL_SQL_3!$F:$F,RES_CNXL_SQL_3!$A:$A,PAGE_1!$R36,RES_CNXL_SQL_3!$D:$D,PAGE_1!$S$36))</f>
        <v/>
      </c>
      <c r="I46" s="190">
        <f>IF(SUMIFS(RES_CNXL_SQL_3!$F:$F,RES_CNXL_SQL_3!$A:$A,PAGE_1!$R36,RES_CNXL_SQL_3!$D:$D,PAGE_1!$S$37)=0,"",SUMIFS(RES_CNXL_SQL_3!$F:$F,RES_CNXL_SQL_3!$A:$A,PAGE_1!$R36,RES_CNXL_SQL_3!$D:$D,PAGE_1!$S$37))</f>
        <v/>
      </c>
      <c r="J46" s="190">
        <f>IF(SUMIFS(RES_CNXL_SQL_3!$F:$F,RES_CNXL_SQL_3!$A:$A,PAGE_1!$R36,RES_CNXL_SQL_3!$D:$D,PAGE_1!$S$38)=0,"",SUMIFS(RES_CNXL_SQL_3!$F:$F,RES_CNXL_SQL_3!$A:$A,PAGE_1!$R36,RES_CNXL_SQL_3!$D:$D,PAGE_1!$S$38))</f>
        <v/>
      </c>
      <c r="K46" s="190">
        <f>IF(SUMIFS(RES_CNXL_SQL_3!$F:$F,RES_CNXL_SQL_3!$A:$A,PAGE_1!$R36,RES_CNXL_SQL_3!$D:$D,PAGE_1!$S$39)=0,"",SUMIFS(RES_CNXL_SQL_3!$F:$F,RES_CNXL_SQL_3!$A:$A,PAGE_1!$R36,RES_CNXL_SQL_3!$D:$D,PAGE_1!$S$39))</f>
        <v/>
      </c>
      <c r="L46" s="190">
        <f>IF(SUMIFS(RES_CNXL_SQL_3!$F:$F,RES_CNXL_SQL_3!$A:$A,PAGE_1!$R36,RES_CNXL_SQL_3!$D:$D,PAGE_1!$S$40)=0,"",SUMIFS(RES_CNXL_SQL_3!$F:$F,RES_CNXL_SQL_3!$A:$A,PAGE_1!$R36,RES_CNXL_SQL_3!$D:$D,PAGE_1!$S$40))</f>
        <v/>
      </c>
      <c r="M46" s="41">
        <f>IF(SUM(D46:L46)=0,"",SUM(D46:L46))</f>
        <v/>
      </c>
      <c r="N46" s="18">
        <f>ES_MATRIX!K18</f>
        <v/>
      </c>
      <c r="O46" s="18">
        <f>IFERROR(M46-ES_MATRIX!L18,"")</f>
        <v/>
      </c>
      <c r="P46" s="16">
        <f>IF(SUMIF(RES_CNXL_SQL_3!$E:$E,PAGE_1!R36,RES_CNXL_SQL_3!$F:$F)=0,"",SUMIF(RES_CNXL_SQL_3!$E:$E,PAGE_1!R36,RES_CNXL_SQL_3!$F:$F))</f>
        <v/>
      </c>
      <c r="Q46" s="60" t="n"/>
      <c r="R46" s="60" t="n"/>
      <c r="S46" s="60" t="n"/>
      <c r="T46" s="60" t="n"/>
      <c r="U46" s="60" t="n"/>
      <c r="V46" s="60" t="n"/>
      <c r="W46" s="60" t="n"/>
      <c r="X46" s="60" t="n"/>
    </row>
    <row r="47" ht="13" customHeight="1" s="286">
      <c r="B47" s="192" t="inlineStr">
        <is>
          <t>C5 - CommutAir</t>
        </is>
      </c>
      <c r="C47" s="138">
        <f>SUMIF(SCH_DEP_SQL_4!$A:$A,PAGE_1!R37,SCH_DEP_SQL_4!$E:$E)</f>
        <v/>
      </c>
      <c r="D47" s="193">
        <f>IF(SUMIFS(RES_CNXL_SQL_3!$F:$F,RES_CNXL_SQL_3!$A:$A,PAGE_1!$R37,RES_CNXL_SQL_3!$D:$D,PAGE_1!$S$32)=0,"",SUMIFS(RES_CNXL_SQL_3!$F:$F,RES_CNXL_SQL_3!$A:$A,PAGE_1!$R37,RES_CNXL_SQL_3!$D:$D,PAGE_1!$S$32))</f>
        <v/>
      </c>
      <c r="E47" s="193">
        <f>IF(SUMIFS(RES_CNXL_SQL_3!$F:$F,RES_CNXL_SQL_3!$A:$A,PAGE_1!$R37,RES_CNXL_SQL_3!$D:$D,PAGE_1!$S$33)=0,"",SUMIFS(RES_CNXL_SQL_3!$F:$F,RES_CNXL_SQL_3!$A:$A,PAGE_1!$R37,RES_CNXL_SQL_3!$D:$D,PAGE_1!$S$33))</f>
        <v/>
      </c>
      <c r="F47" s="193">
        <f>IF(SUMIFS(RES_CNXL_SQL_3!$F:$F,RES_CNXL_SQL_3!$A:$A,PAGE_1!$R37,RES_CNXL_SQL_3!$D:$D,PAGE_1!$S$34)=0,"",SUMIFS(RES_CNXL_SQL_3!$F:$F,RES_CNXL_SQL_3!$A:$A,PAGE_1!$R37,RES_CNXL_SQL_3!$D:$D,PAGE_1!$S$34))</f>
        <v/>
      </c>
      <c r="G47" s="193">
        <f>IF(SUMIFS(RES_CNXL_SQL_3!$F:$F,RES_CNXL_SQL_3!$A:$A,PAGE_1!$R37,RES_CNXL_SQL_3!$D:$D,PAGE_1!$S$35)=0,"",SUMIFS(RES_CNXL_SQL_3!$F:$F,RES_CNXL_SQL_3!$A:$A,PAGE_1!$R37,RES_CNXL_SQL_3!$D:$D,PAGE_1!$S$35))</f>
        <v/>
      </c>
      <c r="H47" s="193">
        <f>IF(SUMIFS(RES_CNXL_SQL_3!$F:$F,RES_CNXL_SQL_3!$A:$A,PAGE_1!$R37,RES_CNXL_SQL_3!$D:$D,PAGE_1!$S$36)=0,"",SUMIFS(RES_CNXL_SQL_3!$F:$F,RES_CNXL_SQL_3!$A:$A,PAGE_1!$R37,RES_CNXL_SQL_3!$D:$D,PAGE_1!$S$36))</f>
        <v/>
      </c>
      <c r="I47" s="193">
        <f>IF(SUMIFS(RES_CNXL_SQL_3!$F:$F,RES_CNXL_SQL_3!$A:$A,PAGE_1!$R37,RES_CNXL_SQL_3!$D:$D,PAGE_1!$S$37)=0,"",SUMIFS(RES_CNXL_SQL_3!$F:$F,RES_CNXL_SQL_3!$A:$A,PAGE_1!$R37,RES_CNXL_SQL_3!$D:$D,PAGE_1!$S$37))</f>
        <v/>
      </c>
      <c r="J47" s="193">
        <f>IF(SUMIFS(RES_CNXL_SQL_3!$F:$F,RES_CNXL_SQL_3!$A:$A,PAGE_1!$R37,RES_CNXL_SQL_3!$D:$D,PAGE_1!$S$38)=0,"",SUMIFS(RES_CNXL_SQL_3!$F:$F,RES_CNXL_SQL_3!$A:$A,PAGE_1!$R37,RES_CNXL_SQL_3!$D:$D,PAGE_1!$S$38))</f>
        <v/>
      </c>
      <c r="K47" s="193">
        <f>IF(SUMIFS(RES_CNXL_SQL_3!$F:$F,RES_CNXL_SQL_3!$A:$A,PAGE_1!$R37,RES_CNXL_SQL_3!$D:$D,PAGE_1!$S$39)=0,"",SUMIFS(RES_CNXL_SQL_3!$F:$F,RES_CNXL_SQL_3!$A:$A,PAGE_1!$R37,RES_CNXL_SQL_3!$D:$D,PAGE_1!$S$39))</f>
        <v/>
      </c>
      <c r="L47" s="193">
        <f>IF(SUMIFS(RES_CNXL_SQL_3!$F:$F,RES_CNXL_SQL_3!$A:$A,PAGE_1!$R37,RES_CNXL_SQL_3!$D:$D,PAGE_1!$S$40)=0,"",SUMIFS(RES_CNXL_SQL_3!$F:$F,RES_CNXL_SQL_3!$A:$A,PAGE_1!$R37,RES_CNXL_SQL_3!$D:$D,PAGE_1!$S$40))</f>
        <v/>
      </c>
      <c r="M47" s="142">
        <f>IF(SUM(D47:L47)=0,"",SUM(D47:L47))</f>
        <v/>
      </c>
      <c r="N47" s="140">
        <f>ES_MATRIX!K19</f>
        <v/>
      </c>
      <c r="O47" s="140">
        <f>IFERROR(M47-ES_MATRIX!L19,"")</f>
        <v/>
      </c>
      <c r="P47" s="141">
        <f>IF(SUMIF(RES_CNXL_SQL_3!$E:$E,PAGE_1!R37,RES_CNXL_SQL_3!$F:$F)=0,"",SUMIF(RES_CNXL_SQL_3!$E:$E,PAGE_1!R37,RES_CNXL_SQL_3!$F:$F))</f>
        <v/>
      </c>
    </row>
    <row r="48" ht="13" customHeight="1" s="286">
      <c r="B48" s="191" t="inlineStr">
        <is>
          <t>YV - Mesa</t>
        </is>
      </c>
      <c r="C48" s="81">
        <f>SUMIF(SCH_DEP_SQL_4!$A:$A,PAGE_1!R38,SCH_DEP_SQL_4!$E:$E)</f>
        <v/>
      </c>
      <c r="D48" s="190">
        <f>IF(SUMIFS(RES_CNXL_SQL_3!$F:$F,RES_CNXL_SQL_3!$A:$A,PAGE_1!$R38,RES_CNXL_SQL_3!$D:$D,PAGE_1!$S$32)=0,"",SUMIFS(RES_CNXL_SQL_3!$F:$F,RES_CNXL_SQL_3!$A:$A,PAGE_1!$R38,RES_CNXL_SQL_3!$D:$D,PAGE_1!$S$32))</f>
        <v/>
      </c>
      <c r="E48" s="190">
        <f>IF(SUMIFS(RES_CNXL_SQL_3!$F:$F,RES_CNXL_SQL_3!$A:$A,PAGE_1!$R38,RES_CNXL_SQL_3!$D:$D,PAGE_1!$S$33)=0,"",SUMIFS(RES_CNXL_SQL_3!$F:$F,RES_CNXL_SQL_3!$A:$A,PAGE_1!$R38,RES_CNXL_SQL_3!$D:$D,PAGE_1!$S$33))</f>
        <v/>
      </c>
      <c r="F48" s="190">
        <f>IF(SUMIFS(RES_CNXL_SQL_3!$F:$F,RES_CNXL_SQL_3!$A:$A,PAGE_1!$R38,RES_CNXL_SQL_3!$D:$D,PAGE_1!$S$34)=0,"",SUMIFS(RES_CNXL_SQL_3!$F:$F,RES_CNXL_SQL_3!$A:$A,PAGE_1!$R38,RES_CNXL_SQL_3!$D:$D,PAGE_1!$S$34))</f>
        <v/>
      </c>
      <c r="G48" s="190">
        <f>IF(SUMIFS(RES_CNXL_SQL_3!$F:$F,RES_CNXL_SQL_3!$A:$A,PAGE_1!$R38,RES_CNXL_SQL_3!$D:$D,PAGE_1!$S$35)=0,"",SUMIFS(RES_CNXL_SQL_3!$F:$F,RES_CNXL_SQL_3!$A:$A,PAGE_1!$R38,RES_CNXL_SQL_3!$D:$D,PAGE_1!$S$35))</f>
        <v/>
      </c>
      <c r="H48" s="190">
        <f>IF(SUMIFS(RES_CNXL_SQL_3!$F:$F,RES_CNXL_SQL_3!$A:$A,PAGE_1!$R38,RES_CNXL_SQL_3!$D:$D,PAGE_1!$S$36)=0,"",SUMIFS(RES_CNXL_SQL_3!$F:$F,RES_CNXL_SQL_3!$A:$A,PAGE_1!$R38,RES_CNXL_SQL_3!$D:$D,PAGE_1!$S$36))</f>
        <v/>
      </c>
      <c r="I48" s="190">
        <f>IF(SUMIFS(RES_CNXL_SQL_3!$F:$F,RES_CNXL_SQL_3!$A:$A,PAGE_1!$R38,RES_CNXL_SQL_3!$D:$D,PAGE_1!$S$37)=0,"",SUMIFS(RES_CNXL_SQL_3!$F:$F,RES_CNXL_SQL_3!$A:$A,PAGE_1!$R38,RES_CNXL_SQL_3!$D:$D,PAGE_1!$S$37))</f>
        <v/>
      </c>
      <c r="J48" s="190">
        <f>IF(SUMIFS(RES_CNXL_SQL_3!$F:$F,RES_CNXL_SQL_3!$A:$A,PAGE_1!$R38,RES_CNXL_SQL_3!$D:$D,PAGE_1!$S$38)=0,"",SUMIFS(RES_CNXL_SQL_3!$F:$F,RES_CNXL_SQL_3!$A:$A,PAGE_1!$R38,RES_CNXL_SQL_3!$D:$D,PAGE_1!$S$38))</f>
        <v/>
      </c>
      <c r="K48" s="190">
        <f>IF(SUMIFS(RES_CNXL_SQL_3!$F:$F,RES_CNXL_SQL_3!$A:$A,PAGE_1!$R38,RES_CNXL_SQL_3!$D:$D,PAGE_1!$S$39)=0,"",SUMIFS(RES_CNXL_SQL_3!$F:$F,RES_CNXL_SQL_3!$A:$A,PAGE_1!$R38,RES_CNXL_SQL_3!$D:$D,PAGE_1!$S$39))</f>
        <v/>
      </c>
      <c r="L48" s="190">
        <f>IF(SUMIFS(RES_CNXL_SQL_3!$F:$F,RES_CNXL_SQL_3!$A:$A,PAGE_1!$R38,RES_CNXL_SQL_3!$D:$D,PAGE_1!$S$40)=0,"",SUMIFS(RES_CNXL_SQL_3!$F:$F,RES_CNXL_SQL_3!$A:$A,PAGE_1!$R38,RES_CNXL_SQL_3!$D:$D,PAGE_1!$S$40))</f>
        <v/>
      </c>
      <c r="M48" s="41">
        <f>IF(SUM(D48:L48)=0,"",SUM(D48:L48))</f>
        <v/>
      </c>
      <c r="N48" s="18">
        <f>ES_MATRIX!K20</f>
        <v/>
      </c>
      <c r="O48" s="18">
        <f>IFERROR(M48-ES_MATRIX!L20,"")</f>
        <v/>
      </c>
      <c r="P48" s="16">
        <f>IF(SUMIF(RES_CNXL_SQL_3!$E:$E,PAGE_1!R38,RES_CNXL_SQL_3!$F:$F)=0,"",SUMIF(RES_CNXL_SQL_3!$E:$E,PAGE_1!R38,RES_CNXL_SQL_3!$F:$F))</f>
        <v/>
      </c>
    </row>
    <row r="49" ht="13.5" customHeight="1" s="286" thickBot="1">
      <c r="B49" s="192" t="inlineStr">
        <is>
          <t>ZW - Air Wisconsin</t>
        </is>
      </c>
      <c r="C49" s="138">
        <f>SUMIF(SCH_DEP_SQL_4!$A:$A,PAGE_1!R39,SCH_DEP_SQL_4!$E:$E)</f>
        <v/>
      </c>
      <c r="D49" s="193">
        <f>IF(SUMIFS(RES_CNXL_SQL_3!$F:$F,RES_CNXL_SQL_3!$A:$A,PAGE_1!$R39,RES_CNXL_SQL_3!$D:$D,PAGE_1!$S$32)=0,"",SUMIFS(RES_CNXL_SQL_3!$F:$F,RES_CNXL_SQL_3!$A:$A,PAGE_1!$R39,RES_CNXL_SQL_3!$D:$D,PAGE_1!$S$32))</f>
        <v/>
      </c>
      <c r="E49" s="193">
        <f>IF(SUMIFS(RES_CNXL_SQL_3!$F:$F,RES_CNXL_SQL_3!$A:$A,PAGE_1!$R39,RES_CNXL_SQL_3!$D:$D,PAGE_1!$S$33)=0,"",SUMIFS(RES_CNXL_SQL_3!$F:$F,RES_CNXL_SQL_3!$A:$A,PAGE_1!$R39,RES_CNXL_SQL_3!$D:$D,PAGE_1!$S$33))</f>
        <v/>
      </c>
      <c r="F49" s="193">
        <f>IF(SUMIFS(RES_CNXL_SQL_3!$F:$F,RES_CNXL_SQL_3!$A:$A,PAGE_1!$R39,RES_CNXL_SQL_3!$D:$D,PAGE_1!$S$34)=0,"",SUMIFS(RES_CNXL_SQL_3!$F:$F,RES_CNXL_SQL_3!$A:$A,PAGE_1!$R39,RES_CNXL_SQL_3!$D:$D,PAGE_1!$S$34))</f>
        <v/>
      </c>
      <c r="G49" s="193">
        <f>IF(SUMIFS(RES_CNXL_SQL_3!$F:$F,RES_CNXL_SQL_3!$A:$A,PAGE_1!$R39,RES_CNXL_SQL_3!$D:$D,PAGE_1!$S$35)=0,"",SUMIFS(RES_CNXL_SQL_3!$F:$F,RES_CNXL_SQL_3!$A:$A,PAGE_1!$R39,RES_CNXL_SQL_3!$D:$D,PAGE_1!$S$35))</f>
        <v/>
      </c>
      <c r="H49" s="193">
        <f>IF(SUMIFS(RES_CNXL_SQL_3!$F:$F,RES_CNXL_SQL_3!$A:$A,PAGE_1!$R39,RES_CNXL_SQL_3!$D:$D,PAGE_1!$S$36)=0,"",SUMIFS(RES_CNXL_SQL_3!$F:$F,RES_CNXL_SQL_3!$A:$A,PAGE_1!$R39,RES_CNXL_SQL_3!$D:$D,PAGE_1!$S$36))</f>
        <v/>
      </c>
      <c r="I49" s="193">
        <f>IF(SUMIFS(RES_CNXL_SQL_3!$F:$F,RES_CNXL_SQL_3!$A:$A,PAGE_1!$R39,RES_CNXL_SQL_3!$D:$D,PAGE_1!$S$37)=0,"",SUMIFS(RES_CNXL_SQL_3!$F:$F,RES_CNXL_SQL_3!$A:$A,PAGE_1!$R39,RES_CNXL_SQL_3!$D:$D,PAGE_1!$S$37))</f>
        <v/>
      </c>
      <c r="J49" s="193">
        <f>IF(SUMIFS(RES_CNXL_SQL_3!$F:$F,RES_CNXL_SQL_3!$A:$A,PAGE_1!$R39,RES_CNXL_SQL_3!$D:$D,PAGE_1!$S$38)=0,"",SUMIFS(RES_CNXL_SQL_3!$F:$F,RES_CNXL_SQL_3!$A:$A,PAGE_1!$R39,RES_CNXL_SQL_3!$D:$D,PAGE_1!$S$38))</f>
        <v/>
      </c>
      <c r="K49" s="193">
        <f>IF(SUMIFS(RES_CNXL_SQL_3!$F:$F,RES_CNXL_SQL_3!$A:$A,PAGE_1!$R39,RES_CNXL_SQL_3!$D:$D,PAGE_1!$S$39)=0,"",SUMIFS(RES_CNXL_SQL_3!$F:$F,RES_CNXL_SQL_3!$A:$A,PAGE_1!$R39,RES_CNXL_SQL_3!$D:$D,PAGE_1!$S$39))</f>
        <v/>
      </c>
      <c r="L49" s="193">
        <f>IF(SUMIFS(RES_CNXL_SQL_3!$F:$F,RES_CNXL_SQL_3!$A:$A,PAGE_1!$R39,RES_CNXL_SQL_3!$D:$D,PAGE_1!$S$40)=0,"",SUMIFS(RES_CNXL_SQL_3!$F:$F,RES_CNXL_SQL_3!$A:$A,PAGE_1!$R39,RES_CNXL_SQL_3!$D:$D,PAGE_1!$S$40))</f>
        <v/>
      </c>
      <c r="M49" s="140">
        <f>IF(SUM(D49:L49)=0,"",SUM(D49:L49))</f>
        <v/>
      </c>
      <c r="N49" s="140">
        <f>ES_MATRIX!K21</f>
        <v/>
      </c>
      <c r="O49" s="140">
        <f>IFERROR(M49-ES_MATRIX!L21,"")</f>
        <v/>
      </c>
      <c r="P49" s="141">
        <f>IF(SUMIF(RES_CNXL_SQL_3!$E:$E,PAGE_1!R39,RES_CNXL_SQL_3!$F:$F)=0,"",SUMIF(RES_CNXL_SQL_3!$E:$E,PAGE_1!R39,RES_CNXL_SQL_3!$F:$F))</f>
        <v/>
      </c>
    </row>
    <row r="50" ht="13.5" customHeight="1" s="286" thickBot="1">
      <c r="B50" s="68" t="inlineStr">
        <is>
          <t>Total:</t>
        </is>
      </c>
      <c r="C50" s="82">
        <f>SUM(C44:C49)</f>
        <v/>
      </c>
      <c r="D50" s="22">
        <f>IF(SUM(D44:D49)=0,"",SUM(D44:D49))</f>
        <v/>
      </c>
      <c r="E50" s="22">
        <f>IF(SUM(E44:E49)=0,"",SUM(E44:E49))</f>
        <v/>
      </c>
      <c r="F50" s="22">
        <f>IF(SUM(F44:F49)=0,"",SUM(F44:F49))</f>
        <v/>
      </c>
      <c r="G50" s="22">
        <f>IF(SUM(G44:G49)=0,"",SUM(G44:G49))</f>
        <v/>
      </c>
      <c r="H50" s="22">
        <f>IF(SUM(H44:H49)=0,"",SUM(H44:H49))</f>
        <v/>
      </c>
      <c r="I50" s="22">
        <f>IF(SUM(I44:I49)=0,"",SUM(I44:I49))</f>
        <v/>
      </c>
      <c r="J50" s="22">
        <f>IF(SUM(J44:J49)=0,"",SUM(J44:J49))</f>
        <v/>
      </c>
      <c r="K50" s="22">
        <f>IF(SUM(K44:K49)=0,"",SUM(K44:K49))</f>
        <v/>
      </c>
      <c r="L50" s="22">
        <f>IF(SUM(L44:L49)=0,"",SUM(L44:L49))</f>
        <v/>
      </c>
      <c r="M50" s="23">
        <f>SUM(M44:M49)</f>
        <v/>
      </c>
      <c r="N50" s="23" t="n"/>
      <c r="O50" s="23">
        <f>SUM(O44:O49)</f>
        <v/>
      </c>
      <c r="P50" s="23">
        <f>SUM(P44:P49)</f>
        <v/>
      </c>
    </row>
    <row r="51">
      <c r="C51" s="69" t="n"/>
    </row>
    <row r="55" ht="21" customHeight="1" s="286"/>
  </sheetData>
  <mergeCells count="6">
    <mergeCell ref="B2:C2"/>
    <mergeCell ref="D2:E2"/>
    <mergeCell ref="B42:P42"/>
    <mergeCell ref="B4:H4"/>
    <mergeCell ref="B18:M18"/>
    <mergeCell ref="B30:P30"/>
  </mergeCells>
  <conditionalFormatting sqref="F6">
    <cfRule type="cellIs" priority="230" operator="greaterThanOrEqual" dxfId="1">
      <formula>0</formula>
    </cfRule>
    <cfRule type="cellIs" priority="232" operator="lessThan" dxfId="0">
      <formula>0</formula>
    </cfRule>
  </conditionalFormatting>
  <conditionalFormatting sqref="G6">
    <cfRule type="cellIs" priority="227" operator="greaterThanOrEqual" dxfId="121">
      <formula>0</formula>
    </cfRule>
    <cfRule type="cellIs" priority="229" operator="lessThan" dxfId="0">
      <formula>0</formula>
    </cfRule>
  </conditionalFormatting>
  <conditionalFormatting sqref="G7">
    <cfRule type="cellIs" priority="224" operator="greaterThan" dxfId="71">
      <formula>0</formula>
    </cfRule>
    <cfRule type="cellIs" priority="226" operator="lessThan" dxfId="0">
      <formula>0</formula>
    </cfRule>
  </conditionalFormatting>
  <conditionalFormatting sqref="G8">
    <cfRule type="cellIs" priority="221" operator="greaterThan" dxfId="71">
      <formula>0</formula>
    </cfRule>
    <cfRule type="cellIs" priority="223" operator="lessThan" dxfId="0">
      <formula>0</formula>
    </cfRule>
  </conditionalFormatting>
  <conditionalFormatting sqref="F8">
    <cfRule type="cellIs" priority="218" operator="greaterThan" dxfId="71">
      <formula>0</formula>
    </cfRule>
    <cfRule type="cellIs" priority="220" operator="lessThan" dxfId="0">
      <formula>0</formula>
    </cfRule>
  </conditionalFormatting>
  <conditionalFormatting sqref="J24">
    <cfRule type="cellIs" priority="127" operator="greaterThanOrEqual" dxfId="121">
      <formula>0</formula>
    </cfRule>
    <cfRule type="cellIs" priority="128" operator="lessThan" dxfId="0">
      <formula>0</formula>
    </cfRule>
  </conditionalFormatting>
  <conditionalFormatting sqref="K24">
    <cfRule type="cellIs" priority="125" operator="greaterThanOrEqual" dxfId="121">
      <formula>0</formula>
    </cfRule>
    <cfRule type="cellIs" priority="126" operator="lessThan" dxfId="0">
      <formula>0</formula>
    </cfRule>
  </conditionalFormatting>
  <conditionalFormatting sqref="F7">
    <cfRule type="cellIs" priority="108" operator="greaterThan" dxfId="71">
      <formula>0</formula>
    </cfRule>
    <cfRule type="cellIs" priority="109" operator="lessThan" dxfId="0">
      <formula>0</formula>
    </cfRule>
  </conditionalFormatting>
  <conditionalFormatting sqref="K25">
    <cfRule type="cellIs" priority="106" operator="greaterThanOrEqual" dxfId="121">
      <formula>0</formula>
    </cfRule>
    <cfRule type="cellIs" priority="107" operator="lessThan" dxfId="0">
      <formula>0</formula>
    </cfRule>
  </conditionalFormatting>
  <conditionalFormatting sqref="L26">
    <cfRule type="cellIs" priority="104" operator="greaterThanOrEqual" dxfId="121">
      <formula>0</formula>
    </cfRule>
    <cfRule type="cellIs" priority="105" operator="lessThan" dxfId="0">
      <formula>0</formula>
    </cfRule>
  </conditionalFormatting>
  <conditionalFormatting sqref="K23">
    <cfRule type="cellIs" priority="102" operator="greaterThanOrEqual" dxfId="121">
      <formula>0</formula>
    </cfRule>
    <cfRule type="cellIs" priority="103" operator="lessThan" dxfId="0">
      <formula>0</formula>
    </cfRule>
  </conditionalFormatting>
  <conditionalFormatting sqref="J22">
    <cfRule type="cellIs" priority="100" operator="greaterThanOrEqual" dxfId="121">
      <formula>0</formula>
    </cfRule>
    <cfRule type="cellIs" priority="101" operator="lessThan" dxfId="0">
      <formula>0</formula>
    </cfRule>
  </conditionalFormatting>
  <conditionalFormatting sqref="J21">
    <cfRule type="cellIs" priority="98" operator="greaterThanOrEqual" dxfId="121">
      <formula>0</formula>
    </cfRule>
    <cfRule type="cellIs" priority="99" operator="lessThan" dxfId="0">
      <formula>0</formula>
    </cfRule>
  </conditionalFormatting>
  <conditionalFormatting sqref="K21">
    <cfRule type="cellIs" priority="96" operator="greaterThanOrEqual" dxfId="121">
      <formula>0</formula>
    </cfRule>
    <cfRule type="cellIs" priority="97" operator="lessThan" dxfId="0">
      <formula>0</formula>
    </cfRule>
  </conditionalFormatting>
  <conditionalFormatting sqref="F21:F25">
    <cfRule type="cellIs" priority="92" operator="greaterThanOrEqual" dxfId="121">
      <formula>0</formula>
    </cfRule>
    <cfRule type="cellIs" priority="93" operator="lessThan" dxfId="0">
      <formula>0</formula>
    </cfRule>
  </conditionalFormatting>
  <conditionalFormatting sqref="E21:E22">
    <cfRule type="cellIs" priority="90" operator="greaterThanOrEqual" dxfId="121">
      <formula>0</formula>
    </cfRule>
    <cfRule type="cellIs" priority="91" operator="lessThan" dxfId="0">
      <formula>0</formula>
    </cfRule>
  </conditionalFormatting>
  <conditionalFormatting sqref="E25">
    <cfRule type="cellIs" priority="88" operator="greaterThanOrEqual" dxfId="121">
      <formula>0</formula>
    </cfRule>
    <cfRule type="cellIs" priority="89" operator="lessThan" dxfId="0">
      <formula>0</formula>
    </cfRule>
  </conditionalFormatting>
  <conditionalFormatting sqref="G26">
    <cfRule type="cellIs" priority="86" operator="greaterThanOrEqual" dxfId="121">
      <formula>0</formula>
    </cfRule>
    <cfRule type="cellIs" priority="87" operator="lessThan" dxfId="0">
      <formula>0</formula>
    </cfRule>
  </conditionalFormatting>
  <conditionalFormatting sqref="L27">
    <cfRule type="cellIs" priority="82" operator="greaterThanOrEqual" dxfId="121">
      <formula>0</formula>
    </cfRule>
    <cfRule type="cellIs" priority="83" operator="lessThan" dxfId="0">
      <formula>0</formula>
    </cfRule>
  </conditionalFormatting>
  <conditionalFormatting sqref="E24">
    <cfRule type="cellIs" priority="78" operator="greaterThanOrEqual" dxfId="121">
      <formula>0</formula>
    </cfRule>
    <cfRule type="cellIs" priority="79" operator="lessThan" dxfId="0">
      <formula>0</formula>
    </cfRule>
  </conditionalFormatting>
  <conditionalFormatting sqref="E27">
    <cfRule type="cellIs" priority="76" operator="greaterThanOrEqual" dxfId="121">
      <formula>0</formula>
    </cfRule>
    <cfRule type="cellIs" priority="77" operator="lessThan" dxfId="0">
      <formula>0</formula>
    </cfRule>
  </conditionalFormatting>
  <conditionalFormatting sqref="F27">
    <cfRule type="cellIs" priority="74" operator="greaterThanOrEqual" dxfId="121">
      <formula>0</formula>
    </cfRule>
    <cfRule type="cellIs" priority="75" operator="lessThan" dxfId="0">
      <formula>0</formula>
    </cfRule>
  </conditionalFormatting>
  <conditionalFormatting sqref="G25">
    <cfRule type="cellIs" priority="72" operator="greaterThanOrEqual" dxfId="121">
      <formula>0</formula>
    </cfRule>
    <cfRule type="cellIs" priority="73" operator="lessThan" dxfId="0">
      <formula>0</formula>
    </cfRule>
  </conditionalFormatting>
  <conditionalFormatting sqref="G27">
    <cfRule type="cellIs" priority="70" operator="greaterThanOrEqual" dxfId="121">
      <formula>0</formula>
    </cfRule>
    <cfRule type="cellIs" priority="71" operator="lessThan" dxfId="0">
      <formula>0</formula>
    </cfRule>
  </conditionalFormatting>
  <conditionalFormatting sqref="J27">
    <cfRule type="cellIs" priority="68" operator="greaterThanOrEqual" dxfId="121">
      <formula>0</formula>
    </cfRule>
    <cfRule type="cellIs" priority="69" operator="lessThan" dxfId="0">
      <formula>0</formula>
    </cfRule>
  </conditionalFormatting>
  <conditionalFormatting sqref="K22">
    <cfRule type="cellIs" priority="66" operator="greaterThanOrEqual" dxfId="121">
      <formula>0</formula>
    </cfRule>
    <cfRule type="cellIs" priority="67" operator="lessThan" dxfId="0">
      <formula>0</formula>
    </cfRule>
  </conditionalFormatting>
  <conditionalFormatting sqref="K27">
    <cfRule type="cellIs" priority="64" operator="greaterThanOrEqual" dxfId="121">
      <formula>0</formula>
    </cfRule>
    <cfRule type="cellIs" priority="65" operator="lessThan" dxfId="0">
      <formula>0</formula>
    </cfRule>
  </conditionalFormatting>
  <conditionalFormatting sqref="D32:D37">
    <cfRule type="top10" rank="1" priority="18" dxfId="2"/>
  </conditionalFormatting>
  <conditionalFormatting sqref="E32:E37">
    <cfRule type="top10" rank="1" priority="17" dxfId="2"/>
  </conditionalFormatting>
  <conditionalFormatting sqref="F32:F37">
    <cfRule type="top10" rank="1" priority="16" dxfId="2"/>
  </conditionalFormatting>
  <conditionalFormatting sqref="G32:G37">
    <cfRule type="top10" rank="1" priority="15" dxfId="2"/>
  </conditionalFormatting>
  <conditionalFormatting sqref="H32:H37">
    <cfRule type="top10" rank="1" priority="14" dxfId="2"/>
  </conditionalFormatting>
  <conditionalFormatting sqref="I32:I37">
    <cfRule type="top10" rank="1" priority="13" dxfId="2"/>
  </conditionalFormatting>
  <conditionalFormatting sqref="J32:J37">
    <cfRule type="top10" rank="1" priority="12" dxfId="2"/>
  </conditionalFormatting>
  <conditionalFormatting sqref="K32:K37">
    <cfRule type="top10" rank="1" priority="11" dxfId="2"/>
  </conditionalFormatting>
  <conditionalFormatting sqref="L32:L37">
    <cfRule type="top10" rank="1" priority="10" dxfId="2"/>
  </conditionalFormatting>
  <conditionalFormatting sqref="D44:D49">
    <cfRule type="top10" rank="1" priority="9" dxfId="2"/>
  </conditionalFormatting>
  <conditionalFormatting sqref="E44:E49">
    <cfRule type="top10" rank="1" priority="8" dxfId="2"/>
  </conditionalFormatting>
  <conditionalFormatting sqref="F44:F49">
    <cfRule type="top10" rank="1" priority="7" dxfId="2"/>
  </conditionalFormatting>
  <conditionalFormatting sqref="G44:G49">
    <cfRule type="top10" rank="1" priority="6" dxfId="2"/>
  </conditionalFormatting>
  <conditionalFormatting sqref="H44:H49">
    <cfRule type="top10" rank="1" priority="5" dxfId="2"/>
  </conditionalFormatting>
  <conditionalFormatting sqref="I44:I49">
    <cfRule type="top10" rank="1" priority="4" dxfId="2"/>
  </conditionalFormatting>
  <conditionalFormatting sqref="J44:J49">
    <cfRule type="top10" rank="1" priority="3" dxfId="2"/>
  </conditionalFormatting>
  <conditionalFormatting sqref="K44:K49">
    <cfRule type="top10" rank="1" priority="2" dxfId="2"/>
  </conditionalFormatting>
  <conditionalFormatting sqref="L44:L49">
    <cfRule type="top10" rank="1" priority="1" dxfId="2"/>
  </conditionalFormatting>
  <pageMargins left="1" right="1" top="1" bottom="1" header="0.5" footer="0.5"/>
  <pageSetup orientation="landscape" scale="51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2">
    <tabColor theme="9" tint="-0.249977111117893"/>
    <outlinePr summaryBelow="1" summaryRight="1"/>
    <pageSetUpPr fitToPage="1"/>
  </sheetPr>
  <dimension ref="B2:X52"/>
  <sheetViews>
    <sheetView showGridLines="0" topLeftCell="A2" zoomScale="85" zoomScaleNormal="85" workbookViewId="0">
      <selection activeCell="B22" sqref="B22"/>
    </sheetView>
  </sheetViews>
  <sheetFormatPr baseColWidth="8" defaultColWidth="8.7265625" defaultRowHeight="12" outlineLevelCol="0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customWidth="1" style="1" min="9" max="9"/>
    <col width="8.54296875" customWidth="1" style="1" min="10" max="10"/>
    <col width="11.5429687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s="286" thickBot="1"/>
    <row r="2" ht="28.9" customHeight="1" s="286">
      <c r="B2" s="338" t="inlineStr">
        <is>
          <t>UAX Daily Snapshot for</t>
        </is>
      </c>
      <c r="C2" s="339" t="n"/>
      <c r="D2" s="340">
        <f>TODAY()-1</f>
        <v/>
      </c>
      <c r="E2" s="339" t="n"/>
    </row>
    <row r="3" ht="15" customHeight="1" s="286" thickBot="1">
      <c r="F3" s="1" t="n"/>
      <c r="J3" s="85" t="n"/>
      <c r="K3" s="85" t="n"/>
      <c r="L3" s="85" t="n"/>
      <c r="M3" s="84" t="n"/>
    </row>
    <row r="4" ht="18" customHeight="1" s="286" thickBot="1">
      <c r="B4" s="314" t="inlineStr">
        <is>
          <t>Reliability Snapshot - SYS</t>
        </is>
      </c>
      <c r="C4" s="341" t="n"/>
      <c r="D4" s="341" t="n"/>
      <c r="E4" s="341" t="n"/>
      <c r="F4" s="341" t="n"/>
      <c r="G4" s="341" t="n"/>
      <c r="H4" s="341" t="n"/>
    </row>
    <row r="5" ht="19.9" customHeight="1" s="286" thickBot="1">
      <c r="B5" s="64" t="inlineStr">
        <is>
          <t>Metric</t>
        </is>
      </c>
      <c r="C5" s="49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 s="286">
      <c r="B6" s="62" t="inlineStr">
        <is>
          <t>Completion</t>
        </is>
      </c>
      <c r="C6" s="351">
        <f>UA_SQL_1!N2/UA_SQL_1!M2</f>
        <v/>
      </c>
      <c r="D6" s="351">
        <f>UA_SQL_1!F2/UA_SQL_1!E2</f>
        <v/>
      </c>
      <c r="E6" s="343">
        <f>SUMIF(EX_Goals!$B:$B,PAGE_1_old!#REF!,EX_Goals!$E:$E)</f>
        <v/>
      </c>
      <c r="F6" s="83">
        <f>((UA_SQL_1!$N$2/UA_SQL_1!$M$2)-(SUMIF(OA_SQL_1!$A$1:$A$3,"DL",OA_SQL_1!$K$1:$K$3)/SUMIF(OA_SQL_1!$A$1:$A$3,"DL",OA_SQL_1!$I$1:$I$3)))*100</f>
        <v/>
      </c>
      <c r="G6" s="83">
        <f>((UA_SQL_1!$N$2/UA_SQL_1!$M$2)-(SUMIF(OA_SQL_1!$A$1:$A$3,"AA",OA_SQL_1!$K$1:$K$3)/SUMIF(OA_SQL_1!$A$1:$A$3,"AA",OA_SQL_1!$I$1:$I$3)))*100</f>
        <v/>
      </c>
      <c r="H6" s="52">
        <f>RANK!F2</f>
        <v/>
      </c>
    </row>
    <row r="7" ht="19.9" customHeight="1" s="286">
      <c r="B7" s="62" t="inlineStr">
        <is>
          <t>A:00</t>
        </is>
      </c>
      <c r="C7" s="351">
        <f>UA_SQL_1!Q2/UA_SQL_1!M2</f>
        <v/>
      </c>
      <c r="D7" s="351">
        <f>UA_SQL_1!I2/UA_SQL_1!E2</f>
        <v/>
      </c>
      <c r="E7" s="343">
        <f>SUMIF(EX_Goals!$B:$B,PAGE_1_old!#REF!,EX_Goals!$D:$D)</f>
        <v/>
      </c>
      <c r="F7" s="83">
        <f>((UA_SQL_1!$Q$2/UA_SQL_1!$M$2)-(SUMIF(OA_SQL_1!$A$1:$A$3,"DL",OA_SQL_1!$L$1:$L$3)/SUMIF(OA_SQL_1!$A$1:$A$3,"DL",OA_SQL_1!$I$1:$I$3)))*100</f>
        <v/>
      </c>
      <c r="G7" s="83">
        <f>((UA_SQL_1!$Q$2/UA_SQL_1!$M$2)-(SUMIF(OA_SQL_1!$A$1:$A$3,"AA",OA_SQL_1!$L$1:$L$3)/SUMIF(OA_SQL_1!$A$1:$A$3,"AA",OA_SQL_1!$I$1:$I$3)))*100</f>
        <v/>
      </c>
      <c r="H7" s="52">
        <f>RANK!F3</f>
        <v/>
      </c>
    </row>
    <row r="8" ht="19.15" customHeight="1" s="286">
      <c r="B8" s="63" t="inlineStr">
        <is>
          <t xml:space="preserve">CS D:00 </t>
        </is>
      </c>
      <c r="C8" s="351">
        <f>UA_SQL_1!P2/UA_SQL_1!M2</f>
        <v/>
      </c>
      <c r="D8" s="356">
        <f>UA_SQL_1!H2/UA_SQL_1!E2</f>
        <v/>
      </c>
      <c r="E8" s="343">
        <f>SUMIF(EX_Goals!$B:$B,PAGE_1_old!#REF!,EX_Goals!$C:$C)</f>
        <v/>
      </c>
      <c r="F8" s="83">
        <f>((UA_SQL_1!$P$2/UA_SQL_1!$M$2)-(SUMIF(OA_SQL_1!$A$1:$A$3,"DL",OA_SQL_1!$J$1:$J$3)/SUMIF(OA_SQL_1!$A$1:$A$3,"DL",OA_SQL_1!$I$1:$I$3)))*100</f>
        <v/>
      </c>
      <c r="G8" s="83">
        <f>((UA_SQL_1!$P$2/UA_SQL_1!$M$2)-(SUMIF(OA_SQL_1!$A$1:$A$3,"AA",OA_SQL_1!$J$1:$J$3)/SUMIF(OA_SQL_1!$A$1:$A$3,"AA",OA_SQL_1!$I$1:$I$3)))*100</f>
        <v/>
      </c>
      <c r="H8" s="52">
        <f>RANK!F4</f>
        <v/>
      </c>
    </row>
    <row r="9" ht="19.9" customHeight="1" s="286">
      <c r="B9" s="63" t="inlineStr">
        <is>
          <t xml:space="preserve">D:00 </t>
        </is>
      </c>
      <c r="C9" s="351">
        <f>UA_SQL_1!O2/UA_SQL_1!M2</f>
        <v/>
      </c>
      <c r="D9" s="356">
        <f>UA_SQL_1!G2/UA_SQL_1!E2</f>
        <v/>
      </c>
      <c r="E9" s="343">
        <f>SUMIF(EX_Goals!$B:$B,PAGE_1_old!#REF!,EX_Goals!$C:$C)</f>
        <v/>
      </c>
      <c r="F9" s="75" t="n"/>
      <c r="G9" s="75" t="n"/>
      <c r="H9" s="75" t="n"/>
    </row>
    <row r="10" ht="20.5" customHeight="1" s="286">
      <c r="B10" s="62" t="inlineStr">
        <is>
          <t>STAR D:00</t>
        </is>
      </c>
      <c r="C10" s="351">
        <f>UA_SQL_1!S2/UA_SQL_1!R2</f>
        <v/>
      </c>
      <c r="D10" s="351">
        <f>UA_SQL_1!K2/UA_SQL_1!J2</f>
        <v/>
      </c>
      <c r="E10" s="343">
        <f>SUMIF(EX_Goals!$B:$B,PAGE_1_old!#REF!,EX_Goals!$F:$F)</f>
        <v/>
      </c>
      <c r="F10" s="76" t="n"/>
      <c r="G10" s="76" t="n"/>
      <c r="H10" s="76" t="n"/>
    </row>
    <row r="11" ht="19.9" customHeight="1" s="286">
      <c r="B11" s="62" t="inlineStr">
        <is>
          <t>Controllable Completion</t>
        </is>
      </c>
      <c r="C11" s="79">
        <f>(UA_SQL_1!M2-UA_SQL_1!T2)/UA_SQL_1!M2</f>
        <v/>
      </c>
      <c r="D11" s="79">
        <f>(UA_SQL_1!E2-UA_SQL_1!L2)/UA_SQL_1!E2</f>
        <v/>
      </c>
      <c r="E11" s="134">
        <f>SUMIF(EX_Goals!$B:$B,PAGE_1_old!#REF!,EX_Goals!$G:$G)</f>
        <v/>
      </c>
      <c r="F11" s="75" t="n"/>
      <c r="G11" s="75" t="n"/>
      <c r="H11" s="75" t="n"/>
    </row>
    <row r="12" ht="19.9" customHeight="1" s="286">
      <c r="B12" s="62" t="inlineStr">
        <is>
          <t>Total diverts</t>
        </is>
      </c>
      <c r="C12" s="87">
        <f>SUMIFS(TOTAL_DIVERTS_SQL_5!$B:$B,TOTAL_DIVERTS_SQL_5!A:A,"YEST")</f>
        <v/>
      </c>
      <c r="D12" s="87">
        <f>SUMIFS(TOTAL_DIVERTS_SQL_5!$B:$B,TOTAL_DIVERTS_SQL_5!A:A,"MTD")</f>
        <v/>
      </c>
      <c r="E12" s="86" t="n"/>
      <c r="F12" s="75" t="n"/>
      <c r="G12" s="75" t="n"/>
      <c r="H12" s="75" t="n"/>
    </row>
    <row r="13" ht="19.9" customHeight="1" s="286">
      <c r="B13" s="62" t="inlineStr">
        <is>
          <t>Diverts recovered</t>
        </is>
      </c>
      <c r="C13" s="87">
        <f>SUMIF(DIVERTS_RECOVERED_SQL_6!$A:$A,"YEST",DIVERTS_RECOVERED_SQL_6!$C:$C)</f>
        <v/>
      </c>
      <c r="D13" s="87">
        <f>SUMIF(DIVERTS_RECOVERED_SQL_6!$A:$A,"MTD",DIVERTS_RECOVERED_SQL_6!$C:$C)</f>
        <v/>
      </c>
      <c r="E13" s="86" t="n"/>
      <c r="F13" s="75" t="n"/>
      <c r="G13" s="75" t="n"/>
      <c r="H13" s="75" t="n"/>
      <c r="J13" s="59" t="n"/>
      <c r="K13" s="59" t="n"/>
      <c r="L13" s="59" t="n"/>
      <c r="M13" s="59" t="n"/>
      <c r="N13" s="59" t="n"/>
      <c r="O13" s="60" t="n"/>
      <c r="P13" s="60" t="n"/>
    </row>
    <row r="14" ht="14.5" customHeight="1" s="286">
      <c r="O14" s="59" t="n"/>
      <c r="P14" s="59" t="n"/>
      <c r="Q14" s="59" t="n"/>
      <c r="R14" s="59" t="n"/>
      <c r="S14" s="59" t="n"/>
      <c r="T14" s="59" t="n"/>
      <c r="U14" s="59" t="n"/>
      <c r="V14" s="59" t="n"/>
      <c r="W14" s="60" t="n"/>
      <c r="X14" s="60" t="n"/>
    </row>
    <row r="15" ht="15" customHeight="1" s="286" thickBot="1">
      <c r="O15" s="59" t="n"/>
      <c r="P15" s="59" t="n"/>
      <c r="Q15" s="59" t="n"/>
      <c r="R15" s="59" t="n"/>
      <c r="S15" s="59" t="n"/>
      <c r="T15" s="59" t="n"/>
      <c r="U15" s="59" t="n"/>
      <c r="V15" s="59" t="n"/>
      <c r="W15" s="60" t="n"/>
      <c r="X15" s="60" t="n"/>
    </row>
    <row r="16" ht="19.15" customHeight="1" s="286" thickBot="1">
      <c r="B16" s="316" t="inlineStr">
        <is>
          <t>Reliability Snapshot - Hubs</t>
        </is>
      </c>
      <c r="C16" s="350" t="n"/>
      <c r="D16" s="350" t="n"/>
      <c r="E16" s="350" t="n"/>
      <c r="F16" s="350" t="n"/>
      <c r="G16" s="350" t="n"/>
      <c r="H16" s="350" t="n"/>
      <c r="I16" s="350" t="n"/>
      <c r="J16" s="350" t="n"/>
      <c r="K16" s="350" t="n"/>
      <c r="O16" s="59" t="n"/>
      <c r="P16" s="59" t="n"/>
      <c r="Q16" s="59" t="n"/>
      <c r="R16" s="59" t="n"/>
      <c r="S16" s="59" t="n"/>
      <c r="T16" s="59" t="n"/>
      <c r="U16" s="59" t="n"/>
      <c r="V16" s="59" t="n"/>
      <c r="W16" s="60" t="n"/>
      <c r="X16" s="60" t="n"/>
    </row>
    <row r="17" ht="19.15" customHeight="1" s="286" thickBot="1">
      <c r="B17" s="64" t="inlineStr">
        <is>
          <t>Market</t>
        </is>
      </c>
      <c r="C17" s="49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6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9" t="n"/>
      <c r="P17" s="59" t="n"/>
      <c r="Q17" s="59" t="n"/>
      <c r="R17" s="59" t="n"/>
      <c r="S17" s="59" t="n"/>
      <c r="T17" s="59" t="n"/>
      <c r="U17" s="60" t="n"/>
      <c r="V17" s="60" t="n"/>
    </row>
    <row r="18" ht="19.15" customHeight="1" s="286">
      <c r="B18" s="62" t="inlineStr">
        <is>
          <t>Denver</t>
        </is>
      </c>
      <c r="C18" s="351">
        <f>SUMIFS(UA_HUB_SQL_7!J:J,UA_HUB_SQL_7!$B:$B,PAGE_1_old!B18)/SUMIFS(UA_HUB_SQL_7!$F:$F,UA_HUB_SQL_7!$B:$B,PAGE_1_old!B18)</f>
        <v/>
      </c>
      <c r="D18" s="351">
        <f>SUMIFS(UA_HUB_SQL_7!K:K,UA_HUB_SQL_7!B:B,PAGE_1_old!B18)/SUMIFS(UA_HUB_SQL_7!F:F,UA_HUB_SQL_7!B:B,PAGE_1_old!B18)</f>
        <v/>
      </c>
      <c r="E18" s="108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/>
      </c>
      <c r="F18" s="108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/>
      </c>
      <c r="G18" s="52">
        <f>RANK!F8</f>
        <v/>
      </c>
      <c r="H18" s="351">
        <f>SUMIFS(UA_HUB_SQL_7!G:G,UA_HUB_SQL_7!$B:$B,PAGE_1_old!B18)/SUMIFS(UA_HUB_SQL_7!$F:$F,UA_HUB_SQL_7!$B:$B,PAGE_1_old!B18)</f>
        <v/>
      </c>
      <c r="I18" s="108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/>
      </c>
      <c r="J18" s="108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/>
      </c>
      <c r="K18" s="52">
        <f>RANK!M19</f>
        <v/>
      </c>
      <c r="O18" s="59" t="n"/>
      <c r="P18" s="59" t="n"/>
      <c r="Q18" s="59" t="n"/>
      <c r="R18" s="59" t="n"/>
      <c r="S18" s="59" t="n"/>
      <c r="T18" s="59" t="n"/>
      <c r="U18" s="60" t="n"/>
      <c r="V18" s="60" t="n"/>
    </row>
    <row r="19" ht="19.15" customHeight="1" s="286">
      <c r="B19" s="62" t="inlineStr">
        <is>
          <t>New York</t>
        </is>
      </c>
      <c r="C19" s="351">
        <f>SUMIFS(UA_HUB_SQL_7!J:J,UA_HUB_SQL_7!$B:$B,PAGE_1_old!B19)/SUMIFS(UA_HUB_SQL_7!$F:$F,UA_HUB_SQL_7!$B:$B,PAGE_1_old!B19)</f>
        <v/>
      </c>
      <c r="D19" s="351">
        <f>SUMIFS(UA_HUB_SQL_7!K:K,UA_HUB_SQL_7!B:B,PAGE_1_old!B19)/SUMIFS(UA_HUB_SQL_7!F:F,UA_HUB_SQL_7!B:B,PAGE_1_old!B19)</f>
        <v/>
      </c>
      <c r="E19" s="108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/>
      </c>
      <c r="F19" s="108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/>
      </c>
      <c r="G19" s="52">
        <f>RANK!F9</f>
        <v/>
      </c>
      <c r="H19" s="351">
        <f>SUMIFS(UA_HUB_SQL_7!G:G,UA_HUB_SQL_7!$B:$B,PAGE_1_old!B19)/SUMIFS(UA_HUB_SQL_7!$F:$F,UA_HUB_SQL_7!$B:$B,PAGE_1_old!B19)</f>
        <v/>
      </c>
      <c r="I19" s="108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/>
      </c>
      <c r="J19" s="108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/>
      </c>
      <c r="K19" s="52">
        <f>RANK!M20</f>
        <v/>
      </c>
      <c r="O19" s="59" t="n"/>
      <c r="P19" s="59" t="n"/>
      <c r="Q19" s="59" t="n"/>
      <c r="R19" s="59" t="n"/>
      <c r="S19" s="59" t="n"/>
      <c r="T19" s="59" t="n"/>
      <c r="U19" s="60" t="n"/>
      <c r="V19" s="60" t="n"/>
    </row>
    <row r="20" ht="19.15" customHeight="1" s="286">
      <c r="B20" s="63" t="inlineStr">
        <is>
          <t>Washington DC</t>
        </is>
      </c>
      <c r="C20" s="351">
        <f>SUMIFS(UA_HUB_SQL_7!J:J,UA_HUB_SQL_7!$B:$B,PAGE_1_old!B20)/SUMIFS(UA_HUB_SQL_7!$F:$F,UA_HUB_SQL_7!$B:$B,PAGE_1_old!B20)</f>
        <v/>
      </c>
      <c r="D20" s="351">
        <f>SUMIFS(UA_HUB_SQL_7!K:K,UA_HUB_SQL_7!B:B,PAGE_1_old!B20)/SUMIFS(UA_HUB_SQL_7!F:F,UA_HUB_SQL_7!B:B,PAGE_1_old!B20)</f>
        <v/>
      </c>
      <c r="E20" s="108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/>
      </c>
      <c r="F20" s="108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/>
      </c>
      <c r="G20" s="52">
        <f>RANK!F10</f>
        <v/>
      </c>
      <c r="H20" s="351">
        <f>SUMIFS(UA_HUB_SQL_7!G:G,UA_HUB_SQL_7!$B:$B,PAGE_1_old!B20)/SUMIFS(UA_HUB_SQL_7!$F:$F,UA_HUB_SQL_7!$B:$B,PAGE_1_old!B20)</f>
        <v/>
      </c>
      <c r="I20" s="108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/>
      </c>
      <c r="J20" s="108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/>
      </c>
      <c r="K20" s="52">
        <f>RANK!M21</f>
        <v/>
      </c>
      <c r="O20" s="59" t="n"/>
      <c r="P20" s="59" t="n"/>
      <c r="Q20" s="59" t="n"/>
      <c r="R20" s="59" t="n"/>
      <c r="S20" s="59" t="n"/>
      <c r="T20" s="59" t="n"/>
      <c r="U20" s="60" t="n"/>
      <c r="V20" s="60" t="n"/>
    </row>
    <row r="21" ht="19.15" customHeight="1" s="286">
      <c r="B21" s="63" t="inlineStr">
        <is>
          <t>Texas</t>
        </is>
      </c>
      <c r="C21" s="351">
        <f>SUMIFS(UA_HUB_SQL_7!J:J,UA_HUB_SQL_7!$B:$B,PAGE_1_old!B21)/SUMIFS(UA_HUB_SQL_7!$F:$F,UA_HUB_SQL_7!$B:$B,PAGE_1_old!B21)</f>
        <v/>
      </c>
      <c r="D21" s="351">
        <f>SUMIFS(UA_HUB_SQL_7!K:K,UA_HUB_SQL_7!B:B,PAGE_1_old!B21)/SUMIFS(UA_HUB_SQL_7!F:F,UA_HUB_SQL_7!B:B,PAGE_1_old!B21)</f>
        <v/>
      </c>
      <c r="E21" s="108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/>
      </c>
      <c r="F21" s="108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/>
      </c>
      <c r="G21" s="52">
        <f>RANK!F11</f>
        <v/>
      </c>
      <c r="H21" s="351">
        <f>SUMIFS(UA_HUB_SQL_7!G:G,UA_HUB_SQL_7!$B:$B,PAGE_1_old!B21)/SUMIFS(UA_HUB_SQL_7!$F:$F,UA_HUB_SQL_7!$B:$B,PAGE_1_old!B21)</f>
        <v/>
      </c>
      <c r="I21" s="108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/>
      </c>
      <c r="J21" s="108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/>
      </c>
      <c r="K21" s="52">
        <f>RANK!M22</f>
        <v/>
      </c>
      <c r="O21" s="59" t="n"/>
      <c r="P21" s="59" t="n"/>
      <c r="Q21" s="59" t="n"/>
      <c r="R21" s="59" t="n"/>
      <c r="S21" s="59" t="n"/>
      <c r="T21" s="59" t="n"/>
      <c r="U21" s="60" t="n"/>
      <c r="V21" s="60" t="n"/>
    </row>
    <row r="22" ht="19.15" customHeight="1" s="286">
      <c r="B22" s="62" t="inlineStr">
        <is>
          <t>Los Angeles</t>
        </is>
      </c>
      <c r="C22" s="351">
        <f>SUMIFS(UA_HUB_SQL_7!J:J,UA_HUB_SQL_7!$B:$B,PAGE_1_old!B22)/SUMIFS(UA_HUB_SQL_7!$F:$F,UA_HUB_SQL_7!$B:$B,PAGE_1_old!B22)</f>
        <v/>
      </c>
      <c r="D22" s="351">
        <f>SUMIFS(UA_HUB_SQL_7!K:K,UA_HUB_SQL_7!B:B,PAGE_1_old!B22)/SUMIFS(UA_HUB_SQL_7!F:F,UA_HUB_SQL_7!B:B,PAGE_1_old!B22)</f>
        <v/>
      </c>
      <c r="E22" s="108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/>
      </c>
      <c r="F22" s="108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/>
      </c>
      <c r="G22" s="52">
        <f>RANK!F12</f>
        <v/>
      </c>
      <c r="H22" s="351">
        <f>SUMIFS(UA_HUB_SQL_7!G:G,UA_HUB_SQL_7!$B:$B,PAGE_1_old!B22)/SUMIFS(UA_HUB_SQL_7!$F:$F,UA_HUB_SQL_7!$B:$B,PAGE_1_old!B22)</f>
        <v/>
      </c>
      <c r="I22" s="108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/>
      </c>
      <c r="J22" s="108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/>
      </c>
      <c r="K22" s="52">
        <f>RANK!M23</f>
        <v/>
      </c>
      <c r="O22" s="59" t="n"/>
      <c r="P22" s="59" t="n"/>
      <c r="Q22" s="59" t="n"/>
      <c r="R22" s="59" t="n"/>
      <c r="S22" s="59" t="n"/>
      <c r="T22" s="59" t="n"/>
      <c r="U22" s="60" t="n"/>
      <c r="V22" s="60" t="n"/>
    </row>
    <row r="23" ht="19.15" customHeight="1" s="286">
      <c r="B23" s="63" t="inlineStr">
        <is>
          <t>Chicago</t>
        </is>
      </c>
      <c r="C23" s="351">
        <f>SUMIFS(UA_HUB_SQL_7!J:J,UA_HUB_SQL_7!$B:$B,PAGE_1_old!B23)/SUMIFS(UA_HUB_SQL_7!$F:$F,UA_HUB_SQL_7!$B:$B,PAGE_1_old!B23)</f>
        <v/>
      </c>
      <c r="D23" s="351">
        <f>SUMIFS(UA_HUB_SQL_7!K:K,UA_HUB_SQL_7!B:B,PAGE_1_old!B23)/SUMIFS(UA_HUB_SQL_7!F:F,UA_HUB_SQL_7!B:B,PAGE_1_old!B23)</f>
        <v/>
      </c>
      <c r="E23" s="108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/>
      </c>
      <c r="F23" s="108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/>
      </c>
      <c r="G23" s="52">
        <f>RANK!F13</f>
        <v/>
      </c>
      <c r="H23" s="351">
        <f>SUMIFS(UA_HUB_SQL_7!G:G,UA_HUB_SQL_7!$B:$B,PAGE_1_old!B23)/SUMIFS(UA_HUB_SQL_7!$F:$F,UA_HUB_SQL_7!$B:$B,PAGE_1_old!B23)</f>
        <v/>
      </c>
      <c r="I23" s="108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/>
      </c>
      <c r="J23" s="108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/>
      </c>
      <c r="K23" s="52">
        <f>RANK!M24</f>
        <v/>
      </c>
      <c r="L23" s="59" t="n"/>
      <c r="M23" s="59" t="n"/>
      <c r="N23" s="59" t="n"/>
      <c r="O23" s="59" t="n"/>
      <c r="P23" s="59" t="n"/>
      <c r="Q23" s="59" t="n"/>
      <c r="R23" s="59" t="n"/>
      <c r="S23" s="59" t="n"/>
      <c r="T23" s="59" t="n"/>
      <c r="U23" s="60" t="n"/>
      <c r="V23" s="60" t="n"/>
    </row>
    <row r="24" ht="19.15" customHeight="1" s="286">
      <c r="B24" s="62" t="inlineStr">
        <is>
          <t>San Francisco</t>
        </is>
      </c>
      <c r="C24" s="351">
        <f>SUMIFS(UA_HUB_SQL_7!J:J,UA_HUB_SQL_7!$B:$B,PAGE_1_old!B24)/SUMIFS(UA_HUB_SQL_7!$F:$F,UA_HUB_SQL_7!$B:$B,PAGE_1_old!B24)</f>
        <v/>
      </c>
      <c r="D24" s="351">
        <f>SUMIFS(UA_HUB_SQL_7!K:K,UA_HUB_SQL_7!B:B,PAGE_1_old!B24)/SUMIFS(UA_HUB_SQL_7!F:F,UA_HUB_SQL_7!B:B,PAGE_1_old!B24)</f>
        <v/>
      </c>
      <c r="E24" s="108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/>
      </c>
      <c r="F24" s="108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/>
      </c>
      <c r="G24" s="52">
        <f>RANK!F14</f>
        <v/>
      </c>
      <c r="H24" s="351">
        <f>SUMIFS(UA_HUB_SQL_7!G:G,UA_HUB_SQL_7!$B:$B,PAGE_1_old!B24)/SUMIFS(UA_HUB_SQL_7!$F:$F,UA_HUB_SQL_7!$B:$B,PAGE_1_old!B24)</f>
        <v/>
      </c>
      <c r="I24" s="108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/>
      </c>
      <c r="J24" s="108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/>
      </c>
      <c r="K24" s="52">
        <f>RANK!M25</f>
        <v/>
      </c>
      <c r="L24" s="59" t="n"/>
      <c r="M24" s="59" t="n"/>
      <c r="N24" s="59" t="n"/>
      <c r="O24" s="59" t="n"/>
      <c r="P24" s="59" t="n"/>
      <c r="Q24" s="59" t="n"/>
      <c r="R24" s="59" t="n"/>
      <c r="S24" s="59" t="n"/>
      <c r="T24" s="59" t="n"/>
      <c r="U24" s="60" t="n"/>
      <c r="V24" s="60" t="n"/>
    </row>
    <row r="25">
      <c r="N25" s="59" t="n"/>
      <c r="O25" s="59" t="n"/>
      <c r="P25" s="59" t="n"/>
      <c r="Q25" s="59" t="n"/>
      <c r="R25" s="59" t="n"/>
      <c r="S25" s="59" t="n"/>
      <c r="T25" s="59" t="n"/>
      <c r="U25" s="59" t="n"/>
      <c r="V25" s="59" t="n"/>
      <c r="W25" s="60" t="n"/>
      <c r="X25" s="60" t="n"/>
    </row>
    <row r="26" ht="12.5" customHeight="1" s="286" thickBot="1">
      <c r="C26" s="346" t="n"/>
      <c r="Q26" s="59" t="n"/>
      <c r="R26" s="59" t="n"/>
      <c r="S26" s="59" t="n"/>
      <c r="T26" s="59" t="n"/>
      <c r="U26" s="59" t="n"/>
      <c r="V26" s="59" t="n"/>
      <c r="W26" s="60" t="n"/>
      <c r="X26" s="60" t="n"/>
    </row>
    <row r="27" ht="16" customHeight="1" s="286" thickBot="1">
      <c r="B27" s="314" t="inlineStr">
        <is>
          <t>Cancel Detail</t>
        </is>
      </c>
      <c r="C27" s="341" t="n"/>
      <c r="D27" s="341" t="n"/>
      <c r="E27" s="341" t="n"/>
      <c r="F27" s="341" t="n"/>
      <c r="G27" s="341" t="n"/>
      <c r="H27" s="341" t="n"/>
      <c r="I27" s="341" t="n"/>
      <c r="J27" s="341" t="n"/>
      <c r="K27" s="341" t="n"/>
      <c r="L27" s="341" t="n"/>
      <c r="M27" s="341" t="n"/>
      <c r="N27" s="341" t="n"/>
      <c r="O27" s="341" t="n"/>
      <c r="P27" s="341" t="n"/>
      <c r="Q27" s="59" t="n"/>
      <c r="R27" s="60" t="n"/>
      <c r="S27" s="60" t="n"/>
      <c r="T27" s="60" t="n"/>
      <c r="U27" s="60" t="n"/>
      <c r="V27" s="59" t="n"/>
      <c r="W27" s="60" t="n"/>
      <c r="X27" s="60" t="n"/>
    </row>
    <row r="28" ht="30.65" customHeight="1" s="286" thickBot="1">
      <c r="B28" s="70" t="inlineStr">
        <is>
          <t>Express Partner</t>
        </is>
      </c>
      <c r="C28" s="71" t="inlineStr">
        <is>
          <t>Scheduled Departures</t>
        </is>
      </c>
      <c r="D28" s="72" t="inlineStr">
        <is>
          <t>Weather &amp; ATC</t>
        </is>
      </c>
      <c r="E28" s="72" t="inlineStr">
        <is>
          <t>Technical Operations</t>
        </is>
      </c>
      <c r="F28" s="72" t="inlineStr">
        <is>
          <t>Flight Operations</t>
        </is>
      </c>
      <c r="G28" s="72" t="inlineStr">
        <is>
          <t>Inflight Services</t>
        </is>
      </c>
      <c r="H28" s="72" t="inlineStr">
        <is>
          <t>Airport Operations</t>
        </is>
      </c>
      <c r="I28" s="72" t="inlineStr">
        <is>
          <t>Network Operations</t>
        </is>
      </c>
      <c r="J28" s="72" t="inlineStr">
        <is>
          <t>IT</t>
        </is>
      </c>
      <c r="K28" s="72" t="inlineStr">
        <is>
          <t>Catering Operations</t>
        </is>
      </c>
      <c r="L28" s="72" t="inlineStr">
        <is>
          <t>Other</t>
        </is>
      </c>
      <c r="M28" s="73" t="inlineStr">
        <is>
          <t>Total Cancels</t>
        </is>
      </c>
      <c r="N28" s="74" t="inlineStr">
        <is>
          <t>ES covered for this partner</t>
        </is>
      </c>
      <c r="O28" s="74" t="inlineStr">
        <is>
          <t>Net Cancel</t>
        </is>
      </c>
      <c r="P28" s="74" t="inlineStr">
        <is>
          <t>ES covered by this partner</t>
        </is>
      </c>
      <c r="Q28" s="59" t="n"/>
      <c r="R28" s="60" t="n"/>
      <c r="S28" s="60" t="n"/>
      <c r="T28" s="60" t="n"/>
      <c r="U28" s="60" t="n"/>
      <c r="V28" s="59" t="n"/>
      <c r="W28" s="60" t="n"/>
      <c r="X28" s="60" t="n"/>
    </row>
    <row r="29" ht="14.5" customHeight="1" s="286">
      <c r="B29" s="66" t="inlineStr">
        <is>
          <t>EV - ExpressJet</t>
        </is>
      </c>
      <c r="C29" s="80">
        <f>SUMIF(SCH_DEP_SQL_4!$A:$A,PAGE_1_old!R29,SCH_DEP_SQL_4!$E:$E)</f>
        <v/>
      </c>
      <c r="D29" s="48">
        <f>IF(SUMIFS(CNXL_SQL_2!$F:$F,CNXL_SQL_2!$A:$A,PAGE_1_old!$R29,CNXL_SQL_2!$D:$D,PAGE_1_old!$S$29)=0,"",SUMIFS(CNXL_SQL_2!$F:$F,CNXL_SQL_2!$A:$A,PAGE_1_old!$R29,CNXL_SQL_2!$D:$D,PAGE_1_old!$S$29))</f>
        <v/>
      </c>
      <c r="E29" s="48">
        <f>IF(SUMIFS(CNXL_SQL_2!$F:$F,CNXL_SQL_2!$A:$A,PAGE_1_old!$R29,CNXL_SQL_2!$D:$D,PAGE_1_old!$S$30)=0,"",SUMIFS(CNXL_SQL_2!$F:$F,CNXL_SQL_2!$A:$A,PAGE_1_old!$R29,CNXL_SQL_2!$D:$D,PAGE_1_old!$S$30))</f>
        <v/>
      </c>
      <c r="F29" s="48">
        <f>IF(SUMIFS(CNXL_SQL_2!$F:$F,CNXL_SQL_2!$A:$A,PAGE_1_old!$R29,CNXL_SQL_2!$D:$D,PAGE_1_old!$S$31)=0,"",SUMIFS(CNXL_SQL_2!$F:$F,CNXL_SQL_2!$A:$A,PAGE_1_old!$R29,CNXL_SQL_2!$D:$D,PAGE_1_old!$S$31))</f>
        <v/>
      </c>
      <c r="G29" s="48">
        <f>IF(SUMIFS(CNXL_SQL_2!$F:$F,CNXL_SQL_2!$A:$A,PAGE_1_old!$R29,CNXL_SQL_2!$D:$D,PAGE_1_old!$S$32)=0,"",SUMIFS(CNXL_SQL_2!$F:$F,CNXL_SQL_2!$A:$A,PAGE_1_old!$R29,CNXL_SQL_2!$D:$D,PAGE_1_old!$S$32))</f>
        <v/>
      </c>
      <c r="H29" s="48">
        <f>IF(SUMIFS(CNXL_SQL_2!$F:$F,CNXL_SQL_2!$A:$A,PAGE_1_old!$R29,CNXL_SQL_2!$D:$D,PAGE_1_old!$S$33)=0,"",SUMIFS(CNXL_SQL_2!$F:$F,CNXL_SQL_2!$A:$A,PAGE_1_old!$R29,CNXL_SQL_2!$D:$D,PAGE_1_old!$S$33))</f>
        <v/>
      </c>
      <c r="I29" s="48">
        <f>IF(SUMIFS(CNXL_SQL_2!$F:$F,CNXL_SQL_2!$A:$A,PAGE_1_old!$R29,CNXL_SQL_2!$D:$D,PAGE_1_old!$S$34)=0,"",SUMIFS(CNXL_SQL_2!$F:$F,CNXL_SQL_2!$A:$A,PAGE_1_old!$R29,CNXL_SQL_2!$D:$D,PAGE_1_old!$S$34))</f>
        <v/>
      </c>
      <c r="J29" s="48">
        <f>IF(SUMIFS(CNXL_SQL_2!$F:$F,CNXL_SQL_2!$A:$A,PAGE_1_old!$R29,CNXL_SQL_2!$D:$D,PAGE_1_old!$S$35)=0,"",SUMIFS(CNXL_SQL_2!$F:$F,CNXL_SQL_2!$A:$A,PAGE_1_old!$R29,CNXL_SQL_2!$D:$D,PAGE_1_old!$S$35))</f>
        <v/>
      </c>
      <c r="K29" s="48">
        <f>IF(SUMIFS(CNXL_SQL_2!$F:$F,CNXL_SQL_2!$A:$A,PAGE_1_old!$R29,CNXL_SQL_2!$D:$D,PAGE_1_old!$S$36)=0,"",SUMIFS(CNXL_SQL_2!$F:$F,CNXL_SQL_2!$A:$A,PAGE_1_old!$R29,CNXL_SQL_2!$D:$D,PAGE_1_old!$S$36))</f>
        <v/>
      </c>
      <c r="L29" s="48">
        <f>IF(SUMIFS(CNXL_SQL_2!$F:$F,CNXL_SQL_2!$A:$A,PAGE_1_old!$R29,CNXL_SQL_2!$D:$D,PAGE_1_old!$S$37)=0,"",SUMIFS(CNXL_SQL_2!$F:$F,CNXL_SQL_2!$A:$A,PAGE_1_old!$R29,CNXL_SQL_2!$D:$D,PAGE_1_old!$S$37))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IF(SUMIF(CNXL_SQL_2!$E:$E,PAGE_1_old!R29,CNXL_SQL_2!$F:$F)=0,"",SUMIF(CNXL_SQL_2!$E:$E,PAGE_1_old!R29,CNXL_SQL_2!$F:$F))</f>
        <v/>
      </c>
      <c r="Q29" s="59" t="n"/>
      <c r="R29" s="85" t="inlineStr">
        <is>
          <t>EV</t>
        </is>
      </c>
      <c r="S29" s="85" t="inlineStr">
        <is>
          <t>WEATHER/ATC</t>
        </is>
      </c>
      <c r="T29" s="60" t="n"/>
      <c r="U29" s="60" t="n"/>
      <c r="V29" s="59" t="n"/>
      <c r="W29" s="60" t="n"/>
      <c r="X29" s="60" t="n"/>
    </row>
    <row r="30" ht="14.5" customHeight="1" s="286">
      <c r="B30" s="191" t="inlineStr">
        <is>
          <t>OO - SkyWest</t>
        </is>
      </c>
      <c r="C30" s="81">
        <f>SUMIF(SCH_DEP_SQL_4!$A:$A,PAGE_1_old!R30,SCH_DEP_SQL_4!$E:$E)</f>
        <v/>
      </c>
      <c r="D30" s="190">
        <f>IF(SUMIFS(CNXL_SQL_2!$F:$F,CNXL_SQL_2!$A:$A,PAGE_1_old!$R30,CNXL_SQL_2!$D:$D,PAGE_1_old!$S$29)=0,"",SUMIFS(CNXL_SQL_2!$F:$F,CNXL_SQL_2!$A:$A,PAGE_1_old!$R30,CNXL_SQL_2!$D:$D,PAGE_1_old!$S$29))</f>
        <v/>
      </c>
      <c r="E30" s="190">
        <f>IF(SUMIFS(CNXL_SQL_2!$F:$F,CNXL_SQL_2!$A:$A,PAGE_1_old!$R30,CNXL_SQL_2!$D:$D,PAGE_1_old!$S$30)=0,"",SUMIFS(CNXL_SQL_2!$F:$F,CNXL_SQL_2!$A:$A,PAGE_1_old!$R30,CNXL_SQL_2!$D:$D,PAGE_1_old!$S$30))</f>
        <v/>
      </c>
      <c r="F30" s="190">
        <f>IF(SUMIFS(CNXL_SQL_2!$F:$F,CNXL_SQL_2!$A:$A,PAGE_1_old!$R30,CNXL_SQL_2!$D:$D,PAGE_1_old!$S$31)=0,"",SUMIFS(CNXL_SQL_2!$F:$F,CNXL_SQL_2!$A:$A,PAGE_1_old!$R30,CNXL_SQL_2!$D:$D,PAGE_1_old!$S$31))</f>
        <v/>
      </c>
      <c r="G30" s="190">
        <f>IF(SUMIFS(CNXL_SQL_2!$F:$F,CNXL_SQL_2!$A:$A,PAGE_1_old!$R30,CNXL_SQL_2!$D:$D,PAGE_1_old!$S$32)=0,"",SUMIFS(CNXL_SQL_2!$F:$F,CNXL_SQL_2!$A:$A,PAGE_1_old!$R30,CNXL_SQL_2!$D:$D,PAGE_1_old!$S$32))</f>
        <v/>
      </c>
      <c r="H30" s="190">
        <f>IF(SUMIFS(CNXL_SQL_2!$F:$F,CNXL_SQL_2!$A:$A,PAGE_1_old!$R30,CNXL_SQL_2!$D:$D,PAGE_1_old!$S$33)=0,"",SUMIFS(CNXL_SQL_2!$F:$F,CNXL_SQL_2!$A:$A,PAGE_1_old!$R30,CNXL_SQL_2!$D:$D,PAGE_1_old!$S$33))</f>
        <v/>
      </c>
      <c r="I30" s="190">
        <f>IF(SUMIFS(CNXL_SQL_2!$F:$F,CNXL_SQL_2!$A:$A,PAGE_1_old!$R30,CNXL_SQL_2!$D:$D,PAGE_1_old!$S$34)=0,"",SUMIFS(CNXL_SQL_2!$F:$F,CNXL_SQL_2!$A:$A,PAGE_1_old!$R30,CNXL_SQL_2!$D:$D,PAGE_1_old!$S$34))</f>
        <v/>
      </c>
      <c r="J30" s="190">
        <f>IF(SUMIFS(CNXL_SQL_2!$F:$F,CNXL_SQL_2!$A:$A,PAGE_1_old!$R30,CNXL_SQL_2!$D:$D,PAGE_1_old!$S$35)=0,"",SUMIFS(CNXL_SQL_2!$F:$F,CNXL_SQL_2!$A:$A,PAGE_1_old!$R30,CNXL_SQL_2!$D:$D,PAGE_1_old!$S$35))</f>
        <v/>
      </c>
      <c r="K30" s="190">
        <f>IF(SUMIFS(CNXL_SQL_2!$F:$F,CNXL_SQL_2!$A:$A,PAGE_1_old!$R30,CNXL_SQL_2!$D:$D,PAGE_1_old!$S$36)=0,"",SUMIFS(CNXL_SQL_2!$F:$F,CNXL_SQL_2!$A:$A,PAGE_1_old!$R30,CNXL_SQL_2!$D:$D,PAGE_1_old!$S$36))</f>
        <v/>
      </c>
      <c r="L30" s="190">
        <f>IF(SUMIFS(CNXL_SQL_2!$F:$F,CNXL_SQL_2!$A:$A,PAGE_1_old!$R30,CNXL_SQL_2!$D:$D,PAGE_1_old!$S$37)=0,"",SUMIFS(CNXL_SQL_2!$F:$F,CNXL_SQL_2!$A:$A,PAGE_1_old!$R30,CNXL_SQL_2!$D:$D,PAGE_1_old!$S$37))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IF(SUMIF(CNXL_SQL_2!$E:$E,PAGE_1_old!R30,CNXL_SQL_2!$F:$F)=0,"",SUMIF(CNXL_SQL_2!$E:$E,PAGE_1_old!R30,CNXL_SQL_2!$F:$F))</f>
        <v/>
      </c>
      <c r="Q30" s="59" t="n"/>
      <c r="R30" s="60" t="inlineStr">
        <is>
          <t>OO</t>
        </is>
      </c>
      <c r="S30" s="85" t="inlineStr">
        <is>
          <t>TECHNICAL OPERATIONS-AIRCRAFT</t>
        </is>
      </c>
      <c r="T30" s="60" t="n"/>
      <c r="U30" s="60" t="n"/>
      <c r="V30" s="59" t="n"/>
      <c r="W30" s="60" t="n"/>
      <c r="X30" s="60" t="n"/>
    </row>
    <row r="31" ht="14.5" customHeight="1" s="286">
      <c r="B31" s="66" t="inlineStr">
        <is>
          <t>AX - Trans States</t>
        </is>
      </c>
      <c r="C31" s="80">
        <f>SUMIF(SCH_DEP_SQL_4!$A:$A,PAGE_1_old!R31,SCH_DEP_SQL_4!$E:$E)</f>
        <v/>
      </c>
      <c r="D31" s="48">
        <f>IF(SUMIFS(CNXL_SQL_2!$F:$F,CNXL_SQL_2!$A:$A,PAGE_1_old!$R31,CNXL_SQL_2!$D:$D,PAGE_1_old!$S$29)=0,"",SUMIFS(CNXL_SQL_2!$F:$F,CNXL_SQL_2!$A:$A,PAGE_1_old!$R31,CNXL_SQL_2!$D:$D,PAGE_1_old!$S$29))</f>
        <v/>
      </c>
      <c r="E31" s="48">
        <f>IF(SUMIFS(CNXL_SQL_2!$F:$F,CNXL_SQL_2!$A:$A,PAGE_1_old!$R31,CNXL_SQL_2!$D:$D,PAGE_1_old!$S$30)=0,"",SUMIFS(CNXL_SQL_2!$F:$F,CNXL_SQL_2!$A:$A,PAGE_1_old!$R31,CNXL_SQL_2!$D:$D,PAGE_1_old!$S$30))</f>
        <v/>
      </c>
      <c r="F31" s="48">
        <f>IF(SUMIFS(CNXL_SQL_2!$F:$F,CNXL_SQL_2!$A:$A,PAGE_1_old!$R31,CNXL_SQL_2!$D:$D,PAGE_1_old!$S$31)=0,"",SUMIFS(CNXL_SQL_2!$F:$F,CNXL_SQL_2!$A:$A,PAGE_1_old!$R31,CNXL_SQL_2!$D:$D,PAGE_1_old!$S$31))</f>
        <v/>
      </c>
      <c r="G31" s="48">
        <f>IF(SUMIFS(CNXL_SQL_2!$F:$F,CNXL_SQL_2!$A:$A,PAGE_1_old!$R31,CNXL_SQL_2!$D:$D,PAGE_1_old!$S$32)=0,"",SUMIFS(CNXL_SQL_2!$F:$F,CNXL_SQL_2!$A:$A,PAGE_1_old!$R31,CNXL_SQL_2!$D:$D,PAGE_1_old!$S$32))</f>
        <v/>
      </c>
      <c r="H31" s="48">
        <f>IF(SUMIFS(CNXL_SQL_2!$F:$F,CNXL_SQL_2!$A:$A,PAGE_1_old!$R31,CNXL_SQL_2!$D:$D,PAGE_1_old!$S$33)=0,"",SUMIFS(CNXL_SQL_2!$F:$F,CNXL_SQL_2!$A:$A,PAGE_1_old!$R31,CNXL_SQL_2!$D:$D,PAGE_1_old!$S$33))</f>
        <v/>
      </c>
      <c r="I31" s="48">
        <f>IF(SUMIFS(CNXL_SQL_2!$F:$F,CNXL_SQL_2!$A:$A,PAGE_1_old!$R31,CNXL_SQL_2!$D:$D,PAGE_1_old!$S$34)=0,"",SUMIFS(CNXL_SQL_2!$F:$F,CNXL_SQL_2!$A:$A,PAGE_1_old!$R31,CNXL_SQL_2!$D:$D,PAGE_1_old!$S$34))</f>
        <v/>
      </c>
      <c r="J31" s="48">
        <f>IF(SUMIFS(CNXL_SQL_2!$F:$F,CNXL_SQL_2!$A:$A,PAGE_1_old!$R31,CNXL_SQL_2!$D:$D,PAGE_1_old!$S$35)=0,"",SUMIFS(CNXL_SQL_2!$F:$F,CNXL_SQL_2!$A:$A,PAGE_1_old!$R31,CNXL_SQL_2!$D:$D,PAGE_1_old!$S$35))</f>
        <v/>
      </c>
      <c r="K31" s="48">
        <f>IF(SUMIFS(CNXL_SQL_2!$F:$F,CNXL_SQL_2!$A:$A,PAGE_1_old!$R31,CNXL_SQL_2!$D:$D,PAGE_1_old!$S$36)=0,"",SUMIFS(CNXL_SQL_2!$F:$F,CNXL_SQL_2!$A:$A,PAGE_1_old!$R31,CNXL_SQL_2!$D:$D,PAGE_1_old!$S$36))</f>
        <v/>
      </c>
      <c r="L31" s="48">
        <f>IF(SUMIFS(CNXL_SQL_2!$F:$F,CNXL_SQL_2!$A:$A,PAGE_1_old!$R31,CNXL_SQL_2!$D:$D,PAGE_1_old!$S$37)=0,"",SUMIFS(CNXL_SQL_2!$F:$F,CNXL_SQL_2!$A:$A,PAGE_1_old!$R31,CNXL_SQL_2!$D:$D,PAGE_1_old!$S$37))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IF(SUMIF(CNXL_SQL_2!$E:$E,PAGE_1_old!R31,CNXL_SQL_2!$F:$F)=0,"",SUMIF(CNXL_SQL_2!$E:$E,PAGE_1_old!R31,CNXL_SQL_2!$F:$F))</f>
        <v/>
      </c>
      <c r="Q31" s="59" t="n"/>
      <c r="R31" s="60" t="inlineStr">
        <is>
          <t>AX</t>
        </is>
      </c>
      <c r="S31" s="85" t="inlineStr">
        <is>
          <t>FLIGHT OPERATIONS</t>
        </is>
      </c>
      <c r="T31" s="60" t="n"/>
      <c r="U31" s="60" t="n"/>
      <c r="V31" s="59" t="n"/>
      <c r="W31" s="60" t="n"/>
      <c r="X31" s="60" t="n"/>
    </row>
    <row r="32" ht="14.5" customHeight="1" s="286">
      <c r="B32" s="191" t="inlineStr">
        <is>
          <t>YX - Republic</t>
        </is>
      </c>
      <c r="C32" s="81">
        <f>SUMIF(SCH_DEP_SQL_4!$A:$A,PAGE_1_old!R32,SCH_DEP_SQL_4!$E:$E)</f>
        <v/>
      </c>
      <c r="D32" s="190">
        <f>IF(SUMIFS(CNXL_SQL_2!$F:$F,CNXL_SQL_2!$A:$A,PAGE_1_old!$R32,CNXL_SQL_2!$D:$D,PAGE_1_old!$S$29)=0,"",SUMIFS(CNXL_SQL_2!$F:$F,CNXL_SQL_2!$A:$A,PAGE_1_old!$R32,CNXL_SQL_2!$D:$D,PAGE_1_old!$S$29))</f>
        <v/>
      </c>
      <c r="E32" s="190">
        <f>IF(SUMIFS(CNXL_SQL_2!$F:$F,CNXL_SQL_2!$A:$A,PAGE_1_old!$R32,CNXL_SQL_2!$D:$D,PAGE_1_old!$S$30)=0,"",SUMIFS(CNXL_SQL_2!$F:$F,CNXL_SQL_2!$A:$A,PAGE_1_old!$R32,CNXL_SQL_2!$D:$D,PAGE_1_old!$S$30))</f>
        <v/>
      </c>
      <c r="F32" s="190">
        <f>IF(SUMIFS(CNXL_SQL_2!$F:$F,CNXL_SQL_2!$A:$A,PAGE_1_old!$R32,CNXL_SQL_2!$D:$D,PAGE_1_old!$S$31)=0,"",SUMIFS(CNXL_SQL_2!$F:$F,CNXL_SQL_2!$A:$A,PAGE_1_old!$R32,CNXL_SQL_2!$D:$D,PAGE_1_old!$S$31))</f>
        <v/>
      </c>
      <c r="G32" s="190">
        <f>IF(SUMIFS(CNXL_SQL_2!$F:$F,CNXL_SQL_2!$A:$A,PAGE_1_old!$R32,CNXL_SQL_2!$D:$D,PAGE_1_old!$S$32)=0,"",SUMIFS(CNXL_SQL_2!$F:$F,CNXL_SQL_2!$A:$A,PAGE_1_old!$R32,CNXL_SQL_2!$D:$D,PAGE_1_old!$S$32))</f>
        <v/>
      </c>
      <c r="H32" s="190">
        <f>IF(SUMIFS(CNXL_SQL_2!$F:$F,CNXL_SQL_2!$A:$A,PAGE_1_old!$R32,CNXL_SQL_2!$D:$D,PAGE_1_old!$S$33)=0,"",SUMIFS(CNXL_SQL_2!$F:$F,CNXL_SQL_2!$A:$A,PAGE_1_old!$R32,CNXL_SQL_2!$D:$D,PAGE_1_old!$S$33))</f>
        <v/>
      </c>
      <c r="I32" s="190">
        <f>IF(SUMIFS(CNXL_SQL_2!$F:$F,CNXL_SQL_2!$A:$A,PAGE_1_old!$R32,CNXL_SQL_2!$D:$D,PAGE_1_old!$S$34)=0,"",SUMIFS(CNXL_SQL_2!$F:$F,CNXL_SQL_2!$A:$A,PAGE_1_old!$R32,CNXL_SQL_2!$D:$D,PAGE_1_old!$S$34))</f>
        <v/>
      </c>
      <c r="J32" s="190">
        <f>IF(SUMIFS(CNXL_SQL_2!$F:$F,CNXL_SQL_2!$A:$A,PAGE_1_old!$R32,CNXL_SQL_2!$D:$D,PAGE_1_old!$S$35)=0,"",SUMIFS(CNXL_SQL_2!$F:$F,CNXL_SQL_2!$A:$A,PAGE_1_old!$R32,CNXL_SQL_2!$D:$D,PAGE_1_old!$S$35))</f>
        <v/>
      </c>
      <c r="K32" s="190">
        <f>IF(SUMIFS(CNXL_SQL_2!$F:$F,CNXL_SQL_2!$A:$A,PAGE_1_old!$R32,CNXL_SQL_2!$D:$D,PAGE_1_old!$S$36)=0,"",SUMIFS(CNXL_SQL_2!$F:$F,CNXL_SQL_2!$A:$A,PAGE_1_old!$R32,CNXL_SQL_2!$D:$D,PAGE_1_old!$S$36))</f>
        <v/>
      </c>
      <c r="L32" s="190">
        <f>IF(SUMIFS(CNXL_SQL_2!$F:$F,CNXL_SQL_2!$A:$A,PAGE_1_old!$R32,CNXL_SQL_2!$D:$D,PAGE_1_old!$S$37)=0,"",SUMIFS(CNXL_SQL_2!$F:$F,CNXL_SQL_2!$A:$A,PAGE_1_old!$R32,CNXL_SQL_2!$D:$D,PAGE_1_old!$S$37))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IF(SUMIF(CNXL_SQL_2!$E:$E,PAGE_1_old!R32,CNXL_SQL_2!$F:$F)=0,"",SUMIF(CNXL_SQL_2!$E:$E,PAGE_1_old!R32,CNXL_SQL_2!$F:$F))</f>
        <v/>
      </c>
      <c r="Q32" s="59" t="n"/>
      <c r="R32" s="60" t="inlineStr">
        <is>
          <t>YX</t>
        </is>
      </c>
      <c r="S32" s="85" t="inlineStr">
        <is>
          <t>INFLIGHT SERVICES</t>
        </is>
      </c>
      <c r="T32" s="60" t="n"/>
      <c r="U32" s="60" t="n"/>
      <c r="V32" s="59" t="n"/>
      <c r="W32" s="60" t="n"/>
      <c r="X32" s="60" t="n"/>
    </row>
    <row r="33" ht="14.5" customHeight="1" s="286">
      <c r="B33" s="66" t="inlineStr">
        <is>
          <t>G7 - Go Jet</t>
        </is>
      </c>
      <c r="C33" s="80">
        <f>SUMIF(SCH_DEP_SQL_4!$A:$A,PAGE_1_old!R33,SCH_DEP_SQL_4!$E:$E)</f>
        <v/>
      </c>
      <c r="D33" s="48">
        <f>IF(SUMIFS(CNXL_SQL_2!$F:$F,CNXL_SQL_2!$A:$A,PAGE_1_old!$R33,CNXL_SQL_2!$D:$D,PAGE_1_old!$S$29)=0,"",SUMIFS(CNXL_SQL_2!$F:$F,CNXL_SQL_2!$A:$A,PAGE_1_old!$R33,CNXL_SQL_2!$D:$D,PAGE_1_old!$S$29))</f>
        <v/>
      </c>
      <c r="E33" s="48">
        <f>IF(SUMIFS(CNXL_SQL_2!$F:$F,CNXL_SQL_2!$A:$A,PAGE_1_old!$R33,CNXL_SQL_2!$D:$D,PAGE_1_old!$S$30)=0,"",SUMIFS(CNXL_SQL_2!$F:$F,CNXL_SQL_2!$A:$A,PAGE_1_old!$R33,CNXL_SQL_2!$D:$D,PAGE_1_old!$S$30))</f>
        <v/>
      </c>
      <c r="F33" s="48">
        <f>IF(SUMIFS(CNXL_SQL_2!$F:$F,CNXL_SQL_2!$A:$A,PAGE_1_old!$R33,CNXL_SQL_2!$D:$D,PAGE_1_old!$S$31)=0,"",SUMIFS(CNXL_SQL_2!$F:$F,CNXL_SQL_2!$A:$A,PAGE_1_old!$R33,CNXL_SQL_2!$D:$D,PAGE_1_old!$S$31))</f>
        <v/>
      </c>
      <c r="G33" s="48">
        <f>IF(SUMIFS(CNXL_SQL_2!$F:$F,CNXL_SQL_2!$A:$A,PAGE_1_old!$R33,CNXL_SQL_2!$D:$D,PAGE_1_old!$S$32)=0,"",SUMIFS(CNXL_SQL_2!$F:$F,CNXL_SQL_2!$A:$A,PAGE_1_old!$R33,CNXL_SQL_2!$D:$D,PAGE_1_old!$S$32))</f>
        <v/>
      </c>
      <c r="H33" s="48">
        <f>IF(SUMIFS(CNXL_SQL_2!$F:$F,CNXL_SQL_2!$A:$A,PAGE_1_old!$R33,CNXL_SQL_2!$D:$D,PAGE_1_old!$S$33)=0,"",SUMIFS(CNXL_SQL_2!$F:$F,CNXL_SQL_2!$A:$A,PAGE_1_old!$R33,CNXL_SQL_2!$D:$D,PAGE_1_old!$S$33))</f>
        <v/>
      </c>
      <c r="I33" s="48">
        <f>IF(SUMIFS(CNXL_SQL_2!$F:$F,CNXL_SQL_2!$A:$A,PAGE_1_old!$R33,CNXL_SQL_2!$D:$D,PAGE_1_old!$S$34)=0,"",SUMIFS(CNXL_SQL_2!$F:$F,CNXL_SQL_2!$A:$A,PAGE_1_old!$R33,CNXL_SQL_2!$D:$D,PAGE_1_old!$S$34))</f>
        <v/>
      </c>
      <c r="J33" s="48">
        <f>IF(SUMIFS(CNXL_SQL_2!$F:$F,CNXL_SQL_2!$A:$A,PAGE_1_old!$R33,CNXL_SQL_2!$D:$D,PAGE_1_old!$S$35)=0,"",SUMIFS(CNXL_SQL_2!$F:$F,CNXL_SQL_2!$A:$A,PAGE_1_old!$R33,CNXL_SQL_2!$D:$D,PAGE_1_old!$S$35))</f>
        <v/>
      </c>
      <c r="K33" s="48">
        <f>IF(SUMIFS(CNXL_SQL_2!$F:$F,CNXL_SQL_2!$A:$A,PAGE_1_old!$R33,CNXL_SQL_2!$D:$D,PAGE_1_old!$S$36)=0,"",SUMIFS(CNXL_SQL_2!$F:$F,CNXL_SQL_2!$A:$A,PAGE_1_old!$R33,CNXL_SQL_2!$D:$D,PAGE_1_old!$S$36))</f>
        <v/>
      </c>
      <c r="L33" s="48">
        <f>IF(SUMIFS(CNXL_SQL_2!$F:$F,CNXL_SQL_2!$A:$A,PAGE_1_old!$R33,CNXL_SQL_2!$D:$D,PAGE_1_old!$S$37)=0,"",SUMIFS(CNXL_SQL_2!$F:$F,CNXL_SQL_2!$A:$A,PAGE_1_old!$R33,CNXL_SQL_2!$D:$D,PAGE_1_old!$S$37))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IF(SUMIF(CNXL_SQL_2!$E:$E,PAGE_1_old!R33,CNXL_SQL_2!$F:$F)=0,"",SUMIF(CNXL_SQL_2!$E:$E,PAGE_1_old!R33,CNXL_SQL_2!$F:$F))</f>
        <v/>
      </c>
      <c r="Q33" s="59" t="n"/>
      <c r="R33" s="60" t="inlineStr">
        <is>
          <t>G7</t>
        </is>
      </c>
      <c r="S33" s="85" t="inlineStr">
        <is>
          <t>AIRPORT OPERATIONS</t>
        </is>
      </c>
      <c r="T33" s="60" t="n"/>
      <c r="U33" s="60" t="n"/>
      <c r="V33" s="59" t="n"/>
      <c r="W33" s="60" t="n"/>
      <c r="X33" s="60" t="n"/>
    </row>
    <row r="34" ht="14.5" customHeight="1" s="286">
      <c r="B34" s="191" t="inlineStr">
        <is>
          <t>C5 - CommutAir</t>
        </is>
      </c>
      <c r="C34" s="81">
        <f>SUMIF(SCH_DEP_SQL_4!$A:$A,PAGE_1_old!R34,SCH_DEP_SQL_4!$E:$E)</f>
        <v/>
      </c>
      <c r="D34" s="190">
        <f>IF(SUMIFS(CNXL_SQL_2!$F:$F,CNXL_SQL_2!$A:$A,PAGE_1_old!$R34,CNXL_SQL_2!$D:$D,PAGE_1_old!$S$29)=0,"",SUMIFS(CNXL_SQL_2!$F:$F,CNXL_SQL_2!$A:$A,PAGE_1_old!$R34,CNXL_SQL_2!$D:$D,PAGE_1_old!$S$29))</f>
        <v/>
      </c>
      <c r="E34" s="190">
        <f>IF(SUMIFS(CNXL_SQL_2!$F:$F,CNXL_SQL_2!$A:$A,PAGE_1_old!$R34,CNXL_SQL_2!$D:$D,PAGE_1_old!$S$30)=0,"",SUMIFS(CNXL_SQL_2!$F:$F,CNXL_SQL_2!$A:$A,PAGE_1_old!$R34,CNXL_SQL_2!$D:$D,PAGE_1_old!$S$30))</f>
        <v/>
      </c>
      <c r="F34" s="190">
        <f>IF(SUMIFS(CNXL_SQL_2!$F:$F,CNXL_SQL_2!$A:$A,PAGE_1_old!$R34,CNXL_SQL_2!$D:$D,PAGE_1_old!$S$31)=0,"",SUMIFS(CNXL_SQL_2!$F:$F,CNXL_SQL_2!$A:$A,PAGE_1_old!$R34,CNXL_SQL_2!$D:$D,PAGE_1_old!$S$31))</f>
        <v/>
      </c>
      <c r="G34" s="190">
        <f>IF(SUMIFS(CNXL_SQL_2!$F:$F,CNXL_SQL_2!$A:$A,PAGE_1_old!$R34,CNXL_SQL_2!$D:$D,PAGE_1_old!$S$32)=0,"",SUMIFS(CNXL_SQL_2!$F:$F,CNXL_SQL_2!$A:$A,PAGE_1_old!$R34,CNXL_SQL_2!$D:$D,PAGE_1_old!$S$32))</f>
        <v/>
      </c>
      <c r="H34" s="190">
        <f>IF(SUMIFS(CNXL_SQL_2!$F:$F,CNXL_SQL_2!$A:$A,PAGE_1_old!$R34,CNXL_SQL_2!$D:$D,PAGE_1_old!$S$33)=0,"",SUMIFS(CNXL_SQL_2!$F:$F,CNXL_SQL_2!$A:$A,PAGE_1_old!$R34,CNXL_SQL_2!$D:$D,PAGE_1_old!$S$33))</f>
        <v/>
      </c>
      <c r="I34" s="190">
        <f>IF(SUMIFS(CNXL_SQL_2!$F:$F,CNXL_SQL_2!$A:$A,PAGE_1_old!$R34,CNXL_SQL_2!$D:$D,PAGE_1_old!$S$34)=0,"",SUMIFS(CNXL_SQL_2!$F:$F,CNXL_SQL_2!$A:$A,PAGE_1_old!$R34,CNXL_SQL_2!$D:$D,PAGE_1_old!$S$34))</f>
        <v/>
      </c>
      <c r="J34" s="190">
        <f>IF(SUMIFS(CNXL_SQL_2!$F:$F,CNXL_SQL_2!$A:$A,PAGE_1_old!$R34,CNXL_SQL_2!$D:$D,PAGE_1_old!$S$35)=0,"",SUMIFS(CNXL_SQL_2!$F:$F,CNXL_SQL_2!$A:$A,PAGE_1_old!$R34,CNXL_SQL_2!$D:$D,PAGE_1_old!$S$35))</f>
        <v/>
      </c>
      <c r="K34" s="190">
        <f>IF(SUMIFS(CNXL_SQL_2!$F:$F,CNXL_SQL_2!$A:$A,PAGE_1_old!$R34,CNXL_SQL_2!$D:$D,PAGE_1_old!$S$36)=0,"",SUMIFS(CNXL_SQL_2!$F:$F,CNXL_SQL_2!$A:$A,PAGE_1_old!$R34,CNXL_SQL_2!$D:$D,PAGE_1_old!$S$36))</f>
        <v/>
      </c>
      <c r="L34" s="190">
        <f>IF(SUMIFS(CNXL_SQL_2!$F:$F,CNXL_SQL_2!$A:$A,PAGE_1_old!$R34,CNXL_SQL_2!$D:$D,PAGE_1_old!$S$37)=0,"",SUMIFS(CNXL_SQL_2!$F:$F,CNXL_SQL_2!$A:$A,PAGE_1_old!$R34,CNXL_SQL_2!$D:$D,PAGE_1_old!$S$37))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IF(SUMIF(CNXL_SQL_2!$E:$E,PAGE_1_old!R34,CNXL_SQL_2!$F:$F)=0,"",SUMIF(CNXL_SQL_2!$E:$E,PAGE_1_old!R34,CNXL_SQL_2!$F:$F))</f>
        <v/>
      </c>
      <c r="Q34" s="59" t="n"/>
      <c r="R34" s="60" t="inlineStr">
        <is>
          <t>C5</t>
        </is>
      </c>
      <c r="S34" s="85" t="inlineStr">
        <is>
          <t>NETWORK OPERATIONS CENTER</t>
        </is>
      </c>
      <c r="T34" s="60" t="n"/>
      <c r="U34" s="60" t="n"/>
      <c r="V34" s="59" t="n"/>
      <c r="W34" s="60" t="n"/>
      <c r="X34" s="60" t="n"/>
    </row>
    <row r="35" ht="14.5" customHeight="1" s="286">
      <c r="B35" s="66" t="inlineStr">
        <is>
          <t>YV - Mesa</t>
        </is>
      </c>
      <c r="C35" s="80">
        <f>SUMIF(SCH_DEP_SQL_4!$A:$A,PAGE_1_old!R35,SCH_DEP_SQL_4!$E:$E)</f>
        <v/>
      </c>
      <c r="D35" s="48">
        <f>IF(SUMIFS(CNXL_SQL_2!$F:$F,CNXL_SQL_2!$A:$A,PAGE_1_old!$R35,CNXL_SQL_2!$D:$D,PAGE_1_old!$S$29)=0,"",SUMIFS(CNXL_SQL_2!$F:$F,CNXL_SQL_2!$A:$A,PAGE_1_old!$R35,CNXL_SQL_2!$D:$D,PAGE_1_old!$S$29))</f>
        <v/>
      </c>
      <c r="E35" s="48">
        <f>IF(SUMIFS(CNXL_SQL_2!$F:$F,CNXL_SQL_2!$A:$A,PAGE_1_old!$R35,CNXL_SQL_2!$D:$D,PAGE_1_old!$S$30)=0,"",SUMIFS(CNXL_SQL_2!$F:$F,CNXL_SQL_2!$A:$A,PAGE_1_old!$R35,CNXL_SQL_2!$D:$D,PAGE_1_old!$S$30))</f>
        <v/>
      </c>
      <c r="F35" s="48">
        <f>IF(SUMIFS(CNXL_SQL_2!$F:$F,CNXL_SQL_2!$A:$A,PAGE_1_old!$R35,CNXL_SQL_2!$D:$D,PAGE_1_old!$S$31)=0,"",SUMIFS(CNXL_SQL_2!$F:$F,CNXL_SQL_2!$A:$A,PAGE_1_old!$R35,CNXL_SQL_2!$D:$D,PAGE_1_old!$S$31))</f>
        <v/>
      </c>
      <c r="G35" s="48">
        <f>IF(SUMIFS(CNXL_SQL_2!$F:$F,CNXL_SQL_2!$A:$A,PAGE_1_old!$R35,CNXL_SQL_2!$D:$D,PAGE_1_old!$S$32)=0,"",SUMIFS(CNXL_SQL_2!$F:$F,CNXL_SQL_2!$A:$A,PAGE_1_old!$R35,CNXL_SQL_2!$D:$D,PAGE_1_old!$S$32))</f>
        <v/>
      </c>
      <c r="H35" s="48">
        <f>IF(SUMIFS(CNXL_SQL_2!$F:$F,CNXL_SQL_2!$A:$A,PAGE_1_old!$R35,CNXL_SQL_2!$D:$D,PAGE_1_old!$S$33)=0,"",SUMIFS(CNXL_SQL_2!$F:$F,CNXL_SQL_2!$A:$A,PAGE_1_old!$R35,CNXL_SQL_2!$D:$D,PAGE_1_old!$S$33))</f>
        <v/>
      </c>
      <c r="I35" s="48">
        <f>IF(SUMIFS(CNXL_SQL_2!$F:$F,CNXL_SQL_2!$A:$A,PAGE_1_old!$R35,CNXL_SQL_2!$D:$D,PAGE_1_old!$S$34)=0,"",SUMIFS(CNXL_SQL_2!$F:$F,CNXL_SQL_2!$A:$A,PAGE_1_old!$R35,CNXL_SQL_2!$D:$D,PAGE_1_old!$S$34))</f>
        <v/>
      </c>
      <c r="J35" s="48">
        <f>IF(SUMIFS(CNXL_SQL_2!$F:$F,CNXL_SQL_2!$A:$A,PAGE_1_old!$R35,CNXL_SQL_2!$D:$D,PAGE_1_old!$S$35)=0,"",SUMIFS(CNXL_SQL_2!$F:$F,CNXL_SQL_2!$A:$A,PAGE_1_old!$R35,CNXL_SQL_2!$D:$D,PAGE_1_old!$S$35))</f>
        <v/>
      </c>
      <c r="K35" s="48">
        <f>IF(SUMIFS(CNXL_SQL_2!$F:$F,CNXL_SQL_2!$A:$A,PAGE_1_old!$R35,CNXL_SQL_2!$D:$D,PAGE_1_old!$S$36)=0,"",SUMIFS(CNXL_SQL_2!$F:$F,CNXL_SQL_2!$A:$A,PAGE_1_old!$R35,CNXL_SQL_2!$D:$D,PAGE_1_old!$S$36))</f>
        <v/>
      </c>
      <c r="L35" s="48">
        <f>IF(SUMIFS(CNXL_SQL_2!$F:$F,CNXL_SQL_2!$A:$A,PAGE_1_old!$R35,CNXL_SQL_2!$D:$D,PAGE_1_old!$S$37)=0,"",SUMIFS(CNXL_SQL_2!$F:$F,CNXL_SQL_2!$A:$A,PAGE_1_old!$R35,CNXL_SQL_2!$D:$D,PAGE_1_old!$S$37))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IF(SUMIF(CNXL_SQL_2!$E:$E,PAGE_1_old!R35,CNXL_SQL_2!$F:$F)=0,"",SUMIF(CNXL_SQL_2!$E:$E,PAGE_1_old!R35,CNXL_SQL_2!$F:$F))</f>
        <v/>
      </c>
      <c r="Q35" s="59" t="n"/>
      <c r="R35" s="60" t="inlineStr">
        <is>
          <t>YV</t>
        </is>
      </c>
      <c r="S35" s="85" t="inlineStr">
        <is>
          <t>TECHNOLOGY</t>
        </is>
      </c>
      <c r="T35" s="60" t="n"/>
      <c r="U35" s="60" t="n"/>
      <c r="V35" s="59" t="n"/>
      <c r="W35" s="60" t="n"/>
      <c r="X35" s="60" t="n"/>
    </row>
    <row r="36" ht="15" customHeight="1" s="286" thickBot="1">
      <c r="B36" s="191" t="inlineStr">
        <is>
          <t>ZW - Air Wisconsin</t>
        </is>
      </c>
      <c r="C36" s="81">
        <f>SUMIF(SCH_DEP_SQL_4!$A:$A,PAGE_1_old!R36,SCH_DEP_SQL_4!$E:$E)</f>
        <v/>
      </c>
      <c r="D36" s="190">
        <f>IF(SUMIFS(CNXL_SQL_2!$F:$F,CNXL_SQL_2!$A:$A,PAGE_1_old!$R36,CNXL_SQL_2!$D:$D,PAGE_1_old!$S$29)=0,"",SUMIFS(CNXL_SQL_2!$F:$F,CNXL_SQL_2!$A:$A,PAGE_1_old!$R36,CNXL_SQL_2!$D:$D,PAGE_1_old!$S$29))</f>
        <v/>
      </c>
      <c r="E36" s="190">
        <f>IF(SUMIFS(CNXL_SQL_2!$F:$F,CNXL_SQL_2!$A:$A,PAGE_1_old!$R36,CNXL_SQL_2!$D:$D,PAGE_1_old!$S$30)=0,"",SUMIFS(CNXL_SQL_2!$F:$F,CNXL_SQL_2!$A:$A,PAGE_1_old!$R36,CNXL_SQL_2!$D:$D,PAGE_1_old!$S$30))</f>
        <v/>
      </c>
      <c r="F36" s="190">
        <f>IF(SUMIFS(CNXL_SQL_2!$F:$F,CNXL_SQL_2!$A:$A,PAGE_1_old!$R36,CNXL_SQL_2!$D:$D,PAGE_1_old!$S$31)=0,"",SUMIFS(CNXL_SQL_2!$F:$F,CNXL_SQL_2!$A:$A,PAGE_1_old!$R36,CNXL_SQL_2!$D:$D,PAGE_1_old!$S$31))</f>
        <v/>
      </c>
      <c r="G36" s="190">
        <f>IF(SUMIFS(CNXL_SQL_2!$F:$F,CNXL_SQL_2!$A:$A,PAGE_1_old!$R36,CNXL_SQL_2!$D:$D,PAGE_1_old!$S$32)=0,"",SUMIFS(CNXL_SQL_2!$F:$F,CNXL_SQL_2!$A:$A,PAGE_1_old!$R36,CNXL_SQL_2!$D:$D,PAGE_1_old!$S$32))</f>
        <v/>
      </c>
      <c r="H36" s="190">
        <f>IF(SUMIFS(CNXL_SQL_2!$F:$F,CNXL_SQL_2!$A:$A,PAGE_1_old!$R36,CNXL_SQL_2!$D:$D,PAGE_1_old!$S$33)=0,"",SUMIFS(CNXL_SQL_2!$F:$F,CNXL_SQL_2!$A:$A,PAGE_1_old!$R36,CNXL_SQL_2!$D:$D,PAGE_1_old!$S$33))</f>
        <v/>
      </c>
      <c r="I36" s="190">
        <f>IF(SUMIFS(CNXL_SQL_2!$F:$F,CNXL_SQL_2!$A:$A,PAGE_1_old!$R36,CNXL_SQL_2!$D:$D,PAGE_1_old!$S$34)=0,"",SUMIFS(CNXL_SQL_2!$F:$F,CNXL_SQL_2!$A:$A,PAGE_1_old!$R36,CNXL_SQL_2!$D:$D,PAGE_1_old!$S$34))</f>
        <v/>
      </c>
      <c r="J36" s="190">
        <f>IF(SUMIFS(CNXL_SQL_2!$F:$F,CNXL_SQL_2!$A:$A,PAGE_1_old!$R36,CNXL_SQL_2!$D:$D,PAGE_1_old!$S$35)=0,"",SUMIFS(CNXL_SQL_2!$F:$F,CNXL_SQL_2!$A:$A,PAGE_1_old!$R36,CNXL_SQL_2!$D:$D,PAGE_1_old!$S$35))</f>
        <v/>
      </c>
      <c r="K36" s="190">
        <f>IF(SUMIFS(CNXL_SQL_2!$F:$F,CNXL_SQL_2!$A:$A,PAGE_1_old!$R36,CNXL_SQL_2!$D:$D,PAGE_1_old!$S$36)=0,"",SUMIFS(CNXL_SQL_2!$F:$F,CNXL_SQL_2!$A:$A,PAGE_1_old!$R36,CNXL_SQL_2!$D:$D,PAGE_1_old!$S$36))</f>
        <v/>
      </c>
      <c r="L36" s="190">
        <f>IF(SUMIFS(CNXL_SQL_2!$F:$F,CNXL_SQL_2!$A:$A,PAGE_1_old!$R36,CNXL_SQL_2!$D:$D,PAGE_1_old!$S$37)=0,"",SUMIFS(CNXL_SQL_2!$F:$F,CNXL_SQL_2!$A:$A,PAGE_1_old!$R36,CNXL_SQL_2!$D:$D,PAGE_1_old!$S$37))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IF(SUMIF(CNXL_SQL_2!$E:$E,PAGE_1_old!R36,CNXL_SQL_2!$F:$F)=0,"",SUMIF(CNXL_SQL_2!$E:$E,PAGE_1_old!R36,CNXL_SQL_2!$F:$F))</f>
        <v/>
      </c>
      <c r="Q36" s="59" t="n"/>
      <c r="R36" s="60" t="inlineStr">
        <is>
          <t>ZW</t>
        </is>
      </c>
      <c r="S36" s="85" t="inlineStr">
        <is>
          <t>CATERING OPERATIONS</t>
        </is>
      </c>
      <c r="T36" s="60" t="n"/>
      <c r="U36" s="60" t="n"/>
      <c r="V36" s="59" t="n"/>
      <c r="W36" s="60" t="n"/>
      <c r="X36" s="60" t="n"/>
    </row>
    <row r="37" ht="15" customHeight="1" s="286" thickBot="1">
      <c r="B37" s="68" t="inlineStr">
        <is>
          <t>Total:</t>
        </is>
      </c>
      <c r="C37" s="82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9" t="n"/>
      <c r="R37" s="60" t="n"/>
      <c r="S37" s="85" t="inlineStr">
        <is>
          <t>OTHER</t>
        </is>
      </c>
      <c r="T37" s="60" t="n"/>
      <c r="U37" s="60" t="n"/>
      <c r="V37" s="59" t="n"/>
      <c r="W37" s="60" t="n"/>
      <c r="X37" s="60" t="n"/>
    </row>
    <row r="38" ht="9.4" customHeight="1" s="286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9" t="n"/>
      <c r="R38" s="60" t="n"/>
      <c r="S38" s="60" t="n"/>
      <c r="T38" s="60" t="n"/>
      <c r="U38" s="60" t="n"/>
      <c r="V38" s="59" t="n"/>
      <c r="W38" s="60" t="n"/>
      <c r="X38" s="60" t="n"/>
    </row>
    <row r="39" ht="9.4" customHeight="1" s="286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9" t="n"/>
      <c r="R39" s="60" t="n"/>
      <c r="S39" s="60" t="n"/>
      <c r="T39" s="60" t="n"/>
      <c r="U39" s="60" t="n"/>
      <c r="V39" s="59" t="n"/>
      <c r="W39" s="60" t="n"/>
      <c r="X39" s="60" t="n"/>
    </row>
    <row r="40" ht="9.4" customHeight="1" s="286" thickBot="1">
      <c r="Q40" s="59" t="n"/>
      <c r="R40" s="60" t="n"/>
      <c r="S40" s="60" t="n"/>
      <c r="T40" s="60" t="n"/>
      <c r="U40" s="60" t="n"/>
      <c r="V40" s="59" t="n"/>
      <c r="W40" s="60" t="n"/>
      <c r="X40" s="60" t="n"/>
    </row>
    <row r="41" ht="16" customHeight="1" s="286" thickBot="1">
      <c r="B41" s="316" t="inlineStr">
        <is>
          <t>Residual Cancel Detail</t>
        </is>
      </c>
      <c r="C41" s="350" t="n"/>
      <c r="D41" s="350" t="n"/>
      <c r="E41" s="350" t="n"/>
      <c r="F41" s="350" t="n"/>
      <c r="G41" s="350" t="n"/>
      <c r="H41" s="350" t="n"/>
      <c r="I41" s="350" t="n"/>
      <c r="J41" s="350" t="n"/>
      <c r="K41" s="350" t="n"/>
      <c r="L41" s="350" t="n"/>
      <c r="M41" s="350" t="n"/>
      <c r="N41" s="350" t="n"/>
      <c r="O41" s="350" t="n"/>
      <c r="P41" s="350" t="n"/>
      <c r="Q41" s="59" t="n"/>
      <c r="R41" s="60" t="n"/>
      <c r="S41" s="60" t="n"/>
      <c r="T41" s="60" t="n"/>
      <c r="U41" s="60" t="n"/>
      <c r="V41" s="59" t="n"/>
      <c r="W41" s="60" t="n"/>
      <c r="X41" s="60" t="n"/>
    </row>
    <row r="42" ht="30.65" customHeight="1" s="286" thickBot="1">
      <c r="B42" s="70" t="inlineStr">
        <is>
          <t>Express Partner</t>
        </is>
      </c>
      <c r="C42" s="71" t="inlineStr">
        <is>
          <t>Scheduled Departures</t>
        </is>
      </c>
      <c r="D42" s="72" t="inlineStr">
        <is>
          <t>Weather &amp; ATC</t>
        </is>
      </c>
      <c r="E42" s="72" t="inlineStr">
        <is>
          <t>Technical Operations</t>
        </is>
      </c>
      <c r="F42" s="72" t="inlineStr">
        <is>
          <t>Flight Operations</t>
        </is>
      </c>
      <c r="G42" s="72" t="inlineStr">
        <is>
          <t>Inflight Services</t>
        </is>
      </c>
      <c r="H42" s="72" t="inlineStr">
        <is>
          <t>Airport Operations</t>
        </is>
      </c>
      <c r="I42" s="72" t="inlineStr">
        <is>
          <t>Network Operations</t>
        </is>
      </c>
      <c r="J42" s="72" t="inlineStr">
        <is>
          <t>IT</t>
        </is>
      </c>
      <c r="K42" s="72" t="inlineStr">
        <is>
          <t>Catering Operations</t>
        </is>
      </c>
      <c r="L42" s="72" t="inlineStr">
        <is>
          <t>Other</t>
        </is>
      </c>
      <c r="M42" s="73" t="inlineStr">
        <is>
          <t>Total Cancels</t>
        </is>
      </c>
      <c r="N42" s="74" t="inlineStr">
        <is>
          <t>ES covered for this partner</t>
        </is>
      </c>
      <c r="O42" s="74" t="inlineStr">
        <is>
          <t>Net Cancel</t>
        </is>
      </c>
      <c r="P42" s="74" t="inlineStr">
        <is>
          <t>ES covered by this partner</t>
        </is>
      </c>
      <c r="Q42" s="59" t="n"/>
      <c r="R42" s="59" t="n"/>
      <c r="S42" s="59" t="n"/>
      <c r="T42" s="59" t="n"/>
      <c r="U42" s="59" t="n"/>
      <c r="V42" s="59" t="n"/>
      <c r="W42" s="60" t="n"/>
      <c r="X42" s="60" t="n"/>
    </row>
    <row r="43" ht="13" customHeight="1" s="286">
      <c r="B43" s="66" t="inlineStr">
        <is>
          <t>EV - ExpressJet</t>
        </is>
      </c>
      <c r="C43" s="80">
        <f>SUMIF(SCH_DEP_SQL_4!$A:$A,PAGE_1_old!R29,SCH_DEP_SQL_4!$E:$E)</f>
        <v/>
      </c>
      <c r="D43" s="48">
        <f>IF(SUMIFS(RES_CNXL_SQL_3!$F:$F,RES_CNXL_SQL_3!$A:$A,PAGE_1_old!$R29,RES_CNXL_SQL_3!$D:$D,PAGE_1_old!$S$29)=0,"",SUMIFS(RES_CNXL_SQL_3!$F:$F,RES_CNXL_SQL_3!$A:$A,PAGE_1_old!$R29,RES_CNXL_SQL_3!$D:$D,PAGE_1_old!$S$29))</f>
        <v/>
      </c>
      <c r="E43" s="48">
        <f>IF(SUMIFS(RES_CNXL_SQL_3!$F:$F,RES_CNXL_SQL_3!$A:$A,PAGE_1_old!$R29,RES_CNXL_SQL_3!$D:$D,PAGE_1_old!$S$30)=0,"",SUMIFS(RES_CNXL_SQL_3!$F:$F,RES_CNXL_SQL_3!$A:$A,PAGE_1_old!$R29,RES_CNXL_SQL_3!$D:$D,PAGE_1_old!$S$30))</f>
        <v/>
      </c>
      <c r="F43" s="48">
        <f>IF(SUMIFS(RES_CNXL_SQL_3!$F:$F,RES_CNXL_SQL_3!$A:$A,PAGE_1_old!$R29,RES_CNXL_SQL_3!$D:$D,PAGE_1_old!$S$31)=0,"",SUMIFS(RES_CNXL_SQL_3!$F:$F,RES_CNXL_SQL_3!$A:$A,PAGE_1_old!$R29,RES_CNXL_SQL_3!$D:$D,PAGE_1_old!$S$31))</f>
        <v/>
      </c>
      <c r="G43" s="48">
        <f>IF(SUMIFS(RES_CNXL_SQL_3!$F:$F,RES_CNXL_SQL_3!$A:$A,PAGE_1_old!$R29,RES_CNXL_SQL_3!$D:$D,PAGE_1_old!$S$32)=0,"",SUMIFS(RES_CNXL_SQL_3!$F:$F,RES_CNXL_SQL_3!$A:$A,PAGE_1_old!$R29,RES_CNXL_SQL_3!$D:$D,PAGE_1_old!$S$32))</f>
        <v/>
      </c>
      <c r="H43" s="48">
        <f>IF(SUMIFS(RES_CNXL_SQL_3!$F:$F,RES_CNXL_SQL_3!$A:$A,PAGE_1_old!$R29,RES_CNXL_SQL_3!$D:$D,PAGE_1_old!$S$33)=0,"",SUMIFS(RES_CNXL_SQL_3!$F:$F,RES_CNXL_SQL_3!$A:$A,PAGE_1_old!$R29,RES_CNXL_SQL_3!$D:$D,PAGE_1_old!$S$33))</f>
        <v/>
      </c>
      <c r="I43" s="48">
        <f>IF(SUMIFS(RES_CNXL_SQL_3!$F:$F,RES_CNXL_SQL_3!$A:$A,PAGE_1_old!$R29,RES_CNXL_SQL_3!$D:$D,PAGE_1_old!$S$34)=0,"",SUMIFS(RES_CNXL_SQL_3!$F:$F,RES_CNXL_SQL_3!$A:$A,PAGE_1_old!$R29,RES_CNXL_SQL_3!$D:$D,PAGE_1_old!$S$34))</f>
        <v/>
      </c>
      <c r="J43" s="48">
        <f>IF(SUMIFS(RES_CNXL_SQL_3!$F:$F,RES_CNXL_SQL_3!$A:$A,PAGE_1_old!$R29,RES_CNXL_SQL_3!$D:$D,PAGE_1_old!$S$35)=0,"",SUMIFS(RES_CNXL_SQL_3!$F:$F,RES_CNXL_SQL_3!$A:$A,PAGE_1_old!$R29,RES_CNXL_SQL_3!$D:$D,PAGE_1_old!$S$35))</f>
        <v/>
      </c>
      <c r="K43" s="48">
        <f>IF(SUMIFS(RES_CNXL_SQL_3!$F:$F,RES_CNXL_SQL_3!$A:$A,PAGE_1_old!$R29,RES_CNXL_SQL_3!$D:$D,PAGE_1_old!$S$36)=0,"",SUMIFS(RES_CNXL_SQL_3!$F:$F,RES_CNXL_SQL_3!$A:$A,PAGE_1_old!$R29,RES_CNXL_SQL_3!$D:$D,PAGE_1_old!$S$36))</f>
        <v/>
      </c>
      <c r="L43" s="48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IF(SUMIF(RES_CNXL_SQL_3!$E:$E,PAGE_1_old!R29,RES_CNXL_SQL_3!$F:$F)=0,"",SUMIF(RES_CNXL_SQL_3!$E:$E,PAGE_1_old!R29,RES_CNXL_SQL_3!$F:$F))</f>
        <v/>
      </c>
      <c r="Q43" s="60" t="n"/>
      <c r="R43" s="60" t="n"/>
      <c r="S43" s="60" t="n"/>
      <c r="T43" s="60" t="n"/>
      <c r="U43" s="60" t="n"/>
      <c r="V43" s="60" t="n"/>
      <c r="W43" s="60" t="n"/>
      <c r="X43" s="60" t="n"/>
    </row>
    <row r="44" ht="13" customHeight="1" s="286">
      <c r="B44" s="191" t="inlineStr">
        <is>
          <t>OO - SkyWest</t>
        </is>
      </c>
      <c r="C44" s="81">
        <f>SUMIF(SCH_DEP_SQL_4!$A:$A,PAGE_1_old!R30,SCH_DEP_SQL_4!$E:$E)</f>
        <v/>
      </c>
      <c r="D44" s="190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90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90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90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90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90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90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90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90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IF(SUMIF(RES_CNXL_SQL_3!$E:$E,PAGE_1_old!R30,RES_CNXL_SQL_3!$F:$F)=0,"",SUMIF(RES_CNXL_SQL_3!$E:$E,PAGE_1_old!R30,RES_CNXL_SQL_3!$F:$F))</f>
        <v/>
      </c>
    </row>
    <row r="45" ht="13" customHeight="1" s="286">
      <c r="B45" s="66" t="inlineStr">
        <is>
          <t>AX - Trans States</t>
        </is>
      </c>
      <c r="C45" s="80">
        <f>SUMIF(SCH_DEP_SQL_4!$A:$A,PAGE_1_old!R31,SCH_DEP_SQL_4!$E:$E)</f>
        <v/>
      </c>
      <c r="D45" s="48">
        <f>IF(SUMIFS(RES_CNXL_SQL_3!$F:$F,RES_CNXL_SQL_3!$A:$A,PAGE_1_old!$R31,RES_CNXL_SQL_3!$D:$D,PAGE_1_old!$S$29)=0,"",SUMIFS(RES_CNXL_SQL_3!$F:$F,RES_CNXL_SQL_3!$A:$A,PAGE_1_old!$R31,RES_CNXL_SQL_3!$D:$D,PAGE_1_old!$S$29))</f>
        <v/>
      </c>
      <c r="E45" s="48">
        <f>IF(SUMIFS(RES_CNXL_SQL_3!$F:$F,RES_CNXL_SQL_3!$A:$A,PAGE_1_old!$R31,RES_CNXL_SQL_3!$D:$D,PAGE_1_old!$S$30)=0,"",SUMIFS(RES_CNXL_SQL_3!$F:$F,RES_CNXL_SQL_3!$A:$A,PAGE_1_old!$R31,RES_CNXL_SQL_3!$D:$D,PAGE_1_old!$S$30))</f>
        <v/>
      </c>
      <c r="F45" s="48">
        <f>IF(SUMIFS(RES_CNXL_SQL_3!$F:$F,RES_CNXL_SQL_3!$A:$A,PAGE_1_old!$R31,RES_CNXL_SQL_3!$D:$D,PAGE_1_old!$S$31)=0,"",SUMIFS(RES_CNXL_SQL_3!$F:$F,RES_CNXL_SQL_3!$A:$A,PAGE_1_old!$R31,RES_CNXL_SQL_3!$D:$D,PAGE_1_old!$S$31))</f>
        <v/>
      </c>
      <c r="G45" s="48">
        <f>IF(SUMIFS(RES_CNXL_SQL_3!$F:$F,RES_CNXL_SQL_3!$A:$A,PAGE_1_old!$R31,RES_CNXL_SQL_3!$D:$D,PAGE_1_old!$S$32)=0,"",SUMIFS(RES_CNXL_SQL_3!$F:$F,RES_CNXL_SQL_3!$A:$A,PAGE_1_old!$R31,RES_CNXL_SQL_3!$D:$D,PAGE_1_old!$S$32))</f>
        <v/>
      </c>
      <c r="H45" s="48">
        <f>IF(SUMIFS(RES_CNXL_SQL_3!$F:$F,RES_CNXL_SQL_3!$A:$A,PAGE_1_old!$R31,RES_CNXL_SQL_3!$D:$D,PAGE_1_old!$S$33)=0,"",SUMIFS(RES_CNXL_SQL_3!$F:$F,RES_CNXL_SQL_3!$A:$A,PAGE_1_old!$R31,RES_CNXL_SQL_3!$D:$D,PAGE_1_old!$S$33))</f>
        <v/>
      </c>
      <c r="I45" s="48">
        <f>IF(SUMIFS(RES_CNXL_SQL_3!$F:$F,RES_CNXL_SQL_3!$A:$A,PAGE_1_old!$R31,RES_CNXL_SQL_3!$D:$D,PAGE_1_old!$S$34)=0,"",SUMIFS(RES_CNXL_SQL_3!$F:$F,RES_CNXL_SQL_3!$A:$A,PAGE_1_old!$R31,RES_CNXL_SQL_3!$D:$D,PAGE_1_old!$S$34))</f>
        <v/>
      </c>
      <c r="J45" s="48">
        <f>IF(SUMIFS(RES_CNXL_SQL_3!$F:$F,RES_CNXL_SQL_3!$A:$A,PAGE_1_old!$R31,RES_CNXL_SQL_3!$D:$D,PAGE_1_old!$S$35)=0,"",SUMIFS(RES_CNXL_SQL_3!$F:$F,RES_CNXL_SQL_3!$A:$A,PAGE_1_old!$R31,RES_CNXL_SQL_3!$D:$D,PAGE_1_old!$S$35))</f>
        <v/>
      </c>
      <c r="K45" s="48">
        <f>IF(SUMIFS(RES_CNXL_SQL_3!$F:$F,RES_CNXL_SQL_3!$A:$A,PAGE_1_old!$R31,RES_CNXL_SQL_3!$D:$D,PAGE_1_old!$S$36)=0,"",SUMIFS(RES_CNXL_SQL_3!$F:$F,RES_CNXL_SQL_3!$A:$A,PAGE_1_old!$R31,RES_CNXL_SQL_3!$D:$D,PAGE_1_old!$S$36))</f>
        <v/>
      </c>
      <c r="L45" s="48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IF(SUMIF(RES_CNXL_SQL_3!$E:$E,PAGE_1_old!R31,RES_CNXL_SQL_3!$F:$F)=0,"",SUMIF(RES_CNXL_SQL_3!$E:$E,PAGE_1_old!R31,RES_CNXL_SQL_3!$F:$F))</f>
        <v/>
      </c>
    </row>
    <row r="46" ht="13" customHeight="1" s="286">
      <c r="B46" s="191" t="inlineStr">
        <is>
          <t>YX - Republic</t>
        </is>
      </c>
      <c r="C46" s="81">
        <f>SUMIF(SCH_DEP_SQL_4!$A:$A,PAGE_1_old!R32,SCH_DEP_SQL_4!$E:$E)</f>
        <v/>
      </c>
      <c r="D46" s="190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90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90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90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90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90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90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90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90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IF(SUMIF(RES_CNXL_SQL_3!$E:$E,PAGE_1_old!R32,RES_CNXL_SQL_3!$F:$F)=0,"",SUMIF(RES_CNXL_SQL_3!$E:$E,PAGE_1_old!R32,RES_CNXL_SQL_3!$F:$F))</f>
        <v/>
      </c>
    </row>
    <row r="47" ht="13" customHeight="1" s="286">
      <c r="B47" s="66" t="inlineStr">
        <is>
          <t>G7 - Go Jet</t>
        </is>
      </c>
      <c r="C47" s="80">
        <f>SUMIF(SCH_DEP_SQL_4!$A:$A,PAGE_1_old!R33,SCH_DEP_SQL_4!$E:$E)</f>
        <v/>
      </c>
      <c r="D47" s="48">
        <f>IF(SUMIFS(RES_CNXL_SQL_3!$F:$F,RES_CNXL_SQL_3!$A:$A,PAGE_1_old!$R33,RES_CNXL_SQL_3!$D:$D,PAGE_1_old!$S$29)=0,"",SUMIFS(RES_CNXL_SQL_3!$F:$F,RES_CNXL_SQL_3!$A:$A,PAGE_1_old!$R33,RES_CNXL_SQL_3!$D:$D,PAGE_1_old!$S$29))</f>
        <v/>
      </c>
      <c r="E47" s="48">
        <f>IF(SUMIFS(RES_CNXL_SQL_3!$F:$F,RES_CNXL_SQL_3!$A:$A,PAGE_1_old!$R33,RES_CNXL_SQL_3!$D:$D,PAGE_1_old!$S$30)=0,"",SUMIFS(RES_CNXL_SQL_3!$F:$F,RES_CNXL_SQL_3!$A:$A,PAGE_1_old!$R33,RES_CNXL_SQL_3!$D:$D,PAGE_1_old!$S$30))</f>
        <v/>
      </c>
      <c r="F47" s="48">
        <f>IF(SUMIFS(RES_CNXL_SQL_3!$F:$F,RES_CNXL_SQL_3!$A:$A,PAGE_1_old!$R33,RES_CNXL_SQL_3!$D:$D,PAGE_1_old!$S$31)=0,"",SUMIFS(RES_CNXL_SQL_3!$F:$F,RES_CNXL_SQL_3!$A:$A,PAGE_1_old!$R33,RES_CNXL_SQL_3!$D:$D,PAGE_1_old!$S$31))</f>
        <v/>
      </c>
      <c r="G47" s="48">
        <f>IF(SUMIFS(RES_CNXL_SQL_3!$F:$F,RES_CNXL_SQL_3!$A:$A,PAGE_1_old!$R33,RES_CNXL_SQL_3!$D:$D,PAGE_1_old!$S$32)=0,"",SUMIFS(RES_CNXL_SQL_3!$F:$F,RES_CNXL_SQL_3!$A:$A,PAGE_1_old!$R33,RES_CNXL_SQL_3!$D:$D,PAGE_1_old!$S$32))</f>
        <v/>
      </c>
      <c r="H47" s="48">
        <f>IF(SUMIFS(RES_CNXL_SQL_3!$F:$F,RES_CNXL_SQL_3!$A:$A,PAGE_1_old!$R33,RES_CNXL_SQL_3!$D:$D,PAGE_1_old!$S$33)=0,"",SUMIFS(RES_CNXL_SQL_3!$F:$F,RES_CNXL_SQL_3!$A:$A,PAGE_1_old!$R33,RES_CNXL_SQL_3!$D:$D,PAGE_1_old!$S$33))</f>
        <v/>
      </c>
      <c r="I47" s="48">
        <f>IF(SUMIFS(RES_CNXL_SQL_3!$F:$F,RES_CNXL_SQL_3!$A:$A,PAGE_1_old!$R33,RES_CNXL_SQL_3!$D:$D,PAGE_1_old!$S$34)=0,"",SUMIFS(RES_CNXL_SQL_3!$F:$F,RES_CNXL_SQL_3!$A:$A,PAGE_1_old!$R33,RES_CNXL_SQL_3!$D:$D,PAGE_1_old!$S$34))</f>
        <v/>
      </c>
      <c r="J47" s="48">
        <f>IF(SUMIFS(RES_CNXL_SQL_3!$F:$F,RES_CNXL_SQL_3!$A:$A,PAGE_1_old!$R33,RES_CNXL_SQL_3!$D:$D,PAGE_1_old!$S$35)=0,"",SUMIFS(RES_CNXL_SQL_3!$F:$F,RES_CNXL_SQL_3!$A:$A,PAGE_1_old!$R33,RES_CNXL_SQL_3!$D:$D,PAGE_1_old!$S$35))</f>
        <v/>
      </c>
      <c r="K47" s="48">
        <f>IF(SUMIFS(RES_CNXL_SQL_3!$F:$F,RES_CNXL_SQL_3!$A:$A,PAGE_1_old!$R33,RES_CNXL_SQL_3!$D:$D,PAGE_1_old!$S$36)=0,"",SUMIFS(RES_CNXL_SQL_3!$F:$F,RES_CNXL_SQL_3!$A:$A,PAGE_1_old!$R33,RES_CNXL_SQL_3!$D:$D,PAGE_1_old!$S$36))</f>
        <v/>
      </c>
      <c r="L47" s="48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IF(SUMIF(RES_CNXL_SQL_3!$E:$E,PAGE_1_old!R33,RES_CNXL_SQL_3!$F:$F)=0,"",SUMIF(RES_CNXL_SQL_3!$E:$E,PAGE_1_old!R33,RES_CNXL_SQL_3!$F:$F))</f>
        <v/>
      </c>
    </row>
    <row r="48" ht="13" customHeight="1" s="286">
      <c r="B48" s="191" t="inlineStr">
        <is>
          <t>C5 - CommutAir</t>
        </is>
      </c>
      <c r="C48" s="81">
        <f>SUMIF(SCH_DEP_SQL_4!$A:$A,PAGE_1_old!R34,SCH_DEP_SQL_4!$E:$E)</f>
        <v/>
      </c>
      <c r="D48" s="190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90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90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90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90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90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90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90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90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IF(SUMIF(RES_CNXL_SQL_3!$E:$E,PAGE_1_old!R34,RES_CNXL_SQL_3!$F:$F)=0,"",SUMIF(RES_CNXL_SQL_3!$E:$E,PAGE_1_old!R34,RES_CNXL_SQL_3!$F:$F))</f>
        <v/>
      </c>
    </row>
    <row r="49" ht="13" customHeight="1" s="286">
      <c r="B49" s="66" t="inlineStr">
        <is>
          <t>YV - Mesa</t>
        </is>
      </c>
      <c r="C49" s="80">
        <f>SUMIF(SCH_DEP_SQL_4!$A:$A,PAGE_1_old!R35,SCH_DEP_SQL_4!$E:$E)</f>
        <v/>
      </c>
      <c r="D49" s="48">
        <f>IF(SUMIFS(RES_CNXL_SQL_3!$F:$F,RES_CNXL_SQL_3!$A:$A,PAGE_1_old!$R35,RES_CNXL_SQL_3!$D:$D,PAGE_1_old!$S$29)=0,"",SUMIFS(RES_CNXL_SQL_3!$F:$F,RES_CNXL_SQL_3!$A:$A,PAGE_1_old!$R35,RES_CNXL_SQL_3!$D:$D,PAGE_1_old!$S$29))</f>
        <v/>
      </c>
      <c r="E49" s="48">
        <f>IF(SUMIFS(RES_CNXL_SQL_3!$F:$F,RES_CNXL_SQL_3!$A:$A,PAGE_1_old!$R35,RES_CNXL_SQL_3!$D:$D,PAGE_1_old!$S$30)=0,"",SUMIFS(RES_CNXL_SQL_3!$F:$F,RES_CNXL_SQL_3!$A:$A,PAGE_1_old!$R35,RES_CNXL_SQL_3!$D:$D,PAGE_1_old!$S$30))</f>
        <v/>
      </c>
      <c r="F49" s="48">
        <f>IF(SUMIFS(RES_CNXL_SQL_3!$F:$F,RES_CNXL_SQL_3!$A:$A,PAGE_1_old!$R35,RES_CNXL_SQL_3!$D:$D,PAGE_1_old!$S$31)=0,"",SUMIFS(RES_CNXL_SQL_3!$F:$F,RES_CNXL_SQL_3!$A:$A,PAGE_1_old!$R35,RES_CNXL_SQL_3!$D:$D,PAGE_1_old!$S$31))</f>
        <v/>
      </c>
      <c r="G49" s="48">
        <f>IF(SUMIFS(RES_CNXL_SQL_3!$F:$F,RES_CNXL_SQL_3!$A:$A,PAGE_1_old!$R35,RES_CNXL_SQL_3!$D:$D,PAGE_1_old!$S$32)=0,"",SUMIFS(RES_CNXL_SQL_3!$F:$F,RES_CNXL_SQL_3!$A:$A,PAGE_1_old!$R35,RES_CNXL_SQL_3!$D:$D,PAGE_1_old!$S$32))</f>
        <v/>
      </c>
      <c r="H49" s="48">
        <f>IF(SUMIFS(RES_CNXL_SQL_3!$F:$F,RES_CNXL_SQL_3!$A:$A,PAGE_1_old!$R35,RES_CNXL_SQL_3!$D:$D,PAGE_1_old!$S$33)=0,"",SUMIFS(RES_CNXL_SQL_3!$F:$F,RES_CNXL_SQL_3!$A:$A,PAGE_1_old!$R35,RES_CNXL_SQL_3!$D:$D,PAGE_1_old!$S$33))</f>
        <v/>
      </c>
      <c r="I49" s="48">
        <f>IF(SUMIFS(RES_CNXL_SQL_3!$F:$F,RES_CNXL_SQL_3!$A:$A,PAGE_1_old!$R35,RES_CNXL_SQL_3!$D:$D,PAGE_1_old!$S$34)=0,"",SUMIFS(RES_CNXL_SQL_3!$F:$F,RES_CNXL_SQL_3!$A:$A,PAGE_1_old!$R35,RES_CNXL_SQL_3!$D:$D,PAGE_1_old!$S$34))</f>
        <v/>
      </c>
      <c r="J49" s="48">
        <f>IF(SUMIFS(RES_CNXL_SQL_3!$F:$F,RES_CNXL_SQL_3!$A:$A,PAGE_1_old!$R35,RES_CNXL_SQL_3!$D:$D,PAGE_1_old!$S$35)=0,"",SUMIFS(RES_CNXL_SQL_3!$F:$F,RES_CNXL_SQL_3!$A:$A,PAGE_1_old!$R35,RES_CNXL_SQL_3!$D:$D,PAGE_1_old!$S$35))</f>
        <v/>
      </c>
      <c r="K49" s="48">
        <f>IF(SUMIFS(RES_CNXL_SQL_3!$F:$F,RES_CNXL_SQL_3!$A:$A,PAGE_1_old!$R35,RES_CNXL_SQL_3!$D:$D,PAGE_1_old!$S$36)=0,"",SUMIFS(RES_CNXL_SQL_3!$F:$F,RES_CNXL_SQL_3!$A:$A,PAGE_1_old!$R35,RES_CNXL_SQL_3!$D:$D,PAGE_1_old!$S$36))</f>
        <v/>
      </c>
      <c r="L49" s="48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IF(SUMIF(RES_CNXL_SQL_3!$E:$E,PAGE_1_old!R35,RES_CNXL_SQL_3!$F:$F)=0,"",SUMIF(RES_CNXL_SQL_3!$E:$E,PAGE_1_old!R35,RES_CNXL_SQL_3!$F:$F))</f>
        <v/>
      </c>
    </row>
    <row r="50" ht="13.5" customHeight="1" s="286" thickBot="1">
      <c r="B50" s="191" t="inlineStr">
        <is>
          <t>ZW - Air Wisconsin</t>
        </is>
      </c>
      <c r="C50" s="81">
        <f>SUMIF(SCH_DEP_SQL_4!$A:$A,PAGE_1_old!R36,SCH_DEP_SQL_4!$E:$E)</f>
        <v/>
      </c>
      <c r="D50" s="190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90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90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90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90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90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90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90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90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IF(SUMIF(RES_CNXL_SQL_3!$E:$E,PAGE_1_old!R36,RES_CNXL_SQL_3!$F:$F)=0,"",SUMIF(RES_CNXL_SQL_3!$E:$E,PAGE_1_old!R36,RES_CNXL_SQL_3!$F:$F))</f>
        <v/>
      </c>
    </row>
    <row r="51" ht="13.5" customHeight="1" s="286" thickBot="1">
      <c r="B51" s="68" t="inlineStr">
        <is>
          <t>Total:</t>
        </is>
      </c>
      <c r="C51" s="82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 s="286">
      <c r="C52" s="69" t="n"/>
    </row>
  </sheetData>
  <mergeCells count="6">
    <mergeCell ref="B2:C2"/>
    <mergeCell ref="D2:E2"/>
    <mergeCell ref="B4:H4"/>
    <mergeCell ref="B27:P27"/>
    <mergeCell ref="B41:P41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119" dxfId="2"/>
  </conditionalFormatting>
  <conditionalFormatting sqref="E29:E36">
    <cfRule type="top10" rank="1" priority="118" dxfId="2"/>
  </conditionalFormatting>
  <conditionalFormatting sqref="F29:F36">
    <cfRule type="top10" rank="1" priority="117" dxfId="2"/>
  </conditionalFormatting>
  <conditionalFormatting sqref="G29:G36">
    <cfRule type="top10" rank="1" priority="116" dxfId="2"/>
  </conditionalFormatting>
  <conditionalFormatting sqref="H29:H36">
    <cfRule type="top10" rank="1" priority="115" dxfId="2"/>
  </conditionalFormatting>
  <conditionalFormatting sqref="I29:I36">
    <cfRule type="top10" rank="1" priority="114" dxfId="2"/>
  </conditionalFormatting>
  <conditionalFormatting sqref="J29:J36">
    <cfRule type="top10" rank="1" priority="113" dxfId="2"/>
  </conditionalFormatting>
  <conditionalFormatting sqref="K29:K36">
    <cfRule type="top10" rank="1" priority="112" dxfId="2"/>
  </conditionalFormatting>
  <conditionalFormatting sqref="L29:L36">
    <cfRule type="top10" rank="1" priority="111" dxfId="2"/>
  </conditionalFormatting>
  <conditionalFormatting sqref="D43:D50">
    <cfRule type="top10" rank="1" priority="110" dxfId="2"/>
  </conditionalFormatting>
  <conditionalFormatting sqref="E43:E50">
    <cfRule type="top10" rank="1" priority="109" dxfId="2"/>
  </conditionalFormatting>
  <conditionalFormatting sqref="F43:F50">
    <cfRule type="top10" rank="1" priority="108" dxfId="2"/>
  </conditionalFormatting>
  <conditionalFormatting sqref="G43:G50">
    <cfRule type="top10" rank="1" priority="107" dxfId="2"/>
  </conditionalFormatting>
  <conditionalFormatting sqref="H43:H50">
    <cfRule type="top10" rank="1" priority="106" dxfId="2"/>
  </conditionalFormatting>
  <conditionalFormatting sqref="I43:I50">
    <cfRule type="top10" rank="1" priority="105" dxfId="2"/>
  </conditionalFormatting>
  <conditionalFormatting sqref="J43:J50">
    <cfRule type="top10" rank="1" priority="104" dxfId="2"/>
  </conditionalFormatting>
  <conditionalFormatting sqref="K43:K50">
    <cfRule type="top10" rank="1" priority="103" dxfId="2"/>
  </conditionalFormatting>
  <conditionalFormatting sqref="L43:L50">
    <cfRule type="top10" rank="1" priority="102" dxfId="2"/>
  </conditionalFormatting>
  <conditionalFormatting sqref="F6">
    <cfRule type="cellIs" priority="94" operator="greaterThan" dxfId="70">
      <formula>0</formula>
    </cfRule>
    <cfRule type="cellIs" priority="97" operator="lessThan" dxfId="0">
      <formula>0</formula>
    </cfRule>
  </conditionalFormatting>
  <conditionalFormatting sqref="F7">
    <cfRule type="cellIs" priority="96" operator="lessThan" dxfId="0">
      <formula>0</formula>
    </cfRule>
  </conditionalFormatting>
  <conditionalFormatting sqref="G6">
    <cfRule type="cellIs" priority="91" operator="greaterThan" dxfId="71">
      <formula>0</formula>
    </cfRule>
    <cfRule type="cellIs" priority="92" operator="greaterThan" dxfId="70">
      <formula>0</formula>
    </cfRule>
    <cfRule type="cellIs" priority="93" operator="lessThan" dxfId="0">
      <formula>0</formula>
    </cfRule>
  </conditionalFormatting>
  <conditionalFormatting sqref="G7">
    <cfRule type="cellIs" priority="88" operator="greaterThan" dxfId="71">
      <formula>0</formula>
    </cfRule>
    <cfRule type="cellIs" priority="89" operator="greaterThan" dxfId="70">
      <formula>0</formula>
    </cfRule>
    <cfRule type="cellIs" priority="90" operator="lessThan" dxfId="0">
      <formula>0</formula>
    </cfRule>
  </conditionalFormatting>
  <conditionalFormatting sqref="G8">
    <cfRule type="cellIs" priority="85" operator="greaterThan" dxfId="71">
      <formula>0</formula>
    </cfRule>
    <cfRule type="cellIs" priority="86" operator="greaterThan" dxfId="70">
      <formula>0</formula>
    </cfRule>
    <cfRule type="cellIs" priority="87" operator="lessThan" dxfId="0">
      <formula>0</formula>
    </cfRule>
  </conditionalFormatting>
  <conditionalFormatting sqref="F8">
    <cfRule type="cellIs" priority="82" operator="greaterThan" dxfId="71">
      <formula>0</formula>
    </cfRule>
    <cfRule type="cellIs" priority="83" operator="greaterThan" dxfId="70">
      <formula>0</formula>
    </cfRule>
    <cfRule type="cellIs" priority="84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20">
    <outlinePr summaryBelow="1" summaryRight="1"/>
    <pageSetUpPr fitToPage="1"/>
  </sheetPr>
  <dimension ref="B1:U32"/>
  <sheetViews>
    <sheetView workbookViewId="0">
      <selection activeCell="H5" sqref="H5"/>
    </sheetView>
  </sheetViews>
  <sheetFormatPr baseColWidth="8" defaultRowHeight="14.5" outlineLevelCol="0"/>
  <cols>
    <col width="9.1796875" customWidth="1" style="171" min="1" max="1"/>
    <col width="6.453125" customWidth="1" style="286" min="2" max="2"/>
    <col width="0.54296875" customWidth="1" style="286" min="3" max="3"/>
    <col width="35.7265625" customWidth="1" style="286" min="4" max="4"/>
    <col width="11.1796875" customWidth="1" style="286" min="6" max="6"/>
    <col width="9.7265625" bestFit="1" customWidth="1" style="286" min="16" max="16"/>
  </cols>
  <sheetData>
    <row r="1" ht="21" customHeight="1" s="286">
      <c r="B1" s="364" t="inlineStr">
        <is>
          <t>UAX Daily Snapshot</t>
        </is>
      </c>
      <c r="C1" s="365" t="n"/>
      <c r="D1" s="365" t="n"/>
      <c r="E1" s="365" t="n"/>
      <c r="F1" s="365" t="n"/>
      <c r="G1" s="365" t="n"/>
      <c r="H1" s="365" t="n"/>
      <c r="I1" s="365" t="n"/>
      <c r="J1" s="365" t="n"/>
      <c r="K1" s="365" t="n"/>
      <c r="L1" s="366" t="n"/>
      <c r="M1" s="171" t="n"/>
    </row>
    <row r="2" ht="21" customHeight="1" s="286">
      <c r="B2" s="257" t="n"/>
      <c r="C2" s="146" t="n"/>
      <c r="D2" s="146" t="n"/>
      <c r="E2" s="146" t="n"/>
      <c r="F2" s="146" t="n"/>
      <c r="G2" s="146" t="n"/>
      <c r="H2" s="146" t="n"/>
      <c r="I2" s="146" t="n"/>
      <c r="J2" s="146" t="n"/>
      <c r="K2" s="146" t="n"/>
      <c r="L2" s="252" t="n"/>
      <c r="M2" s="171" t="n"/>
      <c r="R2" t="inlineStr">
        <is>
          <t>UA</t>
        </is>
      </c>
      <c r="S2" t="inlineStr">
        <is>
          <t>AA</t>
        </is>
      </c>
      <c r="T2" t="inlineStr">
        <is>
          <t>DL</t>
        </is>
      </c>
    </row>
    <row r="3">
      <c r="B3" s="258" t="n"/>
      <c r="C3" s="171" t="n"/>
      <c r="D3" s="149" t="inlineStr">
        <is>
          <t>Metrics</t>
        </is>
      </c>
      <c r="E3" s="223" t="inlineStr">
        <is>
          <t>Latest</t>
        </is>
      </c>
      <c r="F3" s="223" t="inlineStr">
        <is>
          <t>Last 7 Days</t>
        </is>
      </c>
      <c r="G3" s="223" t="inlineStr">
        <is>
          <t>MTD</t>
        </is>
      </c>
      <c r="H3" s="224" t="n">
        <v>2019</v>
      </c>
      <c r="I3" s="223" t="inlineStr">
        <is>
          <t>DL Diff.</t>
        </is>
      </c>
      <c r="J3" s="223" t="inlineStr">
        <is>
          <t>AA Diff.</t>
        </is>
      </c>
      <c r="K3" s="225" t="inlineStr">
        <is>
          <t>Rank</t>
        </is>
      </c>
      <c r="L3" s="253" t="n"/>
      <c r="M3" s="171" t="n"/>
      <c r="P3" s="53">
        <f>TODAY()</f>
        <v/>
      </c>
      <c r="R3" s="367">
        <f>$G$7</f>
        <v/>
      </c>
      <c r="S3" s="267">
        <f>OA_SeatCnxl!B2</f>
        <v/>
      </c>
      <c r="T3" s="267">
        <f>OA_SeatCnxl!B3</f>
        <v/>
      </c>
      <c r="U3">
        <f>RANK(R3,R3:T3,1)</f>
        <v/>
      </c>
    </row>
    <row r="4">
      <c r="B4" s="258" t="n"/>
      <c r="C4" s="171" t="n"/>
      <c r="D4" s="171" t="n"/>
      <c r="E4" s="226" t="n"/>
      <c r="F4" s="226" t="n"/>
      <c r="G4" s="226" t="n"/>
      <c r="H4" s="227" t="n"/>
      <c r="I4" s="226" t="n"/>
      <c r="J4" s="226" t="n"/>
      <c r="K4" s="228" t="n"/>
      <c r="L4" s="253" t="n"/>
      <c r="M4" s="171" t="n"/>
      <c r="P4">
        <f>DAY(P3)</f>
        <v/>
      </c>
    </row>
    <row r="5">
      <c r="B5" s="329" t="inlineStr">
        <is>
          <t>Reliability Metrics</t>
        </is>
      </c>
      <c r="C5" s="171" t="n"/>
      <c r="D5" s="151" t="inlineStr">
        <is>
          <t>Cancellation Rate</t>
        </is>
      </c>
      <c r="E5" s="238">
        <f>UA_SQL_1!$O$2/UA_SQL_1!$N$2</f>
        <v/>
      </c>
      <c r="F5" s="238">
        <f>UA_L7D!$F$2/UA_L7D!$E$2</f>
        <v/>
      </c>
      <c r="G5" s="238">
        <f>UA_SQL_1!$F$2/UA_SQL_1!$E$2</f>
        <v/>
      </c>
      <c r="H5" s="291">
        <f>UA_SQL_1_2019!$F$2/UA_SQL_1_2019!$E$2</f>
        <v/>
      </c>
      <c r="I5" s="297">
        <f>(G5-RANK!$Q$2)*100</f>
        <v/>
      </c>
      <c r="J5" s="297">
        <f>($G$5-RANK!$R$2)*100</f>
        <v/>
      </c>
      <c r="K5" s="230">
        <f>RANK!$T$2</f>
        <v/>
      </c>
      <c r="L5" s="253" t="n"/>
      <c r="M5" s="171" t="n"/>
    </row>
    <row r="6">
      <c r="B6" s="368" t="n"/>
      <c r="C6" s="171" t="n"/>
      <c r="D6" s="151" t="inlineStr">
        <is>
          <t>Controllable Cancellation Rate</t>
        </is>
      </c>
      <c r="E6" s="238">
        <f>(UA_SQL_1!$V$2)/UA_SQL_1!$N$2</f>
        <v/>
      </c>
      <c r="F6" s="291">
        <f>(UA_L7D!$M$2)/UA_L7D!$E$2</f>
        <v/>
      </c>
      <c r="G6" s="238">
        <f>(UA_SQL_1!$M$2)/UA_SQL_1!$E$2</f>
        <v/>
      </c>
      <c r="H6" s="291">
        <f>(UA_SQL_1_2019!$M$2)/UA_SQL_1_2019!$E$2</f>
        <v/>
      </c>
      <c r="I6" s="297">
        <f>"-"</f>
        <v/>
      </c>
      <c r="J6" s="297">
        <f>"-"</f>
        <v/>
      </c>
      <c r="K6" s="229">
        <f>"-"</f>
        <v/>
      </c>
      <c r="L6" s="253" t="n"/>
      <c r="M6" s="171" t="n"/>
    </row>
    <row r="7">
      <c r="B7" s="368" t="n"/>
      <c r="C7" s="171" t="n"/>
      <c r="D7" s="151" t="inlineStr">
        <is>
          <t>Seat Cancellations</t>
        </is>
      </c>
      <c r="E7" s="292">
        <f>UA_Seat_cancels!B2</f>
        <v/>
      </c>
      <c r="F7" s="293">
        <f>UA_Seat_cancels!C2</f>
        <v/>
      </c>
      <c r="G7" s="238">
        <f>UA_Seat_cancels!A2</f>
        <v/>
      </c>
      <c r="H7" s="291">
        <f>UA_SeatCnxl_2019!$B$2</f>
        <v/>
      </c>
      <c r="I7" s="297">
        <f>($G$7-OA_SeatCnxl!$B$3)*100</f>
        <v/>
      </c>
      <c r="J7" s="297">
        <f>($G$7-OA_SeatCnxl!$B$2)*100</f>
        <v/>
      </c>
      <c r="K7" s="276">
        <f>U3</f>
        <v/>
      </c>
      <c r="L7" s="253" t="n"/>
      <c r="M7" s="171" t="n"/>
    </row>
    <row r="8">
      <c r="B8" s="368" t="n"/>
      <c r="C8" s="171" t="n"/>
      <c r="D8" s="151" t="inlineStr">
        <is>
          <t>A00</t>
        </is>
      </c>
      <c r="E8" s="294">
        <f>UA_SQL_1!$R$2/UA_SQL_1!$N$2</f>
        <v/>
      </c>
      <c r="F8" s="291">
        <f>UA_L7D!$I$2/UA_L7D!$E$2</f>
        <v/>
      </c>
      <c r="G8" s="238">
        <f>UA_SQL_1!$I$2/UA_SQL_1!$E$2</f>
        <v/>
      </c>
      <c r="H8" s="291">
        <f>UA_SQL_1_2019!$I$2/UA_SQL_1_2019!$E$2</f>
        <v/>
      </c>
      <c r="I8" s="297">
        <f>(RANK!$P$3-RANK!Q3)*100</f>
        <v/>
      </c>
      <c r="J8" s="297">
        <f>(RANK!$P$3-RANK!R3)*100</f>
        <v/>
      </c>
      <c r="K8" s="230">
        <f>RANK!$T$3</f>
        <v/>
      </c>
      <c r="L8" s="253" t="n"/>
      <c r="M8" s="171" t="n"/>
    </row>
    <row r="9">
      <c r="B9" s="368" t="n"/>
      <c r="C9" s="171" t="n"/>
      <c r="D9" s="151" t="inlineStr">
        <is>
          <t>A14</t>
        </is>
      </c>
      <c r="E9" s="292">
        <f>UA_SQL_1!$S$2/UA_SQL_1!$N$2</f>
        <v/>
      </c>
      <c r="F9" s="291">
        <f>UA_L7D!$J$2/UA_L7D!$E$2</f>
        <v/>
      </c>
      <c r="G9" s="238">
        <f>UA_SQL_1!$J$2/UA_SQL_1!$E$2</f>
        <v/>
      </c>
      <c r="H9" s="291">
        <f>UA_SQL_1_2019!$J$2/UA_SQL_1_2019!$E$2</f>
        <v/>
      </c>
      <c r="I9" s="297">
        <f>(RANK!$P$5-RANK!Q5)*100</f>
        <v/>
      </c>
      <c r="J9" s="297">
        <f>(RANK!$P$5-RANK!R5)*100</f>
        <v/>
      </c>
      <c r="K9" s="230">
        <f>RANK!T5</f>
        <v/>
      </c>
      <c r="L9" s="253" t="n"/>
      <c r="M9" s="171" t="n"/>
    </row>
    <row r="10">
      <c r="B10" s="368" t="n"/>
      <c r="C10" s="171" t="n"/>
      <c r="D10" s="151" t="inlineStr">
        <is>
          <t>CD00</t>
        </is>
      </c>
      <c r="E10" s="294">
        <f>(UA_SQL_1!$Q$2/UA_SQL_1!$N$2)</f>
        <v/>
      </c>
      <c r="F10" s="291">
        <f>UA_L7D!$H$2/UA_L7D!$E$2</f>
        <v/>
      </c>
      <c r="G10" s="238">
        <f>UA_SQL_1!$H$2/UA_SQL_1!$E$2</f>
        <v/>
      </c>
      <c r="H10" s="291">
        <f>UA_SQL_1_2019!$H$2/UA_SQL_1_2019!$E$2</f>
        <v/>
      </c>
      <c r="I10" s="297">
        <f>(RANK!$P$4-RANK!Q4)*100</f>
        <v/>
      </c>
      <c r="J10" s="297">
        <f>(RANK!$P$4-RANK!R4)*100</f>
        <v/>
      </c>
      <c r="K10" s="230">
        <f>RANK!$T$4</f>
        <v/>
      </c>
      <c r="L10" s="253" t="n"/>
      <c r="M10" s="171" t="n"/>
    </row>
    <row r="11">
      <c r="B11" s="368" t="n"/>
      <c r="C11" s="171" t="n"/>
      <c r="D11" s="151" t="inlineStr">
        <is>
          <t>D00</t>
        </is>
      </c>
      <c r="E11" s="292">
        <f>UA_SQL_1!$P$2/UA_SQL_1!$N$2</f>
        <v/>
      </c>
      <c r="F11" s="291">
        <f>UA_L7D!$G$2/UA_L7D!$E$2</f>
        <v/>
      </c>
      <c r="G11" s="238">
        <f>UA_SQL_1!$G$2/UA_SQL_1!$E$2</f>
        <v/>
      </c>
      <c r="H11" s="291">
        <f>UA_SQL_1_2019!$G$2/UA_SQL_1_2019!$E$2</f>
        <v/>
      </c>
      <c r="I11" s="231" t="n"/>
      <c r="J11" s="232" t="n"/>
      <c r="K11" s="233" t="n"/>
      <c r="L11" s="253" t="n"/>
      <c r="M11" s="171" t="n"/>
    </row>
    <row r="12">
      <c r="B12" s="368" t="n"/>
      <c r="C12" s="171" t="n"/>
      <c r="D12" s="151" t="inlineStr">
        <is>
          <t>STAR D00</t>
        </is>
      </c>
      <c r="E12" s="294">
        <f>UA_SQL_1!$U$2/UA_SQL_1!$T$2</f>
        <v/>
      </c>
      <c r="F12" s="291">
        <f>UA_L7D!$L$2/UA_L7D!$K$2</f>
        <v/>
      </c>
      <c r="G12" s="238">
        <f>UA_SQL_1!$L$2/UA_SQL_1!$K$2</f>
        <v/>
      </c>
      <c r="H12" s="291">
        <f>UA_SQL_1_2019!$L$2/UA_SQL_1_2019!$K$2</f>
        <v/>
      </c>
      <c r="I12" s="234" t="n"/>
      <c r="J12" s="233" t="n"/>
      <c r="K12" s="233" t="n"/>
      <c r="L12" s="253" t="n"/>
      <c r="M12" s="171" t="n"/>
    </row>
    <row r="13">
      <c r="B13" s="258" t="n"/>
      <c r="C13" s="171" t="n"/>
      <c r="D13" s="153" t="n"/>
      <c r="E13" s="295" t="n"/>
      <c r="F13" s="295" t="n"/>
      <c r="G13" s="295" t="n"/>
      <c r="H13" s="296" t="n"/>
      <c r="I13" s="236" t="n"/>
      <c r="J13" s="237" t="n"/>
      <c r="K13" s="237" t="n"/>
      <c r="L13" s="253" t="n"/>
      <c r="M13" s="171" t="n"/>
      <c r="P13">
        <f>"2019"</f>
        <v/>
      </c>
    </row>
    <row r="14">
      <c r="B14" s="329" t="inlineStr">
        <is>
          <t>Delays</t>
        </is>
      </c>
      <c r="C14" s="154" t="n"/>
      <c r="D14" s="151" t="inlineStr">
        <is>
          <t xml:space="preserve">1-15 mins delays </t>
        </is>
      </c>
      <c r="E14" s="238">
        <f>IFERROR(VLOOKUP("YEST",Delays_Info!$A:$R,14,0)/100,"-")</f>
        <v/>
      </c>
      <c r="F14" s="238">
        <f>IFERROR(VLOOKUP("L7D",Delays_Info!$A:$R,14,0)/100,"-")</f>
        <v/>
      </c>
      <c r="G14" s="238">
        <f>IFERROR(VLOOKUP("MTD",Delays_Info!$A:$R,14,0)/100,"-")</f>
        <v/>
      </c>
      <c r="H14" s="238">
        <f>Delays_Info!$N$5/100</f>
        <v/>
      </c>
      <c r="I14" s="236" t="n"/>
      <c r="J14" s="237" t="n"/>
      <c r="K14" s="237" t="n"/>
      <c r="L14" s="253" t="n"/>
      <c r="M14" s="171" t="n"/>
    </row>
    <row r="15">
      <c r="B15" s="368" t="n"/>
      <c r="C15" s="154" t="n"/>
      <c r="D15" s="151" t="inlineStr">
        <is>
          <t>&gt;15 mins delays</t>
        </is>
      </c>
      <c r="E15" s="238">
        <f>IFERROR(VLOOKUP("YEST",Delays_Info!$A$1:$R$5,15,0)/100,"-")</f>
        <v/>
      </c>
      <c r="F15" s="238">
        <f>IFERROR(VLOOKUP("L7D",Delays_Info!$A$1:$R$5,15,0)/100,"-")</f>
        <v/>
      </c>
      <c r="G15" s="238">
        <f>IFERROR(VLOOKUP("MTD",Delays_Info!$A$1:$R$5,15,0)/100,"-")</f>
        <v/>
      </c>
      <c r="H15" s="238">
        <f>Delays_Info!$O5/100</f>
        <v/>
      </c>
      <c r="I15" s="236" t="n"/>
      <c r="J15" s="237" t="n"/>
      <c r="K15" s="237" t="n"/>
      <c r="L15" s="253" t="n"/>
      <c r="M15" s="171" t="n"/>
    </row>
    <row r="16">
      <c r="B16" s="368" t="n"/>
      <c r="C16" s="154" t="n"/>
      <c r="D16" s="151" t="inlineStr">
        <is>
          <t>Flight Ops delays</t>
        </is>
      </c>
      <c r="E16" s="238">
        <f>IFERROR(VLOOKUP("YEST",Delays_Info!$A$1:$R$5,17,0)/100,"-")</f>
        <v/>
      </c>
      <c r="F16" s="238">
        <f>IFERROR(VLOOKUP("L7D",Delays_Info!$A$1:$R$5,17,0)/100,"-")</f>
        <v/>
      </c>
      <c r="G16" s="238">
        <f>IFERROR(VLOOKUP("MTD",Delays_Info!$A$1:$R$5,17,0)/100,"-")</f>
        <v/>
      </c>
      <c r="H16" s="238">
        <f>Delays_Info!$Q5/100</f>
        <v/>
      </c>
      <c r="I16" s="239" t="n"/>
      <c r="J16" s="237" t="n"/>
      <c r="K16" s="237" t="n"/>
      <c r="L16" s="253" t="n"/>
      <c r="M16" s="171" t="n"/>
    </row>
    <row r="17">
      <c r="B17" s="368" t="n"/>
      <c r="C17" s="154" t="n"/>
      <c r="D17" s="155" t="inlineStr">
        <is>
          <t xml:space="preserve">          Crew Connections</t>
        </is>
      </c>
      <c r="E17" s="238">
        <f>IFERROR(VLOOKUP("YEST",Delays_Info!$A$1:$R$5,7,0)/VLOOKUP("YEST",Delays_Info!$A$1:$R$5,13,0),"-")</f>
        <v/>
      </c>
      <c r="F17" s="238">
        <f>IFERROR(VLOOKUP("L7D",Delays_Info!$A$1:$R$5,7,0)/VLOOKUP("L7D",Delays_Info!$A$1:$R$5,13,0),"-")</f>
        <v/>
      </c>
      <c r="G17" s="238">
        <f>IFERROR(VLOOKUP("MTD",Delays_Info!$A$1:$R$5,7,0)/VLOOKUP("MTD",Delays_Info!$A$1:$R$5,13,0),"-")</f>
        <v/>
      </c>
      <c r="H17" s="238">
        <f>Delays_Info!G$5/Delays_Info!$M$5</f>
        <v/>
      </c>
      <c r="I17" s="236" t="n"/>
      <c r="J17" s="240" t="n"/>
      <c r="K17" s="240" t="n"/>
      <c r="L17" s="254" t="n"/>
      <c r="M17" s="171" t="n"/>
    </row>
    <row r="18">
      <c r="B18" s="368" t="n"/>
      <c r="C18" s="154" t="n"/>
      <c r="D18" s="155" t="inlineStr">
        <is>
          <t xml:space="preserve">          Crew Availability</t>
        </is>
      </c>
      <c r="E18" s="238">
        <f>IFERROR(VLOOKUP("YEST",Delays_Info!$A$1:$R$5,8,0)/VLOOKUP("YEST",Delays_Info!$A$1:$R$5,13,0),"-")</f>
        <v/>
      </c>
      <c r="F18" s="238">
        <f>IFERROR(VLOOKUP("L7D",Delays_Info!$A$1:$R$5,8,0)/VLOOKUP("L7D",Delays_Info!$A$1:$R$5,13,0),"-")</f>
        <v/>
      </c>
      <c r="G18" s="238">
        <f>IFERROR(VLOOKUP("MTD",Delays_Info!$A$1:$R$5,8,0)/VLOOKUP("MTD",Delays_Info!$A$1:$R$5,13,0),"-")</f>
        <v/>
      </c>
      <c r="H18" s="238">
        <f>Delays_Info!H$5/Delays_Info!$M$5</f>
        <v/>
      </c>
      <c r="I18" s="236" t="n"/>
      <c r="J18" s="237" t="n"/>
      <c r="K18" s="237" t="n"/>
      <c r="L18" s="253" t="n"/>
      <c r="M18" s="171" t="n"/>
    </row>
    <row r="19">
      <c r="B19" s="368" t="n"/>
      <c r="C19" s="154" t="n"/>
      <c r="D19" s="155" t="inlineStr">
        <is>
          <t xml:space="preserve">          Ops Process</t>
        </is>
      </c>
      <c r="E19" s="238">
        <f>IFERROR(VLOOKUP("YEST",Delays_Info!$A$1:$R$5,9,0)/VLOOKUP("YEST",Delays_Info!$A$1:$R$5,13,0),"-")</f>
        <v/>
      </c>
      <c r="F19" s="238">
        <f>IFERROR(VLOOKUP("L7D",Delays_Info!$A$1:$R$5,9,0)/VLOOKUP("L7D",Delays_Info!$A$1:$R$5,13,0),"-")</f>
        <v/>
      </c>
      <c r="G19" s="238">
        <f>IFERROR(VLOOKUP("MTD",Delays_Info!$A$1:$R$5,9,0)/VLOOKUP("MTD",Delays_Info!$A$1:$R$5,13,0),"-")</f>
        <v/>
      </c>
      <c r="H19" s="238">
        <f>Delays_Info!I$5/Delays_Info!$M$5</f>
        <v/>
      </c>
      <c r="I19" s="236" t="n"/>
      <c r="J19" s="237" t="n"/>
      <c r="K19" s="237" t="n"/>
      <c r="L19" s="253" t="n"/>
      <c r="M19" s="171" t="n"/>
    </row>
    <row r="20">
      <c r="B20" s="368" t="n"/>
      <c r="C20" s="154" t="n"/>
      <c r="D20" s="156" t="inlineStr">
        <is>
          <t>Inflight Delays</t>
        </is>
      </c>
      <c r="E20" s="238">
        <f>IFERROR(VLOOKUP("L7D",Delays_Info!$A$1:$R$5,18,0)/100,"-")</f>
        <v/>
      </c>
      <c r="F20" s="238">
        <f>IFERROR(VLOOKUP("YEST",Delays_Info!$A$1:$R$5,18,0)/100,"-")</f>
        <v/>
      </c>
      <c r="G20" s="238">
        <f>IFERROR(VLOOKUP("MTD",Delays_Info!$A$1:$R$5,18,0)/100,"-")</f>
        <v/>
      </c>
      <c r="H20" s="238">
        <f>Delays_Info!$R5/100</f>
        <v/>
      </c>
      <c r="I20" s="236" t="n"/>
      <c r="J20" s="237" t="n"/>
      <c r="K20" s="237" t="n"/>
      <c r="L20" s="253" t="n"/>
      <c r="M20" s="171" t="n"/>
    </row>
    <row r="21">
      <c r="B21" s="368" t="n"/>
      <c r="C21" s="154" t="n"/>
      <c r="D21" s="155" t="inlineStr">
        <is>
          <t xml:space="preserve">          Crew Connections</t>
        </is>
      </c>
      <c r="E21" s="238">
        <f>IFERROR(VLOOKUP("YEST",Delays_Info!$A$1:$R$5,10,0)/VLOOKUP("YEST",Delays_Info!$A$1:$R$5,13,0),"-")</f>
        <v/>
      </c>
      <c r="F21" s="238">
        <f>IFERROR(VLOOKUP("L7D",Delays_Info!$A$1:$R$5,10,0)/VLOOKUP("L7D",Delays_Info!$A$1:$R$5,13,0),"-")</f>
        <v/>
      </c>
      <c r="G21" s="238">
        <f>IFERROR(VLOOKUP("MTD",Delays_Info!$A$1:$R$5,10,0)/VLOOKUP("MTD",Delays_Info!$A$1:$R$5,13,0),"-")</f>
        <v/>
      </c>
      <c r="H21" s="238">
        <f>Delays_Info!J$5/Delays_Info!$M$5</f>
        <v/>
      </c>
      <c r="I21" s="236" t="n"/>
      <c r="J21" s="237" t="n"/>
      <c r="K21" s="237" t="n"/>
      <c r="L21" s="253" t="n"/>
      <c r="M21" s="171" t="n"/>
    </row>
    <row r="22">
      <c r="B22" s="368" t="n"/>
      <c r="C22" s="154" t="n"/>
      <c r="D22" s="155" t="inlineStr">
        <is>
          <t xml:space="preserve">          Crew Availability</t>
        </is>
      </c>
      <c r="E22" s="238">
        <f>IFERROR(VLOOKUP("YEST",Delays_Info!$A$1:$R$5,11,0)/VLOOKUP("YEST",Delays_Info!$A$1:$R$5,13,0),"-")</f>
        <v/>
      </c>
      <c r="F22" s="238">
        <f>IFERROR(VLOOKUP("L7D",Delays_Info!$A$1:$R$5,11,0)/VLOOKUP("L7D",Delays_Info!$A$1:$R$5,13,0),"-")</f>
        <v/>
      </c>
      <c r="G22" s="238">
        <f>IFERROR(VLOOKUP("MTD",Delays_Info!$A$1:$R$5,11,0)/VLOOKUP("MTD",Delays_Info!$A$1:$R$5,13,0),"-")</f>
        <v/>
      </c>
      <c r="H22" s="238">
        <f>Delays_Info!K$5/Delays_Info!$M$5</f>
        <v/>
      </c>
      <c r="I22" s="236" t="n"/>
      <c r="J22" s="237" t="n"/>
      <c r="K22" s="237" t="n"/>
      <c r="L22" s="253" t="n"/>
      <c r="M22" s="171" t="n"/>
    </row>
    <row r="23">
      <c r="B23" s="368" t="n"/>
      <c r="C23" s="154" t="n"/>
      <c r="D23" s="155" t="inlineStr">
        <is>
          <t xml:space="preserve">          Ops Process</t>
        </is>
      </c>
      <c r="E23" s="238">
        <f>IFERROR(VLOOKUP("YEST",Delays_Info!$A$1:$R$5,12,0)/VLOOKUP("YEST",Delays_Info!$A$1:$R$5,13,0),"-")</f>
        <v/>
      </c>
      <c r="F23" s="238">
        <f>IFERROR(VLOOKUP("L7D",Delays_Info!$A$1:$R$5,12,0)/VLOOKUP("L7D",Delays_Info!$A$1:$R$5,13,0),"-")</f>
        <v/>
      </c>
      <c r="G23" s="238">
        <f>IFERROR(VLOOKUP("MTD",Delays_Info!$A$1:$R$5,12,0)/VLOOKUP("MTD",Delays_Info!$A$1:$R$5,13,0),"-")</f>
        <v/>
      </c>
      <c r="H23" s="238">
        <f>Delays_Info!L$5/Delays_Info!$M$5</f>
        <v/>
      </c>
      <c r="I23" s="236" t="n"/>
      <c r="J23" s="237" t="n"/>
      <c r="K23" s="237" t="n"/>
      <c r="L23" s="253" t="n"/>
      <c r="M23" s="171" t="n"/>
    </row>
    <row r="24">
      <c r="B24" s="258" t="n"/>
      <c r="C24" s="171" t="n"/>
      <c r="D24" s="155" t="n"/>
      <c r="E24" s="369" t="n"/>
      <c r="F24" s="369" t="n"/>
      <c r="G24" s="369" t="n"/>
      <c r="H24" s="370" t="n"/>
      <c r="I24" s="236" t="n"/>
      <c r="J24" s="237" t="n"/>
      <c r="K24" s="237" t="n"/>
      <c r="L24" s="253" t="n"/>
      <c r="M24" s="171" t="n"/>
    </row>
    <row r="25">
      <c r="B25" s="329" t="inlineStr">
        <is>
          <t>Diverts</t>
        </is>
      </c>
      <c r="C25" s="154" t="n"/>
      <c r="D25" s="156" t="n"/>
      <c r="E25" s="235" t="n"/>
      <c r="F25" s="226" t="n"/>
      <c r="G25" s="226" t="n"/>
      <c r="H25" s="227" t="n"/>
      <c r="I25" s="243" t="n"/>
      <c r="J25" s="237" t="n"/>
      <c r="K25" s="237" t="n"/>
      <c r="L25" s="253" t="n"/>
      <c r="M25" s="171" t="n"/>
    </row>
    <row r="26">
      <c r="B26" s="368" t="n"/>
      <c r="C26" s="154" t="n"/>
      <c r="D26" s="151" t="inlineStr">
        <is>
          <t>Total diverts</t>
        </is>
      </c>
      <c r="E26" s="244">
        <f>VLOOKUP("YEST",TOTAL_DIVERTS_SQL_5!$A$1:$B$3,2,0)</f>
        <v/>
      </c>
      <c r="F26" s="245">
        <f>VLOOKUP("L7D",DIVERTS_SQL_5_2019!$A$1:$B$3,2,0)/7</f>
        <v/>
      </c>
      <c r="G26" s="245">
        <f>VLOOKUP("MTD",TOTAL_DIVERTS_SQL_5!$A$1:$B$3,2,0)/$P$4</f>
        <v/>
      </c>
      <c r="H26" s="245">
        <f>DIVERTS_SQL_5_2019!$B$2/$P$4</f>
        <v/>
      </c>
      <c r="I26" s="236" t="n"/>
      <c r="J26" s="237" t="n"/>
      <c r="K26" s="237" t="n"/>
      <c r="L26" s="253" t="n"/>
      <c r="M26" s="171" t="n"/>
    </row>
    <row r="27">
      <c r="B27" s="368" t="n"/>
      <c r="C27" s="154" t="n"/>
      <c r="D27" s="151" t="inlineStr">
        <is>
          <t>Diverts recovered</t>
        </is>
      </c>
      <c r="E27" s="244">
        <f>DIVERTS_RECOVERED_SQL_6!$C$2</f>
        <v/>
      </c>
      <c r="F27" s="245">
        <f>RECOVERED_DIVERTS_2019!$C$3/7</f>
        <v/>
      </c>
      <c r="G27" s="245">
        <f>DIVERTS_RECOVERED_SQL_6!$C$3/P4</f>
        <v/>
      </c>
      <c r="H27" s="246">
        <f>RECOVERED_DIVERTS_2019!$C$2/'Pg1'!$P$4</f>
        <v/>
      </c>
      <c r="I27" s="236" t="n"/>
      <c r="J27" s="237" t="n"/>
      <c r="K27" s="237" t="n"/>
      <c r="L27" s="253" t="n"/>
      <c r="M27" s="171" t="n"/>
    </row>
    <row r="28">
      <c r="B28" s="368" t="n"/>
      <c r="C28" s="154" t="n"/>
      <c r="D28" s="151" t="inlineStr">
        <is>
          <t>Yet to depart</t>
        </is>
      </c>
      <c r="E28" s="244">
        <f>FLIGHTS_NOT_DEPARTED_SQL_8!$A$2</f>
        <v/>
      </c>
      <c r="F28" s="244" t="n"/>
      <c r="G28" s="244" t="n"/>
      <c r="H28" s="247" t="n"/>
      <c r="I28" s="236" t="n"/>
      <c r="J28" s="237" t="n"/>
      <c r="K28" s="237" t="n"/>
      <c r="L28" s="253" t="n"/>
      <c r="M28" s="171" t="n"/>
    </row>
    <row r="29">
      <c r="B29" s="368" t="n"/>
      <c r="C29" s="154" t="n"/>
      <c r="D29" s="151" t="inlineStr">
        <is>
          <t>Repositioned flights</t>
        </is>
      </c>
      <c r="E29" s="248">
        <f>REPOSITIONED_FLIGHTS_SQL_13!$A$2</f>
        <v/>
      </c>
      <c r="F29" s="248" t="n"/>
      <c r="G29" s="248" t="n"/>
      <c r="H29" s="249" t="n"/>
      <c r="I29" s="250" t="n"/>
      <c r="J29" s="251" t="n"/>
      <c r="K29" s="251" t="n"/>
      <c r="L29" s="253" t="n"/>
      <c r="M29" s="171" t="n"/>
    </row>
    <row r="30">
      <c r="B30" s="368" t="n"/>
      <c r="C30" s="154" t="n"/>
      <c r="D30" s="171" t="n"/>
      <c r="E30" s="251" t="n"/>
      <c r="F30" s="251" t="n"/>
      <c r="G30" s="251" t="n"/>
      <c r="H30" s="251" t="n"/>
      <c r="I30" s="251" t="n"/>
      <c r="J30" s="251" t="n"/>
      <c r="K30" s="251" t="n"/>
      <c r="L30" s="253" t="n"/>
      <c r="M30" s="171" t="n"/>
    </row>
    <row r="31">
      <c r="B31" s="259" t="n"/>
      <c r="C31" s="255" t="n"/>
      <c r="D31" s="255" t="n"/>
      <c r="E31" s="255" t="n"/>
      <c r="F31" s="255" t="n"/>
      <c r="G31" s="255" t="n"/>
      <c r="H31" s="255" t="n"/>
      <c r="I31" s="255" t="n"/>
      <c r="J31" s="255" t="n"/>
      <c r="K31" s="255" t="n"/>
      <c r="L31" s="256" t="n"/>
      <c r="M31" s="171" t="n"/>
    </row>
    <row r="32">
      <c r="B32" s="171" t="n"/>
      <c r="C32" s="171" t="n"/>
      <c r="D32" s="171" t="n"/>
      <c r="E32" s="171" t="n"/>
      <c r="F32" s="171" t="n"/>
      <c r="G32" s="171" t="n"/>
      <c r="H32" s="171" t="n"/>
      <c r="I32" s="171" t="n"/>
      <c r="J32" s="171" t="n"/>
      <c r="K32" s="171" t="n"/>
      <c r="L32" s="171" t="n"/>
      <c r="M32" s="171" t="n"/>
    </row>
  </sheetData>
  <mergeCells count="4">
    <mergeCell ref="B5:B12"/>
    <mergeCell ref="B14:B23"/>
    <mergeCell ref="B1:L1"/>
    <mergeCell ref="B25:B30"/>
  </mergeCells>
  <conditionalFormatting sqref="I6:J6 I8:J10">
    <cfRule type="cellIs" priority="16" operator="greaterThan" dxfId="1">
      <formula>0</formula>
    </cfRule>
    <cfRule type="cellIs" priority="17" operator="lessThan" dxfId="37">
      <formula>0</formula>
    </cfRule>
  </conditionalFormatting>
  <conditionalFormatting sqref="K6">
    <cfRule type="cellIs" priority="11" operator="greaterThanOrEqual" dxfId="1">
      <formula>0</formula>
    </cfRule>
    <cfRule type="cellIs" priority="12" operator="lessThan" dxfId="0">
      <formula>0</formula>
    </cfRule>
  </conditionalFormatting>
  <conditionalFormatting sqref="I5:J5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I7:J7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66"/>
</worksheet>
</file>

<file path=xl/worksheets/sheet8.xml><?xml version="1.0" encoding="utf-8"?>
<worksheet xmlns="http://schemas.openxmlformats.org/spreadsheetml/2006/main">
  <sheetPr codeName="Sheet22">
    <outlinePr summaryBelow="1" summaryRight="1"/>
    <pageSetUpPr fitToPage="1"/>
  </sheetPr>
  <dimension ref="A1:U69"/>
  <sheetViews>
    <sheetView zoomScale="96" zoomScaleNormal="96" workbookViewId="0">
      <selection activeCell="M10" sqref="M10"/>
    </sheetView>
  </sheetViews>
  <sheetFormatPr baseColWidth="8" defaultRowHeight="14.5" outlineLevelCol="0"/>
  <cols>
    <col width="17.1796875" customWidth="1" style="286" min="3" max="3"/>
    <col width="14" customWidth="1" style="286" min="4" max="4"/>
    <col width="16.81640625" customWidth="1" style="286" min="5" max="5"/>
    <col width="12.453125" customWidth="1" style="286" min="6" max="6"/>
    <col width="11.26953125" customWidth="1" style="286" min="7" max="7"/>
    <col width="10.453125" customWidth="1" style="286" min="8" max="8"/>
    <col width="13.7265625" customWidth="1" style="286" min="9" max="9"/>
    <col width="11.81640625" customWidth="1" style="286" min="10" max="10"/>
    <col width="11.7265625" customWidth="1" style="286" min="11" max="11"/>
    <col width="10.7265625" customWidth="1" style="286" min="12" max="12"/>
    <col width="11.1796875" customWidth="1" style="286" min="15" max="15"/>
    <col width="11.54296875" customWidth="1" style="286" min="16" max="16"/>
  </cols>
  <sheetData>
    <row r="1">
      <c r="A1" s="171" t="n"/>
      <c r="B1" s="171" t="n"/>
      <c r="C1" s="171" t="n"/>
      <c r="D1" s="171" t="n"/>
      <c r="E1" s="171" t="n"/>
      <c r="F1" s="171" t="n"/>
      <c r="G1" s="171" t="n"/>
      <c r="H1" s="171" t="n"/>
      <c r="I1" s="171" t="n"/>
      <c r="J1" s="171" t="n"/>
      <c r="K1" s="171" t="n"/>
      <c r="L1" s="171" t="n"/>
      <c r="M1" s="171" t="n"/>
      <c r="N1" s="171" t="n"/>
      <c r="O1" s="171" t="n"/>
      <c r="P1" s="171" t="n"/>
      <c r="Q1" s="171" t="n"/>
      <c r="R1" s="171" t="n"/>
    </row>
    <row r="2" ht="21" customHeight="1" s="286">
      <c r="A2" s="171" t="n"/>
      <c r="B2" s="371" t="inlineStr">
        <is>
          <t>Reliability Snapshot - Hubs Competitor Analysis</t>
        </is>
      </c>
      <c r="C2" s="372" t="n"/>
      <c r="D2" s="372" t="n"/>
      <c r="E2" s="372" t="n"/>
      <c r="F2" s="372" t="n"/>
      <c r="G2" s="372" t="n"/>
      <c r="H2" s="372" t="n"/>
      <c r="I2" s="372" t="n"/>
      <c r="J2" s="372" t="n"/>
      <c r="K2" s="372" t="n"/>
      <c r="L2" s="372" t="n"/>
      <c r="M2" s="372" t="n"/>
      <c r="N2" s="372" t="n"/>
      <c r="O2" s="372" t="n"/>
      <c r="P2" s="373" t="n"/>
      <c r="Q2" s="171" t="n"/>
      <c r="R2" s="171" t="n"/>
    </row>
    <row r="3">
      <c r="A3" s="171" t="n"/>
      <c r="B3" s="147" t="n"/>
      <c r="C3" s="171" t="n"/>
      <c r="D3" s="171" t="n"/>
      <c r="E3" s="171" t="n"/>
      <c r="F3" s="171" t="n"/>
      <c r="G3" s="171" t="n"/>
      <c r="H3" s="171" t="n"/>
      <c r="I3" s="171" t="n"/>
      <c r="J3" s="171" t="n"/>
      <c r="K3" s="171" t="n"/>
      <c r="L3" s="171" t="n"/>
      <c r="M3" s="171" t="n"/>
      <c r="N3" s="171" t="n"/>
      <c r="O3" s="171" t="n"/>
      <c r="P3" s="150" t="n"/>
      <c r="Q3" s="171" t="n"/>
      <c r="R3" s="171" t="n"/>
    </row>
    <row r="4">
      <c r="A4" s="171" t="n"/>
      <c r="B4" s="147" t="n"/>
      <c r="C4" s="157" t="n"/>
      <c r="D4" s="158" t="inlineStr">
        <is>
          <t>D00</t>
        </is>
      </c>
      <c r="E4" s="158" t="inlineStr">
        <is>
          <t>CD00</t>
        </is>
      </c>
      <c r="F4" s="221" t="inlineStr">
        <is>
          <t>DL Diff.</t>
        </is>
      </c>
      <c r="G4" s="221" t="inlineStr">
        <is>
          <t>AA Diff.</t>
        </is>
      </c>
      <c r="H4" s="221" t="inlineStr">
        <is>
          <t>AS Diff.</t>
        </is>
      </c>
      <c r="I4" s="221" t="inlineStr">
        <is>
          <t>Rank</t>
        </is>
      </c>
      <c r="J4" s="222" t="n"/>
      <c r="K4" s="158" t="inlineStr">
        <is>
          <t>Cancel Rate</t>
        </is>
      </c>
      <c r="L4" s="221" t="inlineStr">
        <is>
          <t>DL Diff.</t>
        </is>
      </c>
      <c r="M4" s="221" t="inlineStr">
        <is>
          <t>AA Diff.</t>
        </is>
      </c>
      <c r="N4" s="221" t="inlineStr">
        <is>
          <t>AS Diff.</t>
        </is>
      </c>
      <c r="O4" s="221" t="inlineStr">
        <is>
          <t>Rank</t>
        </is>
      </c>
      <c r="P4" s="160" t="n"/>
      <c r="Q4" s="171" t="n"/>
      <c r="R4" s="171" t="n"/>
    </row>
    <row r="5">
      <c r="A5" s="171" t="n"/>
      <c r="B5" s="147" t="n"/>
      <c r="C5" s="157" t="inlineStr">
        <is>
          <t>Denver</t>
        </is>
      </c>
      <c r="D5" s="374">
        <f>SUMIFS(UA_HUB_SQL_7!$J:$J,UA_HUB_SQL_7!$B:$B,'Pg2'!$T6)/SUMIFS(UA_HUB_SQL_7!$F:$F,UA_HUB_SQL_7!$B:$B,'Pg2'!$T6)</f>
        <v/>
      </c>
      <c r="E5" s="374">
        <f>SUMIFS(UA_HUB_SQL_7!$K:$K,UA_HUB_SQL_7!$B:$B,'Pg2'!$T6)/SUMIFS(UA_HUB_SQL_7!$F:$F,UA_HUB_SQL_7!$B:$B,'Pg2'!$T6)</f>
        <v/>
      </c>
      <c r="F5" s="162">
        <f>"-"</f>
        <v/>
      </c>
      <c r="G5" s="162" t="inlineStr">
        <is>
          <t>-</t>
        </is>
      </c>
      <c r="H5" s="163" t="inlineStr">
        <is>
          <t>-</t>
        </is>
      </c>
      <c r="I5" s="162">
        <f>"-"</f>
        <v/>
      </c>
      <c r="J5" s="159" t="n"/>
      <c r="K5" s="374">
        <f>SUMIFS(UA_HUB_SQL_7!$G:$G,UA_HUB_SQL_7!$B:$B,'Pg2'!$T6)/SUMIFS(UA_HUB_SQL_7!$F:$F,UA_HUB_SQL_7!$B:$B,'Pg2'!$T6)</f>
        <v/>
      </c>
      <c r="L5" s="162">
        <f>"-"</f>
        <v/>
      </c>
      <c r="M5" s="162">
        <f>"-"</f>
        <v/>
      </c>
      <c r="N5" s="162" t="inlineStr">
        <is>
          <t>-</t>
        </is>
      </c>
      <c r="O5" s="164" t="n">
        <v>1</v>
      </c>
      <c r="P5" s="150" t="n"/>
      <c r="Q5" s="171" t="n"/>
      <c r="R5" s="171" t="n"/>
    </row>
    <row r="6">
      <c r="A6" s="171" t="n"/>
      <c r="B6" s="147" t="n"/>
      <c r="C6" s="157" t="inlineStr">
        <is>
          <t>New York</t>
        </is>
      </c>
      <c r="D6" s="374">
        <f>SUMIFS(UA_HUB_SQL_7!$J:$J,UA_HUB_SQL_7!$B:$B,'Pg2'!$T7)/SUMIFS(UA_HUB_SQL_7!$F:$F,UA_HUB_SQL_7!$B:$B,'Pg2'!$T7)</f>
        <v/>
      </c>
      <c r="E6" s="374">
        <f>SUMIFS(UA_HUB_SQL_7!$K:$K,UA_HUB_SQL_7!$B:$B,'Pg2'!$T7)/SUMIFS(UA_HUB_SQL_7!$F:$F,UA_HUB_SQL_7!$B:$B,'Pg2'!$T7)</f>
        <v/>
      </c>
      <c r="F6" s="162">
        <f>(RANK!B9-RANK!C9)*100</f>
        <v/>
      </c>
      <c r="G6" s="162">
        <f>(RANK!B9-RANK!D9)*100</f>
        <v/>
      </c>
      <c r="H6" s="163" t="inlineStr">
        <is>
          <t>-</t>
        </is>
      </c>
      <c r="I6" s="164">
        <f>RANK!$F9</f>
        <v/>
      </c>
      <c r="J6" s="159" t="n"/>
      <c r="K6" s="374">
        <f>SUMIFS(UA_HUB_SQL_7!$G:$G,UA_HUB_SQL_7!$B:$B,'Pg2'!$T7)/SUMIFS(UA_HUB_SQL_7!$F:$F,UA_HUB_SQL_7!$B:$B,'Pg2'!$T7)</f>
        <v/>
      </c>
      <c r="L6" s="162">
        <f>IF(((RANK!B20-RANK!C20)*100)=0,"-",(RANK!B20-RANK!C20)*100)</f>
        <v/>
      </c>
      <c r="M6" s="162">
        <f>IF(((RANK!B20-RANK!D20)*100)=0,"-",(RANK!B20-RANK!D20)*100)</f>
        <v/>
      </c>
      <c r="N6" s="162" t="inlineStr">
        <is>
          <t>-</t>
        </is>
      </c>
      <c r="O6" s="164">
        <f>RANK!F20</f>
        <v/>
      </c>
      <c r="P6" s="150" t="n"/>
      <c r="Q6" s="171" t="n"/>
      <c r="R6" s="171" t="n"/>
      <c r="T6" s="157" t="inlineStr">
        <is>
          <t>Denver</t>
        </is>
      </c>
    </row>
    <row r="7">
      <c r="A7" s="171" t="n"/>
      <c r="B7" s="147" t="n"/>
      <c r="C7" s="157" t="inlineStr">
        <is>
          <t>Washington DC</t>
        </is>
      </c>
      <c r="D7" s="374">
        <f>SUMIFS(UA_HUB_SQL_7!$J:$J,UA_HUB_SQL_7!$B:$B,'Pg2'!$T8)/SUMIFS(UA_HUB_SQL_7!$F:$F,UA_HUB_SQL_7!$B:$B,'Pg2'!$T8)</f>
        <v/>
      </c>
      <c r="E7" s="374">
        <f>SUMIFS(UA_HUB_SQL_7!$K:$K,UA_HUB_SQL_7!$B:$B,'Pg2'!$T8)/SUMIFS(UA_HUB_SQL_7!$F:$F,UA_HUB_SQL_7!$B:$B,'Pg2'!$T8)</f>
        <v/>
      </c>
      <c r="F7" s="162">
        <f>(RANK!B10-RANK!C10)*100</f>
        <v/>
      </c>
      <c r="G7" s="162">
        <f>(RANK!B10-RANK!D10)*100</f>
        <v/>
      </c>
      <c r="H7" s="163" t="inlineStr">
        <is>
          <t>-</t>
        </is>
      </c>
      <c r="I7" s="164">
        <f>RANK!$F10</f>
        <v/>
      </c>
      <c r="J7" s="159" t="n"/>
      <c r="K7" s="374">
        <f>SUMIFS(UA_HUB_SQL_7!$G:$G,UA_HUB_SQL_7!$B:$B,'Pg2'!$T8)/SUMIFS(UA_HUB_SQL_7!$F:$F,UA_HUB_SQL_7!$B:$B,'Pg2'!$T8)</f>
        <v/>
      </c>
      <c r="L7" s="162">
        <f>IF(((RANK!B21-RANK!C21)*100)=0,"-",(RANK!B21-RANK!C21)*100)</f>
        <v/>
      </c>
      <c r="M7" s="162">
        <f>IF(((RANK!B21-RANK!D21)*100)=0,"-",(RANK!B21-RANK!D21)*100)</f>
        <v/>
      </c>
      <c r="N7" s="162" t="inlineStr">
        <is>
          <t>-</t>
        </is>
      </c>
      <c r="O7" s="164">
        <f>RANK!F21</f>
        <v/>
      </c>
      <c r="P7" s="150" t="n"/>
      <c r="Q7" s="171" t="n"/>
      <c r="R7" s="171" t="n"/>
      <c r="T7" s="157" t="inlineStr">
        <is>
          <t>New York</t>
        </is>
      </c>
    </row>
    <row r="8">
      <c r="A8" s="171" t="n"/>
      <c r="B8" s="147" t="n"/>
      <c r="C8" s="157" t="inlineStr">
        <is>
          <t>Texas</t>
        </is>
      </c>
      <c r="D8" s="374">
        <f>SUMIFS(UA_HUB_SQL_7!$J:$J,UA_HUB_SQL_7!$B:$B,'Pg2'!$T9)/SUMIFS(UA_HUB_SQL_7!$F:$F,UA_HUB_SQL_7!$B:$B,'Pg2'!$T9)</f>
        <v/>
      </c>
      <c r="E8" s="374">
        <f>SUMIFS(UA_HUB_SQL_7!$K:$K,UA_HUB_SQL_7!$B:$B,'Pg2'!$T9)/SUMIFS(UA_HUB_SQL_7!$F:$F,UA_HUB_SQL_7!$B:$B,'Pg2'!$T9)</f>
        <v/>
      </c>
      <c r="F8" s="162">
        <f>"-"</f>
        <v/>
      </c>
      <c r="G8" s="162">
        <f>(RANK!B11-RANK!D11)*100</f>
        <v/>
      </c>
      <c r="H8" s="163" t="inlineStr">
        <is>
          <t>-</t>
        </is>
      </c>
      <c r="I8" s="164">
        <f>RANK!$F11</f>
        <v/>
      </c>
      <c r="J8" s="159" t="n"/>
      <c r="K8" s="374">
        <f>SUMIFS(UA_HUB_SQL_7!$G:$G,UA_HUB_SQL_7!$B:$B,'Pg2'!$T9)/SUMIFS(UA_HUB_SQL_7!$F:$F,UA_HUB_SQL_7!$B:$B,'Pg2'!$T9)</f>
        <v/>
      </c>
      <c r="L8" s="162">
        <f>IFERROR((RANK!B22-RANK!C22)*100,"-")</f>
        <v/>
      </c>
      <c r="M8" s="162">
        <f>IF(((RANK!B22-RANK!D22)*100)= 0,"-",(RANK!B22-RANK!D22)*100 )</f>
        <v/>
      </c>
      <c r="N8" s="162" t="inlineStr">
        <is>
          <t>-</t>
        </is>
      </c>
      <c r="O8" s="164">
        <f>RANK!F22</f>
        <v/>
      </c>
      <c r="P8" s="150" t="n"/>
      <c r="Q8" s="171" t="n"/>
      <c r="R8" s="171" t="n"/>
      <c r="T8" s="157" t="inlineStr">
        <is>
          <t>Washington DC</t>
        </is>
      </c>
    </row>
    <row r="9">
      <c r="A9" s="171" t="n"/>
      <c r="B9" s="147" t="n"/>
      <c r="C9" s="157" t="inlineStr">
        <is>
          <t>Los Angeles</t>
        </is>
      </c>
      <c r="D9" s="374">
        <f>SUMIFS(UA_HUB_SQL_7!$J:$J,UA_HUB_SQL_7!$B:$B,'Pg2'!$T10)/SUMIFS(UA_HUB_SQL_7!$F:$F,UA_HUB_SQL_7!$B:$B,'Pg2'!$T10)</f>
        <v/>
      </c>
      <c r="E9" s="374">
        <f>SUMIFS(UA_HUB_SQL_7!$K:$K,UA_HUB_SQL_7!$B:$B,'Pg2'!$T10)/SUMIFS(UA_HUB_SQL_7!$F:$F,UA_HUB_SQL_7!$B:$B,'Pg2'!$T10)</f>
        <v/>
      </c>
      <c r="F9" s="162">
        <f>(RANK!B12-RANK!C12)*100</f>
        <v/>
      </c>
      <c r="G9" s="162">
        <f>(RANK!B12-RANK!D12)*100</f>
        <v/>
      </c>
      <c r="H9" s="163" t="inlineStr">
        <is>
          <t>-</t>
        </is>
      </c>
      <c r="I9" s="164">
        <f>RANK!$F12</f>
        <v/>
      </c>
      <c r="J9" s="159" t="n"/>
      <c r="K9" s="374">
        <f>SUMIFS(UA_HUB_SQL_7!$G:$G,UA_HUB_SQL_7!$B:$B,'Pg2'!$T10)/SUMIFS(UA_HUB_SQL_7!$F:$F,UA_HUB_SQL_7!$B:$B,'Pg2'!$T10)</f>
        <v/>
      </c>
      <c r="L9" s="162">
        <f>IF(((RANK!B23-RANK!C23)*100)=0,"-",(RANK!B23-RANK!C23)*100)</f>
        <v/>
      </c>
      <c r="M9" s="162">
        <f>IF(((RANK!B23-RANK!D23)*100)=0,"-",(RANK!B23-RANK!D23)*100)</f>
        <v/>
      </c>
      <c r="N9" s="162" t="inlineStr">
        <is>
          <t>-</t>
        </is>
      </c>
      <c r="O9" s="164">
        <f>RANK!F23</f>
        <v/>
      </c>
      <c r="P9" s="150" t="n"/>
      <c r="Q9" s="171" t="n"/>
      <c r="R9" s="171" t="n"/>
      <c r="T9" s="157" t="inlineStr">
        <is>
          <t>Texas</t>
        </is>
      </c>
    </row>
    <row r="10">
      <c r="A10" s="171" t="n"/>
      <c r="B10" s="147" t="n"/>
      <c r="C10" s="157" t="inlineStr">
        <is>
          <t>Chicago</t>
        </is>
      </c>
      <c r="D10" s="374">
        <f>SUMIFS(UA_HUB_SQL_7!$J:$J,UA_HUB_SQL_7!$B:$B,'Pg2'!$T11)/SUMIFS(UA_HUB_SQL_7!$F:$F,UA_HUB_SQL_7!$B:$B,'Pg2'!$T11)</f>
        <v/>
      </c>
      <c r="E10" s="374">
        <f>SUMIFS(UA_HUB_SQL_7!$K:$K,UA_HUB_SQL_7!$B:$B,'Pg2'!$T11)/SUMIFS(UA_HUB_SQL_7!$F:$F,UA_HUB_SQL_7!$B:$B,'Pg2'!$T11)</f>
        <v/>
      </c>
      <c r="F10" s="162" t="inlineStr">
        <is>
          <t>-</t>
        </is>
      </c>
      <c r="G10" s="162">
        <f>(RANK!B13-RANK!D13)*100</f>
        <v/>
      </c>
      <c r="H10" s="163" t="inlineStr">
        <is>
          <t>-</t>
        </is>
      </c>
      <c r="I10" s="164">
        <f>RANK!$F13</f>
        <v/>
      </c>
      <c r="J10" s="159" t="n"/>
      <c r="K10" s="374">
        <f>SUMIFS(UA_HUB_SQL_7!$G:$G,UA_HUB_SQL_7!$B:$B,'Pg2'!$T11)/SUMIFS(UA_HUB_SQL_7!$F:$F,UA_HUB_SQL_7!$B:$B,'Pg2'!$T11)</f>
        <v/>
      </c>
      <c r="L10" s="162">
        <f>"-"</f>
        <v/>
      </c>
      <c r="M10" s="162">
        <f>IF(((RANK!B24-RANK!D24)*100)=0,"-",(RANK!B24-RANK!D24)*100)</f>
        <v/>
      </c>
      <c r="N10" s="162" t="inlineStr">
        <is>
          <t>-</t>
        </is>
      </c>
      <c r="O10" s="164">
        <f>RANK!F24</f>
        <v/>
      </c>
      <c r="P10" s="150" t="n"/>
      <c r="Q10" s="171" t="n"/>
      <c r="R10" s="171" t="n"/>
      <c r="T10" s="157" t="inlineStr">
        <is>
          <t>Los Angeles</t>
        </is>
      </c>
    </row>
    <row r="11">
      <c r="A11" s="171" t="n"/>
      <c r="B11" s="147" t="n"/>
      <c r="C11" s="157" t="inlineStr">
        <is>
          <t>San Francisco</t>
        </is>
      </c>
      <c r="D11" s="374">
        <f>SUMIFS(UA_HUB_SQL_7!$J:$J,UA_HUB_SQL_7!$B:$B,'Pg2'!$T12)/SUMIFS(UA_HUB_SQL_7!$F:$F,UA_HUB_SQL_7!$B:$B,'Pg2'!$T12)</f>
        <v/>
      </c>
      <c r="E11" s="374">
        <f>SUMIFS(UA_HUB_SQL_7!$K:$K,UA_HUB_SQL_7!$B:$B,'Pg2'!$T12)/SUMIFS(UA_HUB_SQL_7!$F:$F,UA_HUB_SQL_7!$B:$B,'Pg2'!$T12)</f>
        <v/>
      </c>
      <c r="F11" s="162" t="inlineStr">
        <is>
          <t>-</t>
        </is>
      </c>
      <c r="G11" s="162">
        <f>"-"</f>
        <v/>
      </c>
      <c r="H11" s="163">
        <f>(RANK!B14-RANK!E14)*100</f>
        <v/>
      </c>
      <c r="I11" s="164">
        <f>RANK!$F14</f>
        <v/>
      </c>
      <c r="J11" s="159" t="n"/>
      <c r="K11" s="374">
        <f>SUMIFS(UA_HUB_SQL_7!$G:$G,UA_HUB_SQL_7!$B:$B,'Pg2'!$T12)/SUMIFS(UA_HUB_SQL_7!$F:$F,UA_HUB_SQL_7!$B:$B,'Pg2'!$T12)</f>
        <v/>
      </c>
      <c r="L11" s="162">
        <f>"-"</f>
        <v/>
      </c>
      <c r="M11" s="162">
        <f>"-"</f>
        <v/>
      </c>
      <c r="N11" s="162">
        <f>IF(((RANK!B25-RANK!E25)*100)=0,"",(RANK!B25-RANK!E25)*100)</f>
        <v/>
      </c>
      <c r="O11" s="164">
        <f>RANK!F25</f>
        <v/>
      </c>
      <c r="P11" s="150" t="n"/>
      <c r="Q11" s="171" t="n"/>
      <c r="R11" s="171" t="n"/>
      <c r="T11" s="157" t="inlineStr">
        <is>
          <t>Chicago</t>
        </is>
      </c>
    </row>
    <row r="12">
      <c r="A12" s="171" t="n"/>
      <c r="B12" s="165" t="inlineStr">
        <is>
          <t>LINE</t>
        </is>
      </c>
      <c r="C12" s="157" t="inlineStr">
        <is>
          <t>Line Stations</t>
        </is>
      </c>
      <c r="D12" s="374">
        <f>SUMIFS(UA_HUB_SQL_7!$J:$J,UA_HUB_SQL_7!$B:$B,'Pg2'!$T13)/SUMIFS(UA_HUB_SQL_7!$F:$F,UA_HUB_SQL_7!$B:$B,'Pg2'!$T13)</f>
        <v/>
      </c>
      <c r="E12" s="374">
        <f>SUMIFS(UA_HUB_SQL_7!$K:$K,UA_HUB_SQL_7!$B:$B,'Pg2'!$T13)/SUMIFS(UA_HUB_SQL_7!$F:$F,UA_HUB_SQL_7!$B:$B,'Pg2'!$T13)</f>
        <v/>
      </c>
      <c r="F12" s="162">
        <f>(RANK!B15-RANK!C15)*100</f>
        <v/>
      </c>
      <c r="G12" s="162">
        <f>(RANK!B15-RANK!D15)*100</f>
        <v/>
      </c>
      <c r="H12" s="163">
        <f>(RANK!B15-RANK!E15)*100</f>
        <v/>
      </c>
      <c r="I12" s="164">
        <f>RANK!$F15</f>
        <v/>
      </c>
      <c r="J12" s="159" t="n"/>
      <c r="K12" s="374">
        <f>SUMIFS(UA_HUB_SQL_7!$G:$G,UA_HUB_SQL_7!$B:$B,'Pg2'!$T13)/SUMIFS(UA_HUB_SQL_7!$F:$F,UA_HUB_SQL_7!$B:$B,'Pg2'!$T13)</f>
        <v/>
      </c>
      <c r="L12" s="162">
        <f>IF(((RANK!B26-RANK!C26)*100)=0,"-",(RANK!B26-RANK!C26)*100)</f>
        <v/>
      </c>
      <c r="M12" s="162">
        <f>IFERROR((RANK!B26-RANK!D26)*100,"-")</f>
        <v/>
      </c>
      <c r="N12" s="162">
        <f>IF(((RANK!B26-RANK!E26)*100)=0, "-", (RANK!B26-RANK!E26)*100)</f>
        <v/>
      </c>
      <c r="O12" s="164">
        <f>RANK!F26</f>
        <v/>
      </c>
      <c r="P12" s="150" t="n"/>
      <c r="Q12" s="171" t="n"/>
      <c r="R12" s="171" t="n"/>
      <c r="T12" s="157" t="inlineStr">
        <is>
          <t>San Francisco</t>
        </is>
      </c>
    </row>
    <row r="13">
      <c r="A13" s="171" t="n"/>
      <c r="B13" s="147" t="n"/>
      <c r="C13" s="157" t="inlineStr">
        <is>
          <t>Line Int</t>
        </is>
      </c>
      <c r="D13" s="374">
        <f>SUMIFS(UA_Line!$K:$K,UA_Line!$B:$B,"Line Int")/SUMIFS(UA_Line!$F:$F,UA_Line!$B:$B,"Line Int")</f>
        <v/>
      </c>
      <c r="E13" s="374">
        <f>SUMIFS(UA_Line!$J:$J,UA_Line!$B:$B,"Line Int")/SUMIFS(UA_Line!$F:$F,UA_Line!$B:$B,"Line Int")</f>
        <v/>
      </c>
      <c r="F13" s="162">
        <f>(RANK!B16-RANK!C16)*100</f>
        <v/>
      </c>
      <c r="G13" s="162">
        <f>(RANK!B16-RANK!D16)*100</f>
        <v/>
      </c>
      <c r="H13" s="163" t="inlineStr">
        <is>
          <t>-</t>
        </is>
      </c>
      <c r="I13" s="164">
        <f>RANK!$F16</f>
        <v/>
      </c>
      <c r="J13" s="159" t="n"/>
      <c r="K13" s="374">
        <f>SUMIFS(UA_Line!$G:$G,UA_Line!$B:$B,"Line Int")/SUMIFS(UA_Line!$F:$F,UA_Line!$B:$B,"Line Int")</f>
        <v/>
      </c>
      <c r="L13" s="162">
        <f>IF(((RANK!B27-RANK!C27)*100)=0,"-",(RANK!B27-RANK!C27)*100)</f>
        <v/>
      </c>
      <c r="M13" s="162">
        <f>IF(((RANK!B27-RANK!D27)*100)=0,"-",(RANK!B27-RANK!D27)*100)</f>
        <v/>
      </c>
      <c r="N13" s="162">
        <f>"-"</f>
        <v/>
      </c>
      <c r="O13" s="164">
        <f>RANK!F27</f>
        <v/>
      </c>
      <c r="P13" s="150" t="n"/>
      <c r="Q13" s="171" t="n"/>
      <c r="R13" s="171" t="n"/>
      <c r="T13" s="157" t="inlineStr">
        <is>
          <t>LINE</t>
        </is>
      </c>
    </row>
    <row r="14">
      <c r="A14" s="171" t="n"/>
      <c r="B14" s="147" t="n"/>
      <c r="C14" s="157" t="inlineStr">
        <is>
          <t>Line Dom</t>
        </is>
      </c>
      <c r="D14" s="375">
        <f>SUMIFS(UA_Line!$K:$K,UA_Line!$B:$B,"Line Dom")/SUMIFS(UA_Line!$F:$F,UA_Line!$B:$B,"Line Dom")</f>
        <v/>
      </c>
      <c r="E14" s="375">
        <f>SUMIFS(UA_Line!$J:$J,UA_Line!$B:$B,"Line Dom")/SUMIFS(UA_Line!$F:$F,UA_Line!$B:$B,"Line Dom")</f>
        <v/>
      </c>
      <c r="F14" s="218">
        <f>(RANK!B17-RANK!C17)*100</f>
        <v/>
      </c>
      <c r="G14" s="218">
        <f>(RANK!B17-RANK!D17)*100</f>
        <v/>
      </c>
      <c r="H14" s="219">
        <f>"-"</f>
        <v/>
      </c>
      <c r="I14" s="220">
        <f>RANK!$F17</f>
        <v/>
      </c>
      <c r="J14" s="159" t="n"/>
      <c r="K14" s="375">
        <f>SUMIFS(UA_Line!$G:$G,UA_Line!$B:$B,"Line Dom")/SUMIFS(UA_Line!$F:$F,UA_Line!$B:$B,"Line Dom")</f>
        <v/>
      </c>
      <c r="L14" s="218">
        <f>IF(((RANK!$B$28-RANK!C28)*100)=0,"-",(RANK!$B$28-RANK!C28)*100)</f>
        <v/>
      </c>
      <c r="M14" s="218">
        <f>IF(((RANK!$B$28-RANK!D28)*100)=0,"-",(RANK!$B$28-RANK!D28)*100)</f>
        <v/>
      </c>
      <c r="N14" s="218" t="inlineStr">
        <is>
          <t>-</t>
        </is>
      </c>
      <c r="O14" s="220">
        <f>RANK!F28</f>
        <v/>
      </c>
      <c r="P14" s="150" t="n"/>
      <c r="Q14" s="171" t="n"/>
      <c r="R14" s="171" t="n"/>
      <c r="T14" s="157" t="inlineStr">
        <is>
          <t>Line Int</t>
        </is>
      </c>
    </row>
    <row r="15">
      <c r="A15" s="171" t="n"/>
      <c r="B15" s="147" t="n"/>
      <c r="C15" s="172" t="n"/>
      <c r="D15" s="171" t="n"/>
      <c r="E15" s="171" t="n"/>
      <c r="F15" s="171" t="n"/>
      <c r="G15" s="171" t="n"/>
      <c r="H15" s="171" t="n"/>
      <c r="I15" s="171" t="n"/>
      <c r="J15" s="171" t="n"/>
      <c r="K15" s="171" t="n"/>
      <c r="L15" s="171" t="n"/>
      <c r="M15" s="171" t="n"/>
      <c r="N15" s="171" t="n"/>
      <c r="O15" s="171" t="n"/>
      <c r="P15" s="150" t="n"/>
      <c r="Q15" s="171" t="n"/>
      <c r="R15" s="171" t="n"/>
      <c r="T15" s="157" t="inlineStr">
        <is>
          <t>Line Dom</t>
        </is>
      </c>
    </row>
    <row r="16">
      <c r="A16" s="171" t="n"/>
      <c r="B16" s="167" t="n"/>
      <c r="C16" s="168" t="n"/>
      <c r="D16" s="169" t="n"/>
      <c r="E16" s="169" t="n"/>
      <c r="F16" s="169" t="n"/>
      <c r="G16" s="169" t="n"/>
      <c r="H16" s="169" t="n"/>
      <c r="I16" s="169" t="n"/>
      <c r="J16" s="169" t="n"/>
      <c r="K16" s="169" t="n"/>
      <c r="L16" s="169" t="n"/>
      <c r="M16" s="169" t="n"/>
      <c r="N16" s="169" t="n"/>
      <c r="O16" s="169" t="n"/>
      <c r="P16" s="170" t="n"/>
      <c r="Q16" s="171" t="n"/>
      <c r="R16" s="171" t="n"/>
    </row>
    <row r="17">
      <c r="A17" s="171" t="n"/>
      <c r="B17" s="171" t="n"/>
      <c r="C17" s="172" t="n"/>
      <c r="D17" s="171" t="n"/>
      <c r="E17" s="171" t="n"/>
      <c r="F17" s="171" t="n"/>
      <c r="G17" s="171" t="n"/>
      <c r="H17" s="171" t="n"/>
      <c r="I17" s="171" t="n"/>
      <c r="J17" s="171" t="n"/>
      <c r="K17" s="171" t="n"/>
      <c r="L17" s="171" t="n"/>
      <c r="M17" s="171" t="n"/>
      <c r="N17" s="171" t="n"/>
      <c r="O17" s="171" t="n"/>
      <c r="P17" s="171" t="n"/>
      <c r="Q17" s="171" t="n"/>
      <c r="R17" s="171" t="n"/>
    </row>
    <row r="18">
      <c r="A18" s="171" t="n"/>
      <c r="B18" s="171" t="n"/>
      <c r="C18" s="172" t="n"/>
      <c r="D18" s="171" t="n"/>
      <c r="E18" s="171" t="n"/>
      <c r="F18" s="171" t="n"/>
      <c r="G18" s="171" t="n"/>
      <c r="H18" s="171" t="n"/>
      <c r="I18" s="171" t="n"/>
      <c r="J18" s="171" t="n"/>
      <c r="K18" s="171" t="n"/>
      <c r="L18" s="171" t="n"/>
      <c r="M18" s="171" t="n"/>
      <c r="N18" s="171" t="n"/>
      <c r="O18" s="171" t="n"/>
      <c r="P18" s="171" t="n"/>
      <c r="Q18" s="171" t="n"/>
      <c r="R18" s="171" t="n"/>
    </row>
    <row r="19" ht="21" customHeight="1" s="286">
      <c r="A19" s="266" t="inlineStr">
        <is>
          <t>Cancel Detail</t>
        </is>
      </c>
      <c r="B19" s="334" t="inlineStr">
        <is>
          <t>Cancel</t>
        </is>
      </c>
    </row>
    <row r="20">
      <c r="A20" s="171" t="n"/>
      <c r="B20" s="270" t="n"/>
      <c r="C20" s="174" t="n"/>
      <c r="D20" s="174" t="n"/>
      <c r="E20" s="174" t="n"/>
      <c r="F20" s="174" t="n"/>
      <c r="G20" s="174" t="n"/>
      <c r="H20" s="174" t="n"/>
      <c r="I20" s="174" t="n"/>
      <c r="J20" s="174" t="n"/>
      <c r="K20" s="174" t="n"/>
      <c r="L20" s="174" t="n"/>
      <c r="M20" s="174" t="n"/>
      <c r="N20" s="174" t="n"/>
      <c r="O20" s="174" t="n"/>
      <c r="P20" s="274" t="n"/>
      <c r="Q20" s="171" t="n"/>
      <c r="R20" s="253" t="n"/>
    </row>
    <row r="21" ht="58" customHeight="1" s="286">
      <c r="A21" s="171" t="n"/>
      <c r="B21" s="258" t="n"/>
      <c r="C21" s="175" t="n"/>
      <c r="D21" s="260" t="inlineStr">
        <is>
          <t>Scheduled Departures</t>
        </is>
      </c>
      <c r="E21" s="215" t="inlineStr">
        <is>
          <t>Weather &amp; ATC</t>
        </is>
      </c>
      <c r="F21" s="214" t="inlineStr">
        <is>
          <t>Technical Operations</t>
        </is>
      </c>
      <c r="G21" s="214" t="inlineStr">
        <is>
          <t>Flight Operations</t>
        </is>
      </c>
      <c r="H21" s="214" t="inlineStr">
        <is>
          <t>Inflight Services</t>
        </is>
      </c>
      <c r="I21" s="214" t="inlineStr">
        <is>
          <t>Airport Operation</t>
        </is>
      </c>
      <c r="J21" s="214" t="inlineStr">
        <is>
          <t>Network Operation</t>
        </is>
      </c>
      <c r="K21" s="214" t="inlineStr">
        <is>
          <t>IT</t>
        </is>
      </c>
      <c r="L21" s="214" t="inlineStr">
        <is>
          <t>Catering Operations</t>
        </is>
      </c>
      <c r="M21" s="213" t="inlineStr">
        <is>
          <t>Other</t>
        </is>
      </c>
      <c r="N21" s="212" t="inlineStr">
        <is>
          <t>Total Cancels</t>
        </is>
      </c>
      <c r="O21" s="212" t="inlineStr">
        <is>
          <t>ES covered for this partner</t>
        </is>
      </c>
      <c r="P21" s="212" t="inlineStr">
        <is>
          <t>Net Cancel</t>
        </is>
      </c>
      <c r="Q21" s="212" t="inlineStr">
        <is>
          <t>ES covered by this partner</t>
        </is>
      </c>
      <c r="R21" s="253" t="n"/>
    </row>
    <row r="22">
      <c r="A22" s="171" t="n"/>
      <c r="B22" s="271" t="n"/>
      <c r="C22" s="191" t="inlineStr">
        <is>
          <t>OO - SkyWest</t>
        </is>
      </c>
      <c r="D22" s="176">
        <f>SUMIFS(SCH_DEP_SQL_4!$E:$E,SCH_DEP_SQL_4!$A:$A,'Pg2'!$T22)</f>
        <v/>
      </c>
      <c r="E22" s="177">
        <f>IF((SUMIFS(CNXL_SQL_2!$F:$F,CNXL_SQL_2!$D:$D,'Pg2'!$U$22,CNXL_SQL_2!$A:$A,'Pg2'!$T22))=0,"",SUMIFS(CNXL_SQL_2!$F:$F,CNXL_SQL_2!$D:$D,'Pg2'!$U$22,CNXL_SQL_2!$A:$A,'Pg2'!$T22))</f>
        <v/>
      </c>
      <c r="F22" s="177">
        <f>IF((SUMIFS(CNXL_SQL_2!$F:$F,CNXL_SQL_2!$D:$D,'Pg2'!$U$23,CNXL_SQL_2!$A:$A,'Pg2'!$T22))=0,"",SUMIFS(CNXL_SQL_2!$F:$F,CNXL_SQL_2!$D:$D,'Pg2'!$U$23,CNXL_SQL_2!$A:$A,'Pg2'!$T22))</f>
        <v/>
      </c>
      <c r="G22" s="177">
        <f>IF((SUMIFS(CNXL_SQL_2!$F:$F,CNXL_SQL_2!$D:$D,'Pg2'!$U$24,CNXL_SQL_2!$A:$A,'Pg2'!$T22))=0,"",SUMIFS(CNXL_SQL_2!$F:$F,CNXL_SQL_2!$D:$D,'Pg2'!$U$24,CNXL_SQL_2!$A:$A,'Pg2'!$T22))</f>
        <v/>
      </c>
      <c r="H22" s="177">
        <f>IF((SUMIFS(CNXL_SQL_2!$F:$F,CNXL_SQL_2!$D:$D,'Pg2'!$U$25,CNXL_SQL_2!$A:$A,'Pg2'!$T22))=0,"",SUMIFS(CNXL_SQL_2!$F:$F,CNXL_SQL_2!$D:$D,'Pg2'!$U$25,CNXL_SQL_2!$A:$A,'Pg2'!$T22))</f>
        <v/>
      </c>
      <c r="I22" s="177">
        <f>IF((SUMIFS(CNXL_SQL_2!$F:$F,CNXL_SQL_2!$D:$D,'Pg2'!$U$26,CNXL_SQL_2!$A:$A,'Pg2'!$T22))=0,"",SUMIFS(CNXL_SQL_2!$F:$F,CNXL_SQL_2!$D:$D,'Pg2'!$U$26,CNXL_SQL_2!$A:$A,'Pg2'!$T22))</f>
        <v/>
      </c>
      <c r="J22" s="177">
        <f>IF((SUMIFS(CNXL_SQL_2!$F:$F,CNXL_SQL_2!$D:$D,'Pg2'!$U$27,CNXL_SQL_2!$A:$A,'Pg2'!$T22))=0,"",SUMIFS(CNXL_SQL_2!$F:$F,CNXL_SQL_2!$D:$D,'Pg2'!$U$27,CNXL_SQL_2!$A:$A,'Pg2'!$T22))</f>
        <v/>
      </c>
      <c r="K22" s="177">
        <f>IF((SUMIFS(CNXL_SQL_2!$F:$F,CNXL_SQL_2!$D:$D,'Pg2'!$U$28,CNXL_SQL_2!$A:$A,'Pg2'!$T22))=0,"",SUMIFS(CNXL_SQL_2!$F:$F,CNXL_SQL_2!$D:$D,'Pg2'!$U$28,CNXL_SQL_2!$A:$A,'Pg2'!$T22))</f>
        <v/>
      </c>
      <c r="L22" s="177">
        <f>IF((SUMIFS(CNXL_SQL_2!$F:$F,CNXL_SQL_2!$D:$D,'Pg2'!$U$29,CNXL_SQL_2!$A:$A,'Pg2'!$T22))=0,"",SUMIFS(CNXL_SQL_2!$F:$F,CNXL_SQL_2!$D:$D,'Pg2'!$U$29,CNXL_SQL_2!$A:$A,'Pg2'!$T22))</f>
        <v/>
      </c>
      <c r="M22" s="178" t="n"/>
      <c r="N22" s="216">
        <f>IF((SUM(E22:M22))=0,"",SUM(E22:M22))</f>
        <v/>
      </c>
      <c r="O22" s="216">
        <f>IFERROR(VLOOKUP($T22,ES_MATRIX!$A$2:$L$10,11,0),"")</f>
        <v/>
      </c>
      <c r="P22" s="216">
        <f>IF(((SUM(E22:M22))-(SUMIFS(ES_MATRIX!$L$3:$L$10,ES_MATRIX!$A$3:$A$10,'Pg2'!$T22)))=0,"",(SUM(E22:M22))-(SUMIFS(ES_MATRIX!$L$3:$L$10,ES_MATRIX!$A$3:$A$10,'Pg2'!$T22)))</f>
        <v/>
      </c>
      <c r="Q22" s="216">
        <f>VLOOKUP($T22,ES_MATRIX!$A$25:$B$30,2,0)</f>
        <v/>
      </c>
      <c r="R22" s="253" t="n"/>
      <c r="T22" t="inlineStr">
        <is>
          <t>OO</t>
        </is>
      </c>
      <c r="U22" s="189" t="inlineStr">
        <is>
          <t>WEATHER/ATC</t>
        </is>
      </c>
    </row>
    <row r="23">
      <c r="A23" s="171" t="n"/>
      <c r="B23" s="271" t="n"/>
      <c r="C23" s="192" t="inlineStr">
        <is>
          <t>YX - Republic</t>
        </is>
      </c>
      <c r="D23" s="180">
        <f>SUMIFS(SCH_DEP_SQL_4!$E:$E,SCH_DEP_SQL_4!$A:$A,'Pg2'!$T23)</f>
        <v/>
      </c>
      <c r="E23" s="193">
        <f>IF((SUMIFS(CNXL_SQL_2!$F:$F,CNXL_SQL_2!$D:$D,'Pg2'!$U$22,CNXL_SQL_2!$A:$A,'Pg2'!$T23))=0,"",SUMIFS(CNXL_SQL_2!$F:$F,CNXL_SQL_2!$D:$D,'Pg2'!$U$22,CNXL_SQL_2!$A:$A,'Pg2'!$T23))</f>
        <v/>
      </c>
      <c r="F23" s="193">
        <f>IF((SUMIFS(CNXL_SQL_2!$F:$F,CNXL_SQL_2!$D:$D,'Pg2'!$U$23,CNXL_SQL_2!$A:$A,'Pg2'!$T23))=0,"",SUMIFS(CNXL_SQL_2!$F:$F,CNXL_SQL_2!$D:$D,'Pg2'!$U$23,CNXL_SQL_2!$A:$A,'Pg2'!$T23))</f>
        <v/>
      </c>
      <c r="G23" s="193">
        <f>IF((SUMIFS(CNXL_SQL_2!$F:$F,CNXL_SQL_2!$D:$D,'Pg2'!$U$24,CNXL_SQL_2!$A:$A,'Pg2'!$T23))=0,"",SUMIFS(CNXL_SQL_2!$F:$F,CNXL_SQL_2!$D:$D,'Pg2'!$U$24,CNXL_SQL_2!$A:$A,'Pg2'!$T23))</f>
        <v/>
      </c>
      <c r="H23" s="193">
        <f>IF((SUMIFS(CNXL_SQL_2!$F:$F,CNXL_SQL_2!$D:$D,'Pg2'!$U$25,CNXL_SQL_2!$A:$A,'Pg2'!$T23))=0,"",SUMIFS(CNXL_SQL_2!$F:$F,CNXL_SQL_2!$D:$D,'Pg2'!$U$25,CNXL_SQL_2!$A:$A,'Pg2'!$T23))</f>
        <v/>
      </c>
      <c r="I23" s="193">
        <f>IF((SUMIFS(CNXL_SQL_2!$F:$F,CNXL_SQL_2!$D:$D,'Pg2'!$U$26,CNXL_SQL_2!$A:$A,'Pg2'!$T23))=0,"",SUMIFS(CNXL_SQL_2!$F:$F,CNXL_SQL_2!$D:$D,'Pg2'!$U$26,CNXL_SQL_2!$A:$A,'Pg2'!$T23))</f>
        <v/>
      </c>
      <c r="J23" s="193">
        <f>IF((SUMIFS(CNXL_SQL_2!$F:$F,CNXL_SQL_2!$D:$D,'Pg2'!$U$27,CNXL_SQL_2!$A:$A,'Pg2'!$T23))=0,"",SUMIFS(CNXL_SQL_2!$F:$F,CNXL_SQL_2!$D:$D,'Pg2'!$U$27,CNXL_SQL_2!$A:$A,'Pg2'!$T23))</f>
        <v/>
      </c>
      <c r="K23" s="193">
        <f>IF((SUMIFS(CNXL_SQL_2!$F:$F,CNXL_SQL_2!$D:$D,'Pg2'!$U$28,CNXL_SQL_2!$A:$A,'Pg2'!$T23))=0,"",SUMIFS(CNXL_SQL_2!$F:$F,CNXL_SQL_2!$D:$D,'Pg2'!$U$28,CNXL_SQL_2!$A:$A,'Pg2'!$T23))</f>
        <v/>
      </c>
      <c r="L23" s="193">
        <f>IF((SUMIFS(CNXL_SQL_2!$F:$F,CNXL_SQL_2!$D:$D,'Pg2'!$U$29,CNXL_SQL_2!$A:$A,'Pg2'!$T23))=0,"",SUMIFS(CNXL_SQL_2!$F:$F,CNXL_SQL_2!$D:$D,'Pg2'!$U$29,CNXL_SQL_2!$A:$A,'Pg2'!$T23))</f>
        <v/>
      </c>
      <c r="M23" s="233" t="n"/>
      <c r="N23" s="261">
        <f>IF((SUM(E23:M23))=0,"",SUM(E23:M23))</f>
        <v/>
      </c>
      <c r="O23" s="261">
        <f>IFERROR(VLOOKUP($T23,ES_MATRIX!$A$2:$L$10,11,0),"")</f>
        <v/>
      </c>
      <c r="P23" s="261">
        <f>IF(((SUM(E23:M23))-(SUMIFS(ES_MATRIX!$L$3:$L$10,ES_MATRIX!$A$3:$A$10,'Pg2'!$T23)))=0,"",(SUM(E23:M23))-(SUMIFS(ES_MATRIX!$L$3:$L$10,ES_MATRIX!$A$3:$A$10,'Pg2'!$T23)))</f>
        <v/>
      </c>
      <c r="Q23" s="261">
        <f>VLOOKUP($T23,ES_MATRIX!$A$25:$B$30,2,0)</f>
        <v/>
      </c>
      <c r="R23" s="253" t="n"/>
      <c r="T23" t="inlineStr">
        <is>
          <t>YX</t>
        </is>
      </c>
      <c r="U23" s="189" t="inlineStr">
        <is>
          <t>TECHNICAL OPERATIONS-AIRCRAFT</t>
        </is>
      </c>
    </row>
    <row r="24">
      <c r="A24" s="171" t="n"/>
      <c r="B24" s="271" t="n"/>
      <c r="C24" s="191" t="inlineStr">
        <is>
          <t>G7 - Go Jet</t>
        </is>
      </c>
      <c r="D24" s="176">
        <f>SUMIFS(SCH_DEP_SQL_4!$E:$E,SCH_DEP_SQL_4!$A:$A,'Pg2'!$T24)</f>
        <v/>
      </c>
      <c r="E24" s="177">
        <f>IF((SUMIFS(CNXL_SQL_2!$F:$F,CNXL_SQL_2!$D:$D,'Pg2'!$U$22,CNXL_SQL_2!$A:$A,'Pg2'!$T24))=0,"",SUMIFS(CNXL_SQL_2!$F:$F,CNXL_SQL_2!$D:$D,'Pg2'!$U$22,CNXL_SQL_2!$A:$A,'Pg2'!$T24))</f>
        <v/>
      </c>
      <c r="F24" s="177">
        <f>IF((SUMIFS(CNXL_SQL_2!$F:$F,CNXL_SQL_2!$D:$D,'Pg2'!$U$23,CNXL_SQL_2!$A:$A,'Pg2'!$T24))=0,"",SUMIFS(CNXL_SQL_2!$F:$F,CNXL_SQL_2!$D:$D,'Pg2'!$U$23,CNXL_SQL_2!$A:$A,'Pg2'!$T24))</f>
        <v/>
      </c>
      <c r="G24" s="177">
        <f>IF((SUMIFS(CNXL_SQL_2!$F:$F,CNXL_SQL_2!$D:$D,'Pg2'!$U$24,CNXL_SQL_2!$A:$A,'Pg2'!$T24))=0,"",SUMIFS(CNXL_SQL_2!$F:$F,CNXL_SQL_2!$D:$D,'Pg2'!$U$24,CNXL_SQL_2!$A:$A,'Pg2'!$T24))</f>
        <v/>
      </c>
      <c r="H24" s="177">
        <f>IF((SUMIFS(CNXL_SQL_2!$F:$F,CNXL_SQL_2!$D:$D,'Pg2'!$U$25,CNXL_SQL_2!$A:$A,'Pg2'!$T24))=0,"",SUMIFS(CNXL_SQL_2!$F:$F,CNXL_SQL_2!$D:$D,'Pg2'!$U$25,CNXL_SQL_2!$A:$A,'Pg2'!$T24))</f>
        <v/>
      </c>
      <c r="I24" s="177">
        <f>IF((SUMIFS(CNXL_SQL_2!$F:$F,CNXL_SQL_2!$D:$D,'Pg2'!$U$26,CNXL_SQL_2!$A:$A,'Pg2'!$T24))=0,"",SUMIFS(CNXL_SQL_2!$F:$F,CNXL_SQL_2!$D:$D,'Pg2'!$U$26,CNXL_SQL_2!$A:$A,'Pg2'!$T24))</f>
        <v/>
      </c>
      <c r="J24" s="177">
        <f>IF((SUMIFS(CNXL_SQL_2!$F:$F,CNXL_SQL_2!$D:$D,'Pg2'!$U$27,CNXL_SQL_2!$A:$A,'Pg2'!$T24))=0,"",SUMIFS(CNXL_SQL_2!$F:$F,CNXL_SQL_2!$D:$D,'Pg2'!$U$27,CNXL_SQL_2!$A:$A,'Pg2'!$T24))</f>
        <v/>
      </c>
      <c r="K24" s="177">
        <f>IF((SUMIFS(CNXL_SQL_2!$F:$F,CNXL_SQL_2!$D:$D,'Pg2'!$U$28,CNXL_SQL_2!$A:$A,'Pg2'!$T24))=0,"",SUMIFS(CNXL_SQL_2!$F:$F,CNXL_SQL_2!$D:$D,'Pg2'!$U$28,CNXL_SQL_2!$A:$A,'Pg2'!$T24))</f>
        <v/>
      </c>
      <c r="L24" s="177">
        <f>IF((SUMIFS(CNXL_SQL_2!$F:$F,CNXL_SQL_2!$D:$D,'Pg2'!$U$29,CNXL_SQL_2!$A:$A,'Pg2'!$T24))=0,"",SUMIFS(CNXL_SQL_2!$F:$F,CNXL_SQL_2!$D:$D,'Pg2'!$U$29,CNXL_SQL_2!$A:$A,'Pg2'!$T24))</f>
        <v/>
      </c>
      <c r="M24" s="182" t="n"/>
      <c r="N24" s="216">
        <f>IF((SUM(E24:M24))=0,"",SUM(E24:M24))</f>
        <v/>
      </c>
      <c r="O24" s="216">
        <f>IFERROR(VLOOKUP($T24,ES_MATRIX!$A$2:$L$10,11,0),"")</f>
        <v/>
      </c>
      <c r="P24" s="216">
        <f>IF(((SUM(E24:M24))-(SUMIFS(ES_MATRIX!$L$3:$L$10,ES_MATRIX!$A$3:$A$10,'Pg2'!$T24)))=0,"",(SUM(E24:M24))-(SUMIFS(ES_MATRIX!$L$3:$L$10,ES_MATRIX!$A$3:$A$10,'Pg2'!$T24)))</f>
        <v/>
      </c>
      <c r="Q24" s="216">
        <f>VLOOKUP($T24,ES_MATRIX!$A$25:$B$30,2,0)</f>
        <v/>
      </c>
      <c r="R24" s="253" t="n"/>
      <c r="T24" t="inlineStr">
        <is>
          <t>G7</t>
        </is>
      </c>
      <c r="U24" s="189" t="inlineStr">
        <is>
          <t>FLIGHT OPERATIONS</t>
        </is>
      </c>
    </row>
    <row r="25">
      <c r="A25" s="171" t="n"/>
      <c r="B25" s="258" t="n"/>
      <c r="C25" s="192" t="inlineStr">
        <is>
          <t>C5 - CommutAir</t>
        </is>
      </c>
      <c r="D25" s="180">
        <f>SUMIFS(SCH_DEP_SQL_4!$E:$E,SCH_DEP_SQL_4!$A:$A,'Pg2'!$T25)</f>
        <v/>
      </c>
      <c r="E25" s="193">
        <f>IF((SUMIFS(CNXL_SQL_2!$F:$F,CNXL_SQL_2!$D:$D,'Pg2'!$U$22,CNXL_SQL_2!$A:$A,'Pg2'!$T25))=0,"",SUMIFS(CNXL_SQL_2!$F:$F,CNXL_SQL_2!$D:$D,'Pg2'!$U$22,CNXL_SQL_2!$A:$A,'Pg2'!$T25))</f>
        <v/>
      </c>
      <c r="F25" s="193">
        <f>IF((SUMIFS(CNXL_SQL_2!$F:$F,CNXL_SQL_2!$D:$D,'Pg2'!$U$23,CNXL_SQL_2!$A:$A,'Pg2'!$T25))=0,"",SUMIFS(CNXL_SQL_2!$F:$F,CNXL_SQL_2!$D:$D,'Pg2'!$U$23,CNXL_SQL_2!$A:$A,'Pg2'!$T25))</f>
        <v/>
      </c>
      <c r="G25" s="193">
        <f>IF((SUMIFS(CNXL_SQL_2!$F:$F,CNXL_SQL_2!$D:$D,'Pg2'!$U$24,CNXL_SQL_2!$A:$A,'Pg2'!$T25))=0,"",SUMIFS(CNXL_SQL_2!$F:$F,CNXL_SQL_2!$D:$D,'Pg2'!$U$24,CNXL_SQL_2!$A:$A,'Pg2'!$T25))</f>
        <v/>
      </c>
      <c r="H25" s="193">
        <f>IF((SUMIFS(CNXL_SQL_2!$F:$F,CNXL_SQL_2!$D:$D,'Pg2'!$U$25,CNXL_SQL_2!$A:$A,'Pg2'!$T25))=0,"",SUMIFS(CNXL_SQL_2!$F:$F,CNXL_SQL_2!$D:$D,'Pg2'!$U$25,CNXL_SQL_2!$A:$A,'Pg2'!$T25))</f>
        <v/>
      </c>
      <c r="I25" s="193">
        <f>IF((SUMIFS(CNXL_SQL_2!$F:$F,CNXL_SQL_2!$D:$D,'Pg2'!$U$26,CNXL_SQL_2!$A:$A,'Pg2'!$T25))=0,"",SUMIFS(CNXL_SQL_2!$F:$F,CNXL_SQL_2!$D:$D,'Pg2'!$U$26,CNXL_SQL_2!$A:$A,'Pg2'!$T25))</f>
        <v/>
      </c>
      <c r="J25" s="193">
        <f>IF((SUMIFS(CNXL_SQL_2!$F:$F,CNXL_SQL_2!$D:$D,'Pg2'!$U$27,CNXL_SQL_2!$A:$A,'Pg2'!$T25))=0,"",SUMIFS(CNXL_SQL_2!$F:$F,CNXL_SQL_2!$D:$D,'Pg2'!$U$27,CNXL_SQL_2!$A:$A,'Pg2'!$T25))</f>
        <v/>
      </c>
      <c r="K25" s="193">
        <f>IF((SUMIFS(CNXL_SQL_2!$F:$F,CNXL_SQL_2!$D:$D,'Pg2'!$U$28,CNXL_SQL_2!$A:$A,'Pg2'!$T25))=0,"",SUMIFS(CNXL_SQL_2!$F:$F,CNXL_SQL_2!$D:$D,'Pg2'!$U$28,CNXL_SQL_2!$A:$A,'Pg2'!$T25))</f>
        <v/>
      </c>
      <c r="L25" s="193">
        <f>IF((SUMIFS(CNXL_SQL_2!$F:$F,CNXL_SQL_2!$D:$D,'Pg2'!$U$29,CNXL_SQL_2!$A:$A,'Pg2'!$T25))=0,"",SUMIFS(CNXL_SQL_2!$F:$F,CNXL_SQL_2!$D:$D,'Pg2'!$U$29,CNXL_SQL_2!$A:$A,'Pg2'!$T25))</f>
        <v/>
      </c>
      <c r="M25" s="233" t="n"/>
      <c r="N25" s="261">
        <f>IF((SUM(E25:M25))=0,"",SUM(E25:M25))</f>
        <v/>
      </c>
      <c r="O25" s="261">
        <f>IFERROR(VLOOKUP($T25,ES_MATRIX!$A$2:$L$10,11,0),"")</f>
        <v/>
      </c>
      <c r="P25" s="261">
        <f>IF(((SUM(E25:M25))-(SUMIFS(ES_MATRIX!$L$3:$L$10,ES_MATRIX!$A$3:$A$10,'Pg2'!$T25)))=0,"",(SUM(E25:M25))-(SUMIFS(ES_MATRIX!$L$3:$L$10,ES_MATRIX!$A$3:$A$10,'Pg2'!$T25)))</f>
        <v/>
      </c>
      <c r="Q25" s="261">
        <f>VLOOKUP($T25,ES_MATRIX!$A$25:$B$30,2,0)</f>
        <v/>
      </c>
      <c r="R25" s="253" t="n"/>
      <c r="T25" t="inlineStr">
        <is>
          <t>C5</t>
        </is>
      </c>
      <c r="U25" s="189" t="inlineStr">
        <is>
          <t>INFLIGHT SERVICES</t>
        </is>
      </c>
    </row>
    <row r="26">
      <c r="A26" s="171" t="n"/>
      <c r="B26" s="271" t="n"/>
      <c r="C26" s="191" t="inlineStr">
        <is>
          <t>YV - Mesa</t>
        </is>
      </c>
      <c r="D26" s="176">
        <f>SUMIFS(SCH_DEP_SQL_4!$E:$E,SCH_DEP_SQL_4!$A:$A,'Pg2'!$T26)</f>
        <v/>
      </c>
      <c r="E26" s="177">
        <f>IF((SUMIFS(CNXL_SQL_2!$F:$F,CNXL_SQL_2!$D:$D,'Pg2'!$U$22,CNXL_SQL_2!$A:$A,'Pg2'!$T26))=0,"",SUMIFS(CNXL_SQL_2!$F:$F,CNXL_SQL_2!$D:$D,'Pg2'!$U$22,CNXL_SQL_2!$A:$A,'Pg2'!$T26))</f>
        <v/>
      </c>
      <c r="F26" s="177">
        <f>IF((SUMIFS(CNXL_SQL_2!$F:$F,CNXL_SQL_2!$D:$D,'Pg2'!$U$23,CNXL_SQL_2!$A:$A,'Pg2'!$T26))=0,"",SUMIFS(CNXL_SQL_2!$F:$F,CNXL_SQL_2!$D:$D,'Pg2'!$U$23,CNXL_SQL_2!$A:$A,'Pg2'!$T26))</f>
        <v/>
      </c>
      <c r="G26" s="177">
        <f>IF((SUMIFS(CNXL_SQL_2!$F:$F,CNXL_SQL_2!$D:$D,'Pg2'!$U$24,CNXL_SQL_2!$A:$A,'Pg2'!$T26))=0,"",SUMIFS(CNXL_SQL_2!$F:$F,CNXL_SQL_2!$D:$D,'Pg2'!$U$24,CNXL_SQL_2!$A:$A,'Pg2'!$T26))</f>
        <v/>
      </c>
      <c r="H26" s="177">
        <f>IF((SUMIFS(CNXL_SQL_2!$F:$F,CNXL_SQL_2!$D:$D,'Pg2'!$U$25,CNXL_SQL_2!$A:$A,'Pg2'!$T26))=0,"",SUMIFS(CNXL_SQL_2!$F:$F,CNXL_SQL_2!$D:$D,'Pg2'!$U$25,CNXL_SQL_2!$A:$A,'Pg2'!$T26))</f>
        <v/>
      </c>
      <c r="I26" s="177">
        <f>IF((SUMIFS(CNXL_SQL_2!$F:$F,CNXL_SQL_2!$D:$D,'Pg2'!$U$26,CNXL_SQL_2!$A:$A,'Pg2'!$T26))=0,"",SUMIFS(CNXL_SQL_2!$F:$F,CNXL_SQL_2!$D:$D,'Pg2'!$U$26,CNXL_SQL_2!$A:$A,'Pg2'!$T26))</f>
        <v/>
      </c>
      <c r="J26" s="177">
        <f>IF((SUMIFS(CNXL_SQL_2!$F:$F,CNXL_SQL_2!$D:$D,'Pg2'!$U$27,CNXL_SQL_2!$A:$A,'Pg2'!$T26))=0,"",SUMIFS(CNXL_SQL_2!$F:$F,CNXL_SQL_2!$D:$D,'Pg2'!$U$27,CNXL_SQL_2!$A:$A,'Pg2'!$T26))</f>
        <v/>
      </c>
      <c r="K26" s="177">
        <f>IF((SUMIFS(CNXL_SQL_2!$F:$F,CNXL_SQL_2!$D:$D,'Pg2'!$U$28,CNXL_SQL_2!$A:$A,'Pg2'!$T26))=0,"",SUMIFS(CNXL_SQL_2!$F:$F,CNXL_SQL_2!$D:$D,'Pg2'!$U$28,CNXL_SQL_2!$A:$A,'Pg2'!$T26))</f>
        <v/>
      </c>
      <c r="L26" s="177">
        <f>IF((SUMIFS(CNXL_SQL_2!$F:$F,CNXL_SQL_2!$D:$D,'Pg2'!$U$29,CNXL_SQL_2!$A:$A,'Pg2'!$T26))=0,"",SUMIFS(CNXL_SQL_2!$F:$F,CNXL_SQL_2!$D:$D,'Pg2'!$U$29,CNXL_SQL_2!$A:$A,'Pg2'!$T26))</f>
        <v/>
      </c>
      <c r="M26" s="182" t="n"/>
      <c r="N26" s="216">
        <f>IF((SUM(E26:M26))=0,"",SUM(E26:M26))</f>
        <v/>
      </c>
      <c r="O26" s="216">
        <f>IFERROR(VLOOKUP($T26,ES_MATRIX!$A$2:$L$10,11,0),"")</f>
        <v/>
      </c>
      <c r="P26" s="216">
        <f>IF(((SUM(E26:M26))-(SUMIFS(ES_MATRIX!$L$3:$L$10,ES_MATRIX!$A$3:$A$10,'Pg2'!$T26)))=0,"",(SUM(E26:M26))-(SUMIFS(ES_MATRIX!$L$3:$L$10,ES_MATRIX!$A$3:$A$10,'Pg2'!$T26)))</f>
        <v/>
      </c>
      <c r="Q26" s="216">
        <f>VLOOKUP($T26,ES_MATRIX!$A$25:$B$30,2,0)</f>
        <v/>
      </c>
      <c r="R26" s="253" t="n"/>
      <c r="T26" t="inlineStr">
        <is>
          <t>YV</t>
        </is>
      </c>
      <c r="U26" s="189" t="inlineStr">
        <is>
          <t>AIRPORT OPERATIONS</t>
        </is>
      </c>
    </row>
    <row r="27">
      <c r="A27" s="171" t="n"/>
      <c r="B27" s="271" t="n"/>
      <c r="C27" s="192" t="inlineStr">
        <is>
          <t>ZW - Air Wisconsin</t>
        </is>
      </c>
      <c r="D27" s="180">
        <f>SUMIFS(SCH_DEP_SQL_4!$E:$E,SCH_DEP_SQL_4!$A:$A,'Pg2'!$T27)</f>
        <v/>
      </c>
      <c r="E27" s="193">
        <f>IF((SUMIFS(CNXL_SQL_2!$F:$F,CNXL_SQL_2!$D:$D,'Pg2'!$U$22,CNXL_SQL_2!$A:$A,'Pg2'!$T27))=0,"",SUMIFS(CNXL_SQL_2!$F:$F,CNXL_SQL_2!$D:$D,'Pg2'!$U$22,CNXL_SQL_2!$A:$A,'Pg2'!$T27))</f>
        <v/>
      </c>
      <c r="F27" s="193">
        <f>IF((SUMIFS(CNXL_SQL_2!$F:$F,CNXL_SQL_2!$D:$D,'Pg2'!$U$23,CNXL_SQL_2!$A:$A,'Pg2'!$T27))=0,"",SUMIFS(CNXL_SQL_2!$F:$F,CNXL_SQL_2!$D:$D,'Pg2'!$U$23,CNXL_SQL_2!$A:$A,'Pg2'!$T27))</f>
        <v/>
      </c>
      <c r="G27" s="193">
        <f>IF((SUMIFS(CNXL_SQL_2!$F:$F,CNXL_SQL_2!$D:$D,'Pg2'!$U$24,CNXL_SQL_2!$A:$A,'Pg2'!$T27))=0,"",SUMIFS(CNXL_SQL_2!$F:$F,CNXL_SQL_2!$D:$D,'Pg2'!$U$24,CNXL_SQL_2!$A:$A,'Pg2'!$T27))</f>
        <v/>
      </c>
      <c r="H27" s="193">
        <f>IF((SUMIFS(CNXL_SQL_2!$F:$F,CNXL_SQL_2!$D:$D,'Pg2'!$U$25,CNXL_SQL_2!$A:$A,'Pg2'!$T27))=0,"",SUMIFS(CNXL_SQL_2!$F:$F,CNXL_SQL_2!$D:$D,'Pg2'!$U$25,CNXL_SQL_2!$A:$A,'Pg2'!$T27))</f>
        <v/>
      </c>
      <c r="I27" s="193">
        <f>IF((SUMIFS(CNXL_SQL_2!$F:$F,CNXL_SQL_2!$D:$D,'Pg2'!$U$26,CNXL_SQL_2!$A:$A,'Pg2'!$T27))=0,"",SUMIFS(CNXL_SQL_2!$F:$F,CNXL_SQL_2!$D:$D,'Pg2'!$U$26,CNXL_SQL_2!$A:$A,'Pg2'!$T27))</f>
        <v/>
      </c>
      <c r="J27" s="193">
        <f>IF((SUMIFS(CNXL_SQL_2!$F:$F,CNXL_SQL_2!$D:$D,'Pg2'!$U$27,CNXL_SQL_2!$A:$A,'Pg2'!$T27))=0,"",SUMIFS(CNXL_SQL_2!$F:$F,CNXL_SQL_2!$D:$D,'Pg2'!$U$27,CNXL_SQL_2!$A:$A,'Pg2'!$T27))</f>
        <v/>
      </c>
      <c r="K27" s="193">
        <f>IF((SUMIFS(CNXL_SQL_2!$F:$F,CNXL_SQL_2!$D:$D,'Pg2'!$U$28,CNXL_SQL_2!$A:$A,'Pg2'!$T27))=0,"",SUMIFS(CNXL_SQL_2!$F:$F,CNXL_SQL_2!$D:$D,'Pg2'!$U$28,CNXL_SQL_2!$A:$A,'Pg2'!$T27))</f>
        <v/>
      </c>
      <c r="L27" s="193">
        <f>IF((SUMIFS(CNXL_SQL_2!$F:$F,CNXL_SQL_2!$D:$D,'Pg2'!$U$29,CNXL_SQL_2!$A:$A,'Pg2'!$T27))=0,"",SUMIFS(CNXL_SQL_2!$F:$F,CNXL_SQL_2!$D:$D,'Pg2'!$U$29,CNXL_SQL_2!$A:$A,'Pg2'!$T27))</f>
        <v/>
      </c>
      <c r="M27" s="233" t="n"/>
      <c r="N27" s="261">
        <f>IF((SUM(E27:M27))=0,"",SUM(E27:M27))</f>
        <v/>
      </c>
      <c r="O27" s="261">
        <f>IFERROR(VLOOKUP($T27,ES_MATRIX!$A$2:$L$10,11,0),"")</f>
        <v/>
      </c>
      <c r="P27" s="261">
        <f>IF(((SUM(E27:M27))-(SUMIFS(ES_MATRIX!$L$3:$L$10,ES_MATRIX!$A$3:$A$10,'Pg2'!$T27)))=0,"",(SUM(E27:M27))-(SUMIFS(ES_MATRIX!$L$3:$L$10,ES_MATRIX!$A$3:$A$10,'Pg2'!$T27)))</f>
        <v/>
      </c>
      <c r="Q27" s="261">
        <f>VLOOKUP($T27,ES_MATRIX!$A$25:$B$30,2,0)</f>
        <v/>
      </c>
      <c r="R27" s="253" t="n"/>
      <c r="T27" t="inlineStr">
        <is>
          <t>ZW</t>
        </is>
      </c>
      <c r="U27" s="189" t="inlineStr">
        <is>
          <t>NETWORK OPERATIONS CENTER</t>
        </is>
      </c>
    </row>
    <row r="28">
      <c r="A28" s="171" t="n"/>
      <c r="B28" s="272" t="n"/>
      <c r="C28" s="183" t="inlineStr">
        <is>
          <t>Total:</t>
        </is>
      </c>
      <c r="D28" s="184">
        <f>SUM(D22:D27)</f>
        <v/>
      </c>
      <c r="E28" s="185">
        <f>IF(SUM(E22:E27)=0,"",SUM(E22:E27))</f>
        <v/>
      </c>
      <c r="F28" s="185">
        <f>IF(SUM(F22:F27)=0,"",SUM(F22:F27))</f>
        <v/>
      </c>
      <c r="G28" s="185">
        <f>IF(SUM(G22:G27)=0,"",SUM(G22:G27))</f>
        <v/>
      </c>
      <c r="H28" s="185">
        <f>IF(SUM(H22:H27)=0,"",SUM(H22:H27))</f>
        <v/>
      </c>
      <c r="I28" s="185">
        <f>IF(SUM(I22:I27)=0,"",SUM(I22:I27))</f>
        <v/>
      </c>
      <c r="J28" s="185">
        <f>IF(SUM(J22:J27)=0,"",SUM(J22:J27))</f>
        <v/>
      </c>
      <c r="K28" s="185">
        <f>IF(SUM(K22:K27)=0,"",SUM(K22:K27))</f>
        <v/>
      </c>
      <c r="L28" s="185">
        <f>IF(SUM(L22:L27)=0,"",SUM(L22:L27))</f>
        <v/>
      </c>
      <c r="M28" s="185">
        <f>IF(SUM(M22:M27)=0,"",SUM(M22:M27))</f>
        <v/>
      </c>
      <c r="N28" s="263">
        <f>IF(SUM(N22:N27)=0,"",SUM(N22:N27))</f>
        <v/>
      </c>
      <c r="O28" s="263">
        <f>IF(SUM(O22:O27)=0,"",SUM(O22:O27))</f>
        <v/>
      </c>
      <c r="P28" s="263">
        <f>IF(SUM(P22:P27)=0,"",SUM(P22:P27))</f>
        <v/>
      </c>
      <c r="Q28" s="263">
        <f>IF(SUM(Q22:Q27)=0,"",SUM(Q22:Q27))</f>
        <v/>
      </c>
      <c r="R28" s="253" t="n"/>
      <c r="U28" s="189" t="inlineStr">
        <is>
          <t>TECHNOLOGY</t>
        </is>
      </c>
    </row>
    <row r="29">
      <c r="A29" s="171" t="n"/>
      <c r="B29" s="259" t="n"/>
      <c r="C29" s="273" t="n"/>
      <c r="D29" s="273" t="n"/>
      <c r="E29" s="255" t="n"/>
      <c r="F29" s="255" t="n"/>
      <c r="G29" s="255" t="n"/>
      <c r="H29" s="255" t="n"/>
      <c r="I29" s="273" t="n"/>
      <c r="J29" s="273" t="n"/>
      <c r="K29" s="273" t="n"/>
      <c r="L29" s="255" t="n"/>
      <c r="M29" s="255" t="n"/>
      <c r="N29" s="255" t="n"/>
      <c r="O29" s="255" t="n"/>
      <c r="P29" s="273" t="n"/>
      <c r="Q29" s="273" t="n"/>
      <c r="R29" s="256" t="n"/>
      <c r="U29" s="189" t="inlineStr">
        <is>
          <t>CATERING OPERATIONS</t>
        </is>
      </c>
    </row>
    <row r="30">
      <c r="A30" s="171" t="n"/>
      <c r="B30" s="171" t="n"/>
      <c r="C30" s="171" t="n"/>
      <c r="D30" s="171" t="n"/>
      <c r="E30" s="171" t="n"/>
      <c r="F30" s="171" t="n"/>
      <c r="G30" s="171" t="n"/>
      <c r="H30" s="171" t="n"/>
      <c r="I30" s="171" t="n"/>
      <c r="J30" s="171" t="n"/>
      <c r="K30" s="171" t="n"/>
      <c r="L30" s="171" t="n"/>
      <c r="M30" s="171" t="n"/>
      <c r="N30" s="171" t="n"/>
      <c r="O30" s="171" t="n"/>
      <c r="P30" s="171" t="n"/>
      <c r="Q30" s="171" t="n"/>
      <c r="R30" s="171" t="n"/>
    </row>
    <row r="31">
      <c r="A31" s="171" t="n"/>
      <c r="B31" s="171" t="n"/>
      <c r="C31" s="171" t="n"/>
      <c r="D31" s="171" t="n"/>
      <c r="E31" s="171" t="n"/>
      <c r="F31" s="171" t="n"/>
      <c r="G31" s="171" t="n"/>
      <c r="H31" s="171" t="n"/>
      <c r="I31" s="171" t="n"/>
      <c r="J31" s="171" t="n"/>
      <c r="K31" s="171" t="n"/>
      <c r="L31" s="171" t="n"/>
      <c r="M31" s="171" t="n"/>
      <c r="N31" s="171" t="n"/>
      <c r="O31" s="171" t="n"/>
      <c r="P31" s="171" t="n"/>
      <c r="Q31" s="171" t="n"/>
      <c r="R31" s="171" t="n"/>
    </row>
    <row r="32" ht="21" customHeight="1" s="286">
      <c r="A32" s="171" t="n"/>
      <c r="B32" s="335" t="inlineStr">
        <is>
          <t>Residual Cancel Detail</t>
        </is>
      </c>
    </row>
    <row r="33">
      <c r="A33" s="171" t="n"/>
      <c r="B33" s="173" t="n"/>
      <c r="C33" s="174" t="n"/>
      <c r="D33" s="174" t="n"/>
      <c r="E33" s="174" t="n"/>
      <c r="F33" s="174" t="n"/>
      <c r="G33" s="174" t="n"/>
      <c r="H33" s="174" t="n"/>
      <c r="I33" s="174" t="n"/>
      <c r="J33" s="174" t="n"/>
      <c r="K33" s="174" t="n"/>
      <c r="L33" s="174" t="n"/>
      <c r="M33" s="174" t="n"/>
      <c r="N33" s="174" t="n"/>
      <c r="O33" s="174" t="n"/>
      <c r="P33" s="174" t="n"/>
      <c r="Q33" s="171" t="n"/>
      <c r="R33" s="253" t="n"/>
    </row>
    <row r="34" ht="58" customHeight="1" s="286">
      <c r="A34" s="171" t="n"/>
      <c r="B34" s="147" t="n"/>
      <c r="C34" s="175" t="n"/>
      <c r="D34" s="260" t="inlineStr">
        <is>
          <t>Scheduled Departures</t>
        </is>
      </c>
      <c r="E34" s="214" t="inlineStr">
        <is>
          <t>Weather &amp; ATC</t>
        </is>
      </c>
      <c r="F34" s="214" t="inlineStr">
        <is>
          <t>Technical Operations</t>
        </is>
      </c>
      <c r="G34" s="214" t="inlineStr">
        <is>
          <t>Flight Operations</t>
        </is>
      </c>
      <c r="H34" s="214" t="inlineStr">
        <is>
          <t>Inflight Services</t>
        </is>
      </c>
      <c r="I34" s="214" t="inlineStr">
        <is>
          <t>Airport Operation</t>
        </is>
      </c>
      <c r="J34" s="214" t="inlineStr">
        <is>
          <t>Network Operation</t>
        </is>
      </c>
      <c r="K34" s="214" t="inlineStr">
        <is>
          <t>IT</t>
        </is>
      </c>
      <c r="L34" s="214" t="inlineStr">
        <is>
          <t>Catering Operations</t>
        </is>
      </c>
      <c r="M34" s="214" t="inlineStr">
        <is>
          <t>Other</t>
        </is>
      </c>
      <c r="N34" s="212" t="inlineStr">
        <is>
          <t>Total Cancels</t>
        </is>
      </c>
      <c r="O34" s="212" t="inlineStr">
        <is>
          <t>ES Covered for this partner</t>
        </is>
      </c>
      <c r="P34" s="212" t="inlineStr">
        <is>
          <t>Net Cancel</t>
        </is>
      </c>
      <c r="Q34" s="212" t="inlineStr">
        <is>
          <t>ES covered by this partner</t>
        </is>
      </c>
      <c r="R34" s="253" t="n"/>
    </row>
    <row r="35">
      <c r="A35" s="171" t="n"/>
      <c r="B35" s="147" t="n"/>
      <c r="C35" s="191" t="inlineStr">
        <is>
          <t>OO - SkyWest</t>
        </is>
      </c>
      <c r="D35" s="176">
        <f>SUMIFS(SCH_DEP_SQL_4!$E:$E,SCH_DEP_SQL_4!$A:$A,'Pg2'!$T22)</f>
        <v/>
      </c>
      <c r="E35" s="190">
        <f>IF((SUMIFS(RES_CNXL_SQL_3!$F:$F,RES_CNXL_SQL_3!$D:$D,'Pg2'!$U$22,RES_CNXL_SQL_3!$A:$A,'Pg2'!$T22))=0,"",SUMIFS(RES_CNXL_SQL_3!$F:$F,RES_CNXL_SQL_3!$D:$D,'Pg2'!$U$22,RES_CNXL_SQL_3!$A:$A,'Pg2'!$T22))</f>
        <v/>
      </c>
      <c r="F35" s="190">
        <f>IF((SUMIFS(RES_CNXL_SQL_3!$F:$F,RES_CNXL_SQL_3!$D:$D,'Pg2'!$U$23,RES_CNXL_SQL_3!$A:$A,'Pg2'!$T22))=0,"",SUMIFS(RES_CNXL_SQL_3!$F:$F,RES_CNXL_SQL_3!$D:$D,'Pg2'!$U$23,RES_CNXL_SQL_3!$A:$A,'Pg2'!$T22))</f>
        <v/>
      </c>
      <c r="G35" s="190">
        <f>IF((SUMIFS(RES_CNXL_SQL_3!$F:$F,RES_CNXL_SQL_3!$D:$D,'Pg2'!$U$24,RES_CNXL_SQL_3!$A:$A,'Pg2'!$T22))=0,"",SUMIFS(RES_CNXL_SQL_3!$F:$F,RES_CNXL_SQL_3!$D:$D,'Pg2'!$U$24,RES_CNXL_SQL_3!$A:$A,'Pg2'!$T22))</f>
        <v/>
      </c>
      <c r="H35" s="190">
        <f>IF((SUMIFS(RES_CNXL_SQL_3!$F:$F,RES_CNXL_SQL_3!$D:$D,'Pg2'!$U$25,RES_CNXL_SQL_3!$A:$A,'Pg2'!$T22))=0,"",SUMIFS(RES_CNXL_SQL_3!$F:$F,RES_CNXL_SQL_3!$D:$D,'Pg2'!$U$25,RES_CNXL_SQL_3!$A:$A,'Pg2'!$T22))</f>
        <v/>
      </c>
      <c r="I35" s="190">
        <f>IF((SUMIFS(RES_CNXL_SQL_3!$F:$F,RES_CNXL_SQL_3!$D:$D,'Pg2'!$U$26,RES_CNXL_SQL_3!$A:$A,'Pg2'!$T22))=0,"",SUMIFS(RES_CNXL_SQL_3!$F:$F,RES_CNXL_SQL_3!$D:$D,'Pg2'!$U$26,RES_CNXL_SQL_3!$A:$A,'Pg2'!$T22))</f>
        <v/>
      </c>
      <c r="J35" s="190">
        <f>IF((SUMIFS(RES_CNXL_SQL_3!$F:$F,RES_CNXL_SQL_3!$D:$D,'Pg2'!$U$27,RES_CNXL_SQL_3!$A:$A,'Pg2'!$T22))=0,"",SUMIFS(RES_CNXL_SQL_3!$F:$F,RES_CNXL_SQL_3!$D:$D,'Pg2'!$U$27,RES_CNXL_SQL_3!$A:$A,'Pg2'!$T22))</f>
        <v/>
      </c>
      <c r="K35" s="190">
        <f>IF((SUMIFS(RES_CNXL_SQL_3!$F:$F,RES_CNXL_SQL_3!$D:$D,'Pg2'!$U$28,RES_CNXL_SQL_3!$A:$A,'Pg2'!$T22))=0,"",SUMIFS(RES_CNXL_SQL_3!$F:$F,RES_CNXL_SQL_3!$D:$D,'Pg2'!$U$28,RES_CNXL_SQL_3!$A:$A,'Pg2'!$T22))</f>
        <v/>
      </c>
      <c r="L35" s="190">
        <f>IF((SUMIFS(RES_CNXL_SQL_3!$F:$F,RES_CNXL_SQL_3!$D:$D,'Pg2'!$U$29,RES_CNXL_SQL_3!$A:$A,'Pg2'!$T22))=0,"",SUMIFS(RES_CNXL_SQL_3!$F:$F,RES_CNXL_SQL_3!$D:$D,'Pg2'!$U$29,RES_CNXL_SQL_3!$A:$A,'Pg2'!$T22))</f>
        <v/>
      </c>
      <c r="M35" s="190" t="n"/>
      <c r="N35" s="216">
        <f>IF(SUM(E35:M35)=0,"",SUM(E35:M35))</f>
        <v/>
      </c>
      <c r="O35" s="216">
        <f>IFERROR(VLOOKUP($T22,ES_MATRIX!$A$13:$L$21,11,0),"")</f>
        <v/>
      </c>
      <c r="P35" s="216">
        <f>IF(((SUM(E35:M35))-(SUMIFS(ES_MATRIX!$L$14:$L$21,ES_MATRIX!$A$14:$A$21,'Pg2'!$T22)))=0,"",(SUM(E35:M35))-(SUMIFS(ES_MATRIX!$L$14:$L$21,ES_MATRIX!$A$14:$A$21,'Pg2'!$T22)))</f>
        <v/>
      </c>
      <c r="Q35" s="216">
        <f>VLOOKUP($T22,ES_MATRIX!$E$25:$F$30,2,0)</f>
        <v/>
      </c>
      <c r="R35" s="253" t="n"/>
    </row>
    <row r="36">
      <c r="A36" s="171" t="n"/>
      <c r="B36" s="147" t="n"/>
      <c r="C36" s="192" t="inlineStr">
        <is>
          <t>YX - Republic</t>
        </is>
      </c>
      <c r="D36" s="180">
        <f>SUMIFS(SCH_DEP_SQL_4!$E:$E,SCH_DEP_SQL_4!$A:$A,'Pg2'!$T23)</f>
        <v/>
      </c>
      <c r="E36" s="193">
        <f>IF((SUMIFS(RES_CNXL_SQL_3!$F:$F,RES_CNXL_SQL_3!$D:$D,'Pg2'!$U$22,RES_CNXL_SQL_3!$A:$A,'Pg2'!$T23))=0,"",SUMIFS(RES_CNXL_SQL_3!$F:$F,RES_CNXL_SQL_3!$D:$D,'Pg2'!$U$22,RES_CNXL_SQL_3!$A:$A,'Pg2'!$T23))</f>
        <v/>
      </c>
      <c r="F36" s="193">
        <f>IF((SUMIFS(RES_CNXL_SQL_3!$F:$F,RES_CNXL_SQL_3!$D:$D,'Pg2'!$U$23,RES_CNXL_SQL_3!$A:$A,'Pg2'!$T23))=0,"",SUMIFS(RES_CNXL_SQL_3!$F:$F,RES_CNXL_SQL_3!$D:$D,'Pg2'!$U$23,RES_CNXL_SQL_3!$A:$A,'Pg2'!$T23))</f>
        <v/>
      </c>
      <c r="G36" s="193">
        <f>IF((SUMIFS(RES_CNXL_SQL_3!$F:$F,RES_CNXL_SQL_3!$D:$D,'Pg2'!$U$24,RES_CNXL_SQL_3!$A:$A,'Pg2'!$T23))=0,"",SUMIFS(RES_CNXL_SQL_3!$F:$F,RES_CNXL_SQL_3!$D:$D,'Pg2'!$U$24,RES_CNXL_SQL_3!$A:$A,'Pg2'!$T23))</f>
        <v/>
      </c>
      <c r="H36" s="193">
        <f>IF((SUMIFS(RES_CNXL_SQL_3!$F:$F,RES_CNXL_SQL_3!$D:$D,'Pg2'!$U$25,RES_CNXL_SQL_3!$A:$A,'Pg2'!$T23))=0,"",SUMIFS(RES_CNXL_SQL_3!$F:$F,RES_CNXL_SQL_3!$D:$D,'Pg2'!$U$25,RES_CNXL_SQL_3!$A:$A,'Pg2'!$T23))</f>
        <v/>
      </c>
      <c r="I36" s="193">
        <f>IF((SUMIFS(RES_CNXL_SQL_3!$F:$F,RES_CNXL_SQL_3!$D:$D,'Pg2'!$U$26,RES_CNXL_SQL_3!$A:$A,'Pg2'!$T23))=0,"",SUMIFS(RES_CNXL_SQL_3!$F:$F,RES_CNXL_SQL_3!$D:$D,'Pg2'!$U$26,RES_CNXL_SQL_3!$A:$A,'Pg2'!$T23))</f>
        <v/>
      </c>
      <c r="J36" s="193">
        <f>IF((SUMIFS(RES_CNXL_SQL_3!$F:$F,RES_CNXL_SQL_3!$D:$D,'Pg2'!$U$27,RES_CNXL_SQL_3!$A:$A,'Pg2'!$T23))=0,"",SUMIFS(RES_CNXL_SQL_3!$F:$F,RES_CNXL_SQL_3!$D:$D,'Pg2'!$U$27,RES_CNXL_SQL_3!$A:$A,'Pg2'!$T23))</f>
        <v/>
      </c>
      <c r="K36" s="193">
        <f>IF((SUMIFS(RES_CNXL_SQL_3!$F:$F,RES_CNXL_SQL_3!$D:$D,'Pg2'!$U$28,RES_CNXL_SQL_3!$A:$A,'Pg2'!$T23))=0,"",SUMIFS(RES_CNXL_SQL_3!$F:$F,RES_CNXL_SQL_3!$D:$D,'Pg2'!$U$28,RES_CNXL_SQL_3!$A:$A,'Pg2'!$T23))</f>
        <v/>
      </c>
      <c r="L36" s="193">
        <f>IF((SUMIFS(RES_CNXL_SQL_3!$F:$F,RES_CNXL_SQL_3!$D:$D,'Pg2'!$U$29,RES_CNXL_SQL_3!$A:$A,'Pg2'!$T23))=0,"",SUMIFS(RES_CNXL_SQL_3!$F:$F,RES_CNXL_SQL_3!$D:$D,'Pg2'!$U$29,RES_CNXL_SQL_3!$A:$A,'Pg2'!$T23))</f>
        <v/>
      </c>
      <c r="M36" s="193" t="inlineStr"/>
      <c r="N36" s="261">
        <f>IF(SUM(E36:M36)=0,"",SUM(E36:M36))</f>
        <v/>
      </c>
      <c r="O36" s="261">
        <f>IFERROR(VLOOKUP($T23,ES_MATRIX!$A$13:$L$21,11,0),"")</f>
        <v/>
      </c>
      <c r="P36" s="261">
        <f>IF(((SUM(E36:M36))-(SUMIFS(ES_MATRIX!$L$14:$L$21,ES_MATRIX!$A$14:$A$21,'Pg2'!$T23)))=0,"",(SUM(E36:M36))-(SUMIFS(ES_MATRIX!$L$14:$L$21,ES_MATRIX!$A$14:$A$21,'Pg2'!$T23)))</f>
        <v/>
      </c>
      <c r="Q36" s="261">
        <f>VLOOKUP($T23,ES_MATRIX!$E$25:$F$30,2,0)</f>
        <v/>
      </c>
      <c r="R36" s="253" t="n"/>
    </row>
    <row r="37">
      <c r="A37" s="171" t="n"/>
      <c r="B37" s="147" t="n"/>
      <c r="C37" s="191" t="inlineStr">
        <is>
          <t>G7 - Go Jet</t>
        </is>
      </c>
      <c r="D37" s="176">
        <f>SUMIFS(SCH_DEP_SQL_4!$E:$E,SCH_DEP_SQL_4!$A:$A,'Pg2'!$T24)</f>
        <v/>
      </c>
      <c r="E37" s="190">
        <f>IF((SUMIFS(RES_CNXL_SQL_3!$F:$F,RES_CNXL_SQL_3!$D:$D,'Pg2'!$U$22,RES_CNXL_SQL_3!$A:$A,'Pg2'!$T24))=0,"",SUMIFS(RES_CNXL_SQL_3!$F:$F,RES_CNXL_SQL_3!$D:$D,'Pg2'!$U$22,RES_CNXL_SQL_3!$A:$A,'Pg2'!$T24))</f>
        <v/>
      </c>
      <c r="F37" s="190">
        <f>IF((SUMIFS(RES_CNXL_SQL_3!$F:$F,RES_CNXL_SQL_3!$D:$D,'Pg2'!$U$23,RES_CNXL_SQL_3!$A:$A,'Pg2'!$T24))=0,"",SUMIFS(RES_CNXL_SQL_3!$F:$F,RES_CNXL_SQL_3!$D:$D,'Pg2'!$U$23,RES_CNXL_SQL_3!$A:$A,'Pg2'!$T24))</f>
        <v/>
      </c>
      <c r="G37" s="190">
        <f>IF((SUMIFS(RES_CNXL_SQL_3!$F:$F,RES_CNXL_SQL_3!$D:$D,'Pg2'!$U$24,RES_CNXL_SQL_3!$A:$A,'Pg2'!$T24))=0,"",SUMIFS(RES_CNXL_SQL_3!$F:$F,RES_CNXL_SQL_3!$D:$D,'Pg2'!$U$24,RES_CNXL_SQL_3!$A:$A,'Pg2'!$T24))</f>
        <v/>
      </c>
      <c r="H37" s="190">
        <f>IF((SUMIFS(RES_CNXL_SQL_3!$F:$F,RES_CNXL_SQL_3!$D:$D,'Pg2'!$U$25,RES_CNXL_SQL_3!$A:$A,'Pg2'!$T24))=0,"",SUMIFS(RES_CNXL_SQL_3!$F:$F,RES_CNXL_SQL_3!$D:$D,'Pg2'!$U$25,RES_CNXL_SQL_3!$A:$A,'Pg2'!$T24))</f>
        <v/>
      </c>
      <c r="I37" s="190">
        <f>IF((SUMIFS(RES_CNXL_SQL_3!$F:$F,RES_CNXL_SQL_3!$D:$D,'Pg2'!$U$26,RES_CNXL_SQL_3!$A:$A,'Pg2'!$T24))=0,"",SUMIFS(RES_CNXL_SQL_3!$F:$F,RES_CNXL_SQL_3!$D:$D,'Pg2'!$U$26,RES_CNXL_SQL_3!$A:$A,'Pg2'!$T24))</f>
        <v/>
      </c>
      <c r="J37" s="190">
        <f>IF((SUMIFS(RES_CNXL_SQL_3!$F:$F,RES_CNXL_SQL_3!$D:$D,'Pg2'!$U$27,RES_CNXL_SQL_3!$A:$A,'Pg2'!$T24))=0,"",SUMIFS(RES_CNXL_SQL_3!$F:$F,RES_CNXL_SQL_3!$D:$D,'Pg2'!$U$27,RES_CNXL_SQL_3!$A:$A,'Pg2'!$T24))</f>
        <v/>
      </c>
      <c r="K37" s="190">
        <f>IF((SUMIFS(RES_CNXL_SQL_3!$F:$F,RES_CNXL_SQL_3!$D:$D,'Pg2'!$U$28,RES_CNXL_SQL_3!$A:$A,'Pg2'!$T24))=0,"",SUMIFS(RES_CNXL_SQL_3!$F:$F,RES_CNXL_SQL_3!$D:$D,'Pg2'!$U$28,RES_CNXL_SQL_3!$A:$A,'Pg2'!$T24))</f>
        <v/>
      </c>
      <c r="L37" s="190">
        <f>IF((SUMIFS(RES_CNXL_SQL_3!$F:$F,RES_CNXL_SQL_3!$D:$D,'Pg2'!$U$29,RES_CNXL_SQL_3!$A:$A,'Pg2'!$T24))=0,"",SUMIFS(RES_CNXL_SQL_3!$F:$F,RES_CNXL_SQL_3!$D:$D,'Pg2'!$U$29,RES_CNXL_SQL_3!$A:$A,'Pg2'!$T24))</f>
        <v/>
      </c>
      <c r="M37" s="190" t="inlineStr"/>
      <c r="N37" s="216">
        <f>IF(SUM(E37:M37)=0,"",SUM(E37:M37))</f>
        <v/>
      </c>
      <c r="O37" s="216">
        <f>IFERROR(VLOOKUP($T24,ES_MATRIX!$A$13:$L$21,11,0),"")</f>
        <v/>
      </c>
      <c r="P37" s="216">
        <f>IF(((SUM(E37:M37))-(SUMIFS(ES_MATRIX!$L$14:$L$21,ES_MATRIX!$A$14:$A$21,'Pg2'!$T24)))=0,"",(SUM(E37:M37))-(SUMIFS(ES_MATRIX!$L$14:$L$21,ES_MATRIX!$A$14:$A$21,'Pg2'!$T24)))</f>
        <v/>
      </c>
      <c r="Q37" s="216">
        <f>VLOOKUP($T24,ES_MATRIX!$E$25:$F$30,2,0)</f>
        <v/>
      </c>
      <c r="R37" s="253" t="n"/>
    </row>
    <row r="38">
      <c r="A38" s="171" t="n"/>
      <c r="B38" s="147" t="n"/>
      <c r="C38" s="192" t="inlineStr">
        <is>
          <t>C5 - CommutAir</t>
        </is>
      </c>
      <c r="D38" s="180">
        <f>SUMIFS(SCH_DEP_SQL_4!$E:$E,SCH_DEP_SQL_4!$A:$A,'Pg2'!$T25)</f>
        <v/>
      </c>
      <c r="E38" s="193">
        <f>IF((SUMIFS(RES_CNXL_SQL_3!$F:$F,RES_CNXL_SQL_3!$D:$D,'Pg2'!$U$22,RES_CNXL_SQL_3!$A:$A,'Pg2'!$T25))=0,"",SUMIFS(RES_CNXL_SQL_3!$F:$F,RES_CNXL_SQL_3!$D:$D,'Pg2'!$U$22,RES_CNXL_SQL_3!$A:$A,'Pg2'!$T25))</f>
        <v/>
      </c>
      <c r="F38" s="193">
        <f>IF((SUMIFS(RES_CNXL_SQL_3!$F:$F,RES_CNXL_SQL_3!$D:$D,'Pg2'!$U$23,RES_CNXL_SQL_3!$A:$A,'Pg2'!$T25))=0,"",SUMIFS(RES_CNXL_SQL_3!$F:$F,RES_CNXL_SQL_3!$D:$D,'Pg2'!$U$23,RES_CNXL_SQL_3!$A:$A,'Pg2'!$T25))</f>
        <v/>
      </c>
      <c r="G38" s="193">
        <f>IF((SUMIFS(RES_CNXL_SQL_3!$F:$F,RES_CNXL_SQL_3!$D:$D,'Pg2'!$U$24,RES_CNXL_SQL_3!$A:$A,'Pg2'!$T25))=0,"",SUMIFS(RES_CNXL_SQL_3!$F:$F,RES_CNXL_SQL_3!$D:$D,'Pg2'!$U$24,RES_CNXL_SQL_3!$A:$A,'Pg2'!$T25))</f>
        <v/>
      </c>
      <c r="H38" s="193">
        <f>IF((SUMIFS(RES_CNXL_SQL_3!$F:$F,RES_CNXL_SQL_3!$D:$D,'Pg2'!$U$25,RES_CNXL_SQL_3!$A:$A,'Pg2'!$T25))=0,"",SUMIFS(RES_CNXL_SQL_3!$F:$F,RES_CNXL_SQL_3!$D:$D,'Pg2'!$U$25,RES_CNXL_SQL_3!$A:$A,'Pg2'!$T25))</f>
        <v/>
      </c>
      <c r="I38" s="193">
        <f>IF((SUMIFS(RES_CNXL_SQL_3!$F:$F,RES_CNXL_SQL_3!$D:$D,'Pg2'!$U$26,RES_CNXL_SQL_3!$A:$A,'Pg2'!$T25))=0,"",SUMIFS(RES_CNXL_SQL_3!$F:$F,RES_CNXL_SQL_3!$D:$D,'Pg2'!$U$26,RES_CNXL_SQL_3!$A:$A,'Pg2'!$T25))</f>
        <v/>
      </c>
      <c r="J38" s="193">
        <f>IF((SUMIFS(RES_CNXL_SQL_3!$F:$F,RES_CNXL_SQL_3!$D:$D,'Pg2'!$U$27,RES_CNXL_SQL_3!$A:$A,'Pg2'!$T25))=0,"",SUMIFS(RES_CNXL_SQL_3!$F:$F,RES_CNXL_SQL_3!$D:$D,'Pg2'!$U$27,RES_CNXL_SQL_3!$A:$A,'Pg2'!$T25))</f>
        <v/>
      </c>
      <c r="K38" s="193">
        <f>IF((SUMIFS(RES_CNXL_SQL_3!$F:$F,RES_CNXL_SQL_3!$D:$D,'Pg2'!$U$28,RES_CNXL_SQL_3!$A:$A,'Pg2'!$T25))=0,"",SUMIFS(RES_CNXL_SQL_3!$F:$F,RES_CNXL_SQL_3!$D:$D,'Pg2'!$U$28,RES_CNXL_SQL_3!$A:$A,'Pg2'!$T25))</f>
        <v/>
      </c>
      <c r="L38" s="193">
        <f>IF((SUMIFS(RES_CNXL_SQL_3!$F:$F,RES_CNXL_SQL_3!$D:$D,'Pg2'!$U$29,RES_CNXL_SQL_3!$A:$A,'Pg2'!$T25))=0,"",SUMIFS(RES_CNXL_SQL_3!$F:$F,RES_CNXL_SQL_3!$D:$D,'Pg2'!$U$29,RES_CNXL_SQL_3!$A:$A,'Pg2'!$T25))</f>
        <v/>
      </c>
      <c r="M38" s="193" t="inlineStr"/>
      <c r="N38" s="261">
        <f>IF(SUM(E38:M38)=0,"",SUM(E38:M38))</f>
        <v/>
      </c>
      <c r="O38" s="261">
        <f>IFERROR(VLOOKUP($T25,ES_MATRIX!$A$13:$L$21,11,0),"")</f>
        <v/>
      </c>
      <c r="P38" s="261">
        <f>IF(((SUM(E38:M38))-(SUMIFS(ES_MATRIX!$L$14:$L$21,ES_MATRIX!$A$14:$A$21,'Pg2'!$T25)))=0,"",(SUM(E38:M38))-(SUMIFS(ES_MATRIX!$L$14:$L$21,ES_MATRIX!$A$14:$A$21,'Pg2'!$T25)))</f>
        <v/>
      </c>
      <c r="Q38" s="261">
        <f>VLOOKUP($T25,ES_MATRIX!$E$25:$F$30,2,0)</f>
        <v/>
      </c>
      <c r="R38" s="253" t="n"/>
    </row>
    <row r="39">
      <c r="A39" s="171" t="n"/>
      <c r="B39" s="147" t="n"/>
      <c r="C39" s="191" t="inlineStr">
        <is>
          <t>YV - Mesa</t>
        </is>
      </c>
      <c r="D39" s="176">
        <f>SUMIFS(SCH_DEP_SQL_4!$E:$E,SCH_DEP_SQL_4!$A:$A,'Pg2'!$T26)</f>
        <v/>
      </c>
      <c r="E39" s="190">
        <f>IF((SUMIFS(RES_CNXL_SQL_3!$F:$F,RES_CNXL_SQL_3!$D:$D,'Pg2'!$U$22,RES_CNXL_SQL_3!$A:$A,'Pg2'!$T26))=0,"",SUMIFS(RES_CNXL_SQL_3!$F:$F,RES_CNXL_SQL_3!$D:$D,'Pg2'!$U$22,RES_CNXL_SQL_3!$A:$A,'Pg2'!$T26))</f>
        <v/>
      </c>
      <c r="F39" s="190">
        <f>IF((SUMIFS(RES_CNXL_SQL_3!$F:$F,RES_CNXL_SQL_3!$D:$D,'Pg2'!$U$23,RES_CNXL_SQL_3!$A:$A,'Pg2'!$T26))=0,"",SUMIFS(RES_CNXL_SQL_3!$F:$F,RES_CNXL_SQL_3!$D:$D,'Pg2'!$U$23,RES_CNXL_SQL_3!$A:$A,'Pg2'!$T26))</f>
        <v/>
      </c>
      <c r="G39" s="190">
        <f>IF((SUMIFS(RES_CNXL_SQL_3!$F:$F,RES_CNXL_SQL_3!$D:$D,'Pg2'!$U$24,RES_CNXL_SQL_3!$A:$A,'Pg2'!$T26))=0,"",SUMIFS(RES_CNXL_SQL_3!$F:$F,RES_CNXL_SQL_3!$D:$D,'Pg2'!$U$24,RES_CNXL_SQL_3!$A:$A,'Pg2'!$T26))</f>
        <v/>
      </c>
      <c r="H39" s="190">
        <f>IF((SUMIFS(RES_CNXL_SQL_3!$F:$F,RES_CNXL_SQL_3!$D:$D,'Pg2'!$U$25,RES_CNXL_SQL_3!$A:$A,'Pg2'!$T26))=0,"",SUMIFS(RES_CNXL_SQL_3!$F:$F,RES_CNXL_SQL_3!$D:$D,'Pg2'!$U$25,RES_CNXL_SQL_3!$A:$A,'Pg2'!$T26))</f>
        <v/>
      </c>
      <c r="I39" s="190">
        <f>IF((SUMIFS(RES_CNXL_SQL_3!$F:$F,RES_CNXL_SQL_3!$D:$D,'Pg2'!$U$26,RES_CNXL_SQL_3!$A:$A,'Pg2'!$T26))=0,"",SUMIFS(RES_CNXL_SQL_3!$F:$F,RES_CNXL_SQL_3!$D:$D,'Pg2'!$U$26,RES_CNXL_SQL_3!$A:$A,'Pg2'!$T26))</f>
        <v/>
      </c>
      <c r="J39" s="190">
        <f>IF((SUMIFS(RES_CNXL_SQL_3!$F:$F,RES_CNXL_SQL_3!$D:$D,'Pg2'!$U$27,RES_CNXL_SQL_3!$A:$A,'Pg2'!$T26))=0,"",SUMIFS(RES_CNXL_SQL_3!$F:$F,RES_CNXL_SQL_3!$D:$D,'Pg2'!$U$27,RES_CNXL_SQL_3!$A:$A,'Pg2'!$T26))</f>
        <v/>
      </c>
      <c r="K39" s="190">
        <f>IF((SUMIFS(RES_CNXL_SQL_3!$F:$F,RES_CNXL_SQL_3!$D:$D,'Pg2'!$U$28,RES_CNXL_SQL_3!$A:$A,'Pg2'!$T26))=0,"",SUMIFS(RES_CNXL_SQL_3!$F:$F,RES_CNXL_SQL_3!$D:$D,'Pg2'!$U$28,RES_CNXL_SQL_3!$A:$A,'Pg2'!$T26))</f>
        <v/>
      </c>
      <c r="L39" s="190">
        <f>IF((SUMIFS(RES_CNXL_SQL_3!$F:$F,RES_CNXL_SQL_3!$D:$D,'Pg2'!$U$29,RES_CNXL_SQL_3!$A:$A,'Pg2'!$T26))=0,"",SUMIFS(RES_CNXL_SQL_3!$F:$F,RES_CNXL_SQL_3!$D:$D,'Pg2'!$U$29,RES_CNXL_SQL_3!$A:$A,'Pg2'!$T26))</f>
        <v/>
      </c>
      <c r="M39" s="190" t="inlineStr"/>
      <c r="N39" s="216">
        <f>IF(SUM(E39:M39)=0,"",SUM(E39:M39))</f>
        <v/>
      </c>
      <c r="O39" s="216">
        <f>IFERROR(VLOOKUP($T26,ES_MATRIX!$A$13:$L$21,11,0),"")</f>
        <v/>
      </c>
      <c r="P39" s="216">
        <f>IF(((SUM(E39:M39))-(SUMIFS(ES_MATRIX!$L$14:$L$21,ES_MATRIX!$A$14:$A$21,'Pg2'!$T26)))=0,"",(SUM(E39:M39))-(SUMIFS(ES_MATRIX!$L$14:$L$21,ES_MATRIX!$A$14:$A$21,'Pg2'!$T26)))</f>
        <v/>
      </c>
      <c r="Q39" s="216">
        <f>VLOOKUP($T26,ES_MATRIX!$E$25:$F$30,2,0)</f>
        <v/>
      </c>
      <c r="R39" s="253" t="n"/>
    </row>
    <row r="40">
      <c r="A40" s="171" t="n"/>
      <c r="B40" s="147" t="n"/>
      <c r="C40" s="192" t="inlineStr">
        <is>
          <t>ZW - Air Wisconsin</t>
        </is>
      </c>
      <c r="D40" s="180">
        <f>SUMIFS(SCH_DEP_SQL_4!$E:$E,SCH_DEP_SQL_4!$A:$A,'Pg2'!$T27)</f>
        <v/>
      </c>
      <c r="E40" s="193">
        <f>IF((SUMIFS(RES_CNXL_SQL_3!$F:$F,RES_CNXL_SQL_3!$D:$D,'Pg2'!$U$22,RES_CNXL_SQL_3!$A:$A,'Pg2'!$T27))=0,"",SUMIFS(RES_CNXL_SQL_3!$F:$F,RES_CNXL_SQL_3!$D:$D,'Pg2'!$U$22,RES_CNXL_SQL_3!$A:$A,'Pg2'!$T27))</f>
        <v/>
      </c>
      <c r="F40" s="193">
        <f>IF((SUMIFS(RES_CNXL_SQL_3!$F:$F,RES_CNXL_SQL_3!$D:$D,'Pg2'!$U$23,RES_CNXL_SQL_3!$A:$A,'Pg2'!$T27))=0,"",SUMIFS(RES_CNXL_SQL_3!$F:$F,RES_CNXL_SQL_3!$D:$D,'Pg2'!$U$23,RES_CNXL_SQL_3!$A:$A,'Pg2'!$T27))</f>
        <v/>
      </c>
      <c r="G40" s="193">
        <f>IF((SUMIFS(RES_CNXL_SQL_3!$F:$F,RES_CNXL_SQL_3!$D:$D,'Pg2'!$U$24,RES_CNXL_SQL_3!$A:$A,'Pg2'!$T27))=0,"",SUMIFS(RES_CNXL_SQL_3!$F:$F,RES_CNXL_SQL_3!$D:$D,'Pg2'!$U$24,RES_CNXL_SQL_3!$A:$A,'Pg2'!$T27))</f>
        <v/>
      </c>
      <c r="H40" s="193">
        <f>IF((SUMIFS(RES_CNXL_SQL_3!$F:$F,RES_CNXL_SQL_3!$D:$D,'Pg2'!$U$25,RES_CNXL_SQL_3!$A:$A,'Pg2'!$T27))=0,"",SUMIFS(RES_CNXL_SQL_3!$F:$F,RES_CNXL_SQL_3!$D:$D,'Pg2'!$U$25,RES_CNXL_SQL_3!$A:$A,'Pg2'!$T27))</f>
        <v/>
      </c>
      <c r="I40" s="193">
        <f>IF((SUMIFS(RES_CNXL_SQL_3!$F:$F,RES_CNXL_SQL_3!$D:$D,'Pg2'!$U$26,RES_CNXL_SQL_3!$A:$A,'Pg2'!$T27))=0,"",SUMIFS(RES_CNXL_SQL_3!$F:$F,RES_CNXL_SQL_3!$D:$D,'Pg2'!$U$26,RES_CNXL_SQL_3!$A:$A,'Pg2'!$T27))</f>
        <v/>
      </c>
      <c r="J40" s="193">
        <f>IF((SUMIFS(RES_CNXL_SQL_3!$F:$F,RES_CNXL_SQL_3!$D:$D,'Pg2'!$U$27,RES_CNXL_SQL_3!$A:$A,'Pg2'!$T27))=0,"",SUMIFS(RES_CNXL_SQL_3!$F:$F,RES_CNXL_SQL_3!$D:$D,'Pg2'!$U$27,RES_CNXL_SQL_3!$A:$A,'Pg2'!$T27))</f>
        <v/>
      </c>
      <c r="K40" s="193">
        <f>IF((SUMIFS(RES_CNXL_SQL_3!$F:$F,RES_CNXL_SQL_3!$D:$D,'Pg2'!$U$28,RES_CNXL_SQL_3!$A:$A,'Pg2'!$T27))=0,"",SUMIFS(RES_CNXL_SQL_3!$F:$F,RES_CNXL_SQL_3!$D:$D,'Pg2'!$U$28,RES_CNXL_SQL_3!$A:$A,'Pg2'!$T27))</f>
        <v/>
      </c>
      <c r="L40" s="193">
        <f>IF((SUMIFS(RES_CNXL_SQL_3!$F:$F,RES_CNXL_SQL_3!$D:$D,'Pg2'!$U$29,RES_CNXL_SQL_3!$A:$A,'Pg2'!$T27))=0,"",SUMIFS(RES_CNXL_SQL_3!$F:$F,RES_CNXL_SQL_3!$D:$D,'Pg2'!$U$29,RES_CNXL_SQL_3!$A:$A,'Pg2'!$T27))</f>
        <v/>
      </c>
      <c r="M40" s="193" t="inlineStr"/>
      <c r="N40" s="262">
        <f>IF(SUM(E40:M40)=0,"",SUM(E40:M40))</f>
        <v/>
      </c>
      <c r="O40" s="261">
        <f>IFERROR(VLOOKUP($T27,ES_MATRIX!$A$13:$L$21,11,0),"")</f>
        <v/>
      </c>
      <c r="P40" s="261">
        <f>IF(((SUM(E40:M40))-(SUMIFS(ES_MATRIX!$L$14:$L$21,ES_MATRIX!$A$14:$A$21,'Pg2'!$T27)))=0,"",(SUM(E40:M40))-(SUMIFS(ES_MATRIX!$L$14:$L$21,ES_MATRIX!$A$14:$A$21,'Pg2'!$T27)))</f>
        <v/>
      </c>
      <c r="Q40" s="261">
        <f>VLOOKUP($T27,ES_MATRIX!$E$25:$F$30,2,0)</f>
        <v/>
      </c>
      <c r="R40" s="253" t="n"/>
    </row>
    <row r="41">
      <c r="A41" s="171" t="n"/>
      <c r="B41" s="147" t="n"/>
      <c r="C41" s="183" t="inlineStr">
        <is>
          <t>Total:</t>
        </is>
      </c>
      <c r="D41" s="184">
        <f>SUM(D35:D40)</f>
        <v/>
      </c>
      <c r="E41" s="185">
        <f>IF(SUM(E35:E40)=0,"",SUM(E35:E40))</f>
        <v/>
      </c>
      <c r="F41" s="185">
        <f>IF(SUM(F35:F40)=0,"",SUM(F35:F40))</f>
        <v/>
      </c>
      <c r="G41" s="185">
        <f>IF(SUM(G35:G40)=0,"",SUM(G35:G40))</f>
        <v/>
      </c>
      <c r="H41" s="185">
        <f>IF(SUM(H35:H40)=0,"",SUM(H35:H40))</f>
        <v/>
      </c>
      <c r="I41" s="185">
        <f>IF(SUM(I35:I40)=0,"",SUM(I35:I40))</f>
        <v/>
      </c>
      <c r="J41" s="185">
        <f>IF(SUM(J35:J40)=0,"",SUM(J35:J40))</f>
        <v/>
      </c>
      <c r="K41" s="185">
        <f>IF(SUM(K35:K40)=0,"",SUM(K35:K40))</f>
        <v/>
      </c>
      <c r="L41" s="185">
        <f>IF(SUM(L35:L40)=0,"",SUM(L35:L40))</f>
        <v/>
      </c>
      <c r="M41" s="185">
        <f>IF(SUM(M35:M40)=0,"",SUM(M35:M40))</f>
        <v/>
      </c>
      <c r="N41" s="186">
        <f>IF(SUM(N35:N40)=0,"",SUM(N35:N40))</f>
        <v/>
      </c>
      <c r="O41" s="186">
        <f>IF(SUM(O35:O40)=0,"",SUM(O35:O40))</f>
        <v/>
      </c>
      <c r="P41" s="186">
        <f>IF(SUM(P35:P40)=0,"",SUM(P35:P40))</f>
        <v/>
      </c>
      <c r="Q41" s="186">
        <f>IF(SUM(Q35:Q40)=0,"",SUM(Q35:Q40))</f>
        <v/>
      </c>
      <c r="R41" s="253" t="n"/>
    </row>
    <row r="42">
      <c r="A42" s="171" t="n"/>
      <c r="B42" s="167" t="n"/>
      <c r="C42" s="169" t="n"/>
      <c r="D42" s="169" t="n"/>
      <c r="E42" s="169" t="n"/>
      <c r="F42" s="169" t="n"/>
      <c r="G42" s="169" t="n"/>
      <c r="H42" s="169" t="n"/>
      <c r="I42" s="169" t="n"/>
      <c r="J42" s="169" t="n"/>
      <c r="K42" s="169" t="n"/>
      <c r="L42" s="169" t="n"/>
      <c r="M42" s="169" t="n"/>
      <c r="N42" s="169" t="n"/>
      <c r="O42" s="169" t="n"/>
      <c r="P42" s="169" t="n"/>
      <c r="Q42" s="255" t="n"/>
      <c r="R42" s="256" t="n"/>
    </row>
    <row r="43">
      <c r="A43" s="171" t="n"/>
      <c r="B43" s="171" t="n"/>
      <c r="C43" s="171" t="n"/>
      <c r="D43" s="171" t="n"/>
      <c r="E43" s="171" t="n"/>
      <c r="F43" s="171" t="n"/>
      <c r="G43" s="171" t="n"/>
      <c r="H43" s="171" t="n"/>
      <c r="I43" s="171" t="n"/>
      <c r="J43" s="171" t="n"/>
      <c r="K43" s="171" t="n"/>
      <c r="L43" s="171" t="n"/>
      <c r="M43" s="171" t="n"/>
      <c r="N43" s="171" t="n"/>
      <c r="O43" s="171" t="n"/>
      <c r="P43" s="171" t="n"/>
      <c r="Q43" s="171" t="n"/>
      <c r="R43" s="171" t="n"/>
    </row>
    <row r="44">
      <c r="A44" s="171" t="n"/>
      <c r="B44" s="171" t="n"/>
      <c r="C44" s="171" t="n"/>
      <c r="D44" s="171" t="n"/>
      <c r="E44" s="171" t="n"/>
      <c r="F44" s="171" t="n"/>
      <c r="G44" s="171" t="n"/>
      <c r="H44" s="171" t="n"/>
      <c r="I44" s="171" t="n"/>
      <c r="J44" s="171" t="n"/>
      <c r="K44" s="171" t="n"/>
      <c r="L44" s="171" t="n"/>
      <c r="M44" s="171" t="n"/>
      <c r="N44" s="171" t="n"/>
      <c r="O44" s="171" t="n"/>
      <c r="P44" s="171" t="n"/>
      <c r="Q44" s="171" t="n"/>
      <c r="R44" s="171" t="n"/>
    </row>
    <row r="45">
      <c r="A45" s="171" t="n"/>
      <c r="B45" s="187" t="inlineStr">
        <is>
          <t>Notes:</t>
        </is>
      </c>
      <c r="C45" s="171" t="n"/>
      <c r="D45" s="171" t="n"/>
      <c r="E45" s="171" t="n"/>
      <c r="F45" s="171" t="n"/>
      <c r="G45" s="171" t="n"/>
      <c r="H45" s="171" t="n"/>
      <c r="I45" s="171" t="n"/>
      <c r="J45" s="171" t="n"/>
      <c r="K45" s="171" t="n"/>
      <c r="L45" s="171" t="n"/>
      <c r="M45" s="171" t="n"/>
      <c r="N45" s="171" t="n"/>
      <c r="O45" s="171" t="n"/>
      <c r="P45" s="171" t="n"/>
      <c r="Q45" s="171" t="n"/>
      <c r="R45" s="171" t="n"/>
    </row>
    <row r="46" ht="21" customHeight="1" s="286">
      <c r="A46" s="171" t="n"/>
      <c r="B46" s="275" t="inlineStr">
        <is>
          <t xml:space="preserve">1. The hubs/operating bases considered for all airlines are as follows:
</t>
        </is>
      </c>
      <c r="C46" s="333" t="n"/>
      <c r="D46" s="333" t="n"/>
      <c r="E46" s="333" t="n"/>
      <c r="F46" s="333" t="n"/>
      <c r="G46" s="333" t="n"/>
      <c r="H46" s="333" t="n"/>
      <c r="I46" s="333" t="n"/>
      <c r="J46" s="333" t="n"/>
      <c r="K46" s="333" t="n"/>
      <c r="L46" s="333" t="n"/>
      <c r="M46" s="333" t="n"/>
      <c r="N46" s="333" t="n"/>
      <c r="O46" s="333" t="n"/>
      <c r="P46" s="333" t="n"/>
      <c r="Q46" s="171" t="n"/>
      <c r="R46" s="171" t="n"/>
    </row>
    <row r="47" ht="21" customHeight="1" s="286">
      <c r="A47" s="171" t="n"/>
      <c r="B47" s="275" t="inlineStr">
        <is>
          <t xml:space="preserve">UA -  SFO, LAX, DEN, IAH, EWR, IAD, ORD </t>
        </is>
      </c>
      <c r="C47" s="333" t="n"/>
      <c r="D47" s="333" t="n"/>
      <c r="E47" s="333" t="n"/>
      <c r="F47" s="333" t="n"/>
      <c r="G47" s="333" t="n"/>
      <c r="H47" s="333" t="n"/>
      <c r="I47" s="333" t="n"/>
      <c r="J47" s="333" t="n"/>
      <c r="K47" s="333" t="n"/>
      <c r="L47" s="333" t="n"/>
      <c r="M47" s="333" t="n"/>
      <c r="N47" s="333" t="n"/>
      <c r="O47" s="333" t="n"/>
      <c r="P47" s="333" t="n"/>
      <c r="Q47" s="171" t="n"/>
      <c r="R47" s="171" t="n"/>
    </row>
    <row r="48">
      <c r="A48" s="171" t="n"/>
      <c r="B48" s="275" t="inlineStr">
        <is>
          <t>AA - CLT, MIA, PHX, DCA, ORD, PHL, DFW</t>
        </is>
      </c>
      <c r="C48" s="175" t="n"/>
      <c r="D48" s="175" t="n"/>
      <c r="E48" s="175" t="n"/>
      <c r="F48" s="175" t="n"/>
      <c r="G48" s="175" t="n"/>
      <c r="H48" s="175" t="n"/>
      <c r="I48" s="175" t="n"/>
      <c r="J48" s="175" t="n"/>
      <c r="K48" s="175" t="n"/>
      <c r="L48" s="175" t="n"/>
      <c r="M48" s="175" t="n"/>
      <c r="N48" s="171" t="n"/>
      <c r="O48" s="171" t="n"/>
      <c r="P48" s="171" t="n"/>
      <c r="Q48" s="171" t="n"/>
      <c r="R48" s="171" t="n"/>
    </row>
    <row r="49">
      <c r="A49" s="171" t="n"/>
      <c r="B49" s="275" t="inlineStr">
        <is>
          <t>DL - ATL, DTW, LAX, JFK, LGA, MSP, SLC, SEA</t>
        </is>
      </c>
      <c r="C49" s="269" t="n"/>
      <c r="D49" s="264" t="n"/>
      <c r="E49" s="269" t="n"/>
      <c r="F49" s="264" t="n"/>
      <c r="G49" s="193" t="n"/>
      <c r="H49" s="193" t="n"/>
      <c r="I49" s="193" t="n"/>
      <c r="J49" s="193" t="n"/>
      <c r="K49" s="193" t="n"/>
      <c r="L49" s="193" t="n"/>
      <c r="M49" s="193" t="n"/>
      <c r="N49" s="171" t="n"/>
      <c r="O49" s="171" t="n"/>
      <c r="P49" s="171" t="n"/>
      <c r="Q49" s="171" t="n"/>
      <c r="R49" s="171" t="n"/>
    </row>
    <row r="50">
      <c r="A50" s="171" t="n"/>
      <c r="B50" s="171" t="n"/>
      <c r="C50" s="269" t="n"/>
      <c r="D50" s="264" t="n"/>
      <c r="E50" s="269" t="n"/>
      <c r="F50" s="264" t="n"/>
      <c r="G50" s="193" t="n"/>
      <c r="H50" s="193" t="n"/>
      <c r="I50" s="193" t="n"/>
      <c r="J50" s="193" t="n"/>
      <c r="K50" s="193" t="n"/>
      <c r="L50" s="193" t="n"/>
      <c r="M50" s="193" t="n"/>
      <c r="N50" s="171" t="n"/>
      <c r="O50" s="171" t="n"/>
      <c r="P50" s="171" t="n"/>
      <c r="Q50" s="171" t="n"/>
      <c r="R50" s="171" t="n"/>
    </row>
    <row r="51">
      <c r="A51" s="171" t="n"/>
      <c r="B51" s="171" t="n"/>
      <c r="C51" s="269" t="n"/>
      <c r="D51" s="264" t="n"/>
      <c r="E51" s="269" t="n"/>
      <c r="F51" s="264" t="n"/>
      <c r="G51" s="193" t="n"/>
      <c r="H51" s="193" t="n"/>
      <c r="I51" s="193" t="n"/>
      <c r="J51" s="193" t="n"/>
      <c r="K51" s="193" t="n"/>
      <c r="L51" s="193" t="n"/>
      <c r="M51" s="193" t="n"/>
      <c r="N51" s="171" t="n"/>
      <c r="O51" s="171" t="n"/>
      <c r="P51" s="171" t="n"/>
      <c r="Q51" s="171" t="n"/>
      <c r="R51" s="171" t="n"/>
    </row>
    <row r="52">
      <c r="A52" s="171" t="n"/>
      <c r="B52" s="275" t="n"/>
      <c r="C52" s="269" t="n"/>
      <c r="D52" s="264" t="n"/>
      <c r="E52" s="269" t="n"/>
      <c r="F52" s="264" t="n"/>
      <c r="G52" s="193" t="n"/>
      <c r="H52" s="193" t="n"/>
      <c r="I52" s="193" t="n"/>
      <c r="J52" s="193" t="n"/>
      <c r="K52" s="193" t="n"/>
      <c r="L52" s="193" t="n"/>
      <c r="M52" s="193" t="n"/>
      <c r="N52" s="171" t="n"/>
      <c r="O52" s="171" t="n"/>
      <c r="P52" s="171" t="n"/>
      <c r="Q52" s="171" t="n"/>
      <c r="R52" s="171" t="n"/>
    </row>
    <row r="53">
      <c r="A53" s="171" t="n"/>
      <c r="B53" s="171" t="n"/>
      <c r="C53" s="269" t="n"/>
      <c r="D53" s="264" t="n"/>
      <c r="E53" s="269" t="n"/>
      <c r="F53" s="264" t="n"/>
      <c r="G53" s="193" t="n"/>
      <c r="H53" s="193" t="n"/>
      <c r="I53" s="193" t="n"/>
      <c r="J53" s="193" t="n"/>
      <c r="K53" s="193" t="n"/>
      <c r="L53" s="193" t="n"/>
      <c r="M53" s="193" t="n"/>
      <c r="N53" s="171" t="n"/>
      <c r="O53" s="171" t="n"/>
      <c r="P53" s="171" t="n"/>
      <c r="Q53" s="171" t="n"/>
      <c r="R53" s="171" t="n"/>
    </row>
    <row r="54">
      <c r="A54" s="171" t="n"/>
      <c r="B54" s="171" t="n"/>
      <c r="C54" s="269" t="n"/>
      <c r="D54" s="264" t="n"/>
      <c r="E54" s="269" t="n"/>
      <c r="F54" s="264" t="n"/>
      <c r="G54" s="193" t="n"/>
      <c r="H54" s="193" t="n"/>
      <c r="I54" s="193" t="n"/>
      <c r="J54" s="193" t="n"/>
      <c r="K54" s="193" t="n"/>
      <c r="L54" s="193" t="n"/>
      <c r="M54" s="193" t="n"/>
      <c r="N54" s="171" t="n"/>
      <c r="O54" s="171" t="n"/>
      <c r="P54" s="171" t="n"/>
      <c r="Q54" s="171" t="n"/>
      <c r="R54" s="171" t="n"/>
    </row>
    <row r="55">
      <c r="A55" s="171" t="n"/>
      <c r="B55" s="171" t="n"/>
      <c r="C55" s="265" t="n"/>
      <c r="D55" s="265" t="n"/>
      <c r="E55" s="265" t="n"/>
      <c r="F55" s="265" t="n"/>
      <c r="G55" s="265" t="n"/>
      <c r="H55" s="265" t="n"/>
      <c r="I55" s="265" t="n"/>
      <c r="J55" s="265" t="n"/>
      <c r="K55" s="265" t="n"/>
      <c r="L55" s="265" t="n"/>
      <c r="M55" s="265" t="n"/>
      <c r="N55" s="171" t="n"/>
      <c r="O55" s="171" t="n"/>
      <c r="P55" s="171" t="n"/>
      <c r="Q55" s="171" t="n"/>
      <c r="R55" s="171" t="n"/>
    </row>
    <row r="56">
      <c r="A56" s="171" t="n"/>
      <c r="B56" s="171" t="n"/>
      <c r="C56" s="171" t="n"/>
      <c r="D56" s="171" t="n"/>
      <c r="E56" s="171" t="n"/>
      <c r="F56" s="171" t="n"/>
      <c r="G56" s="171" t="n"/>
      <c r="H56" s="171" t="n"/>
      <c r="I56" s="171" t="n"/>
      <c r="J56" s="171" t="n"/>
      <c r="K56" s="171" t="n"/>
      <c r="L56" s="171" t="n"/>
      <c r="M56" s="171" t="n"/>
      <c r="N56" s="171" t="n"/>
      <c r="O56" s="171" t="n"/>
      <c r="P56" s="171" t="n"/>
      <c r="Q56" s="171" t="n"/>
      <c r="R56" s="171" t="n"/>
    </row>
    <row r="57">
      <c r="A57" s="171" t="n"/>
      <c r="B57" s="171" t="n"/>
      <c r="C57" s="171" t="n"/>
      <c r="D57" s="171" t="n"/>
      <c r="E57" s="171" t="n"/>
      <c r="F57" s="171" t="n"/>
      <c r="G57" s="171" t="n"/>
      <c r="H57" s="171" t="n"/>
      <c r="I57" s="171" t="n"/>
      <c r="J57" s="171" t="n"/>
      <c r="K57" s="171" t="n"/>
      <c r="L57" s="171" t="n"/>
      <c r="M57" s="171" t="n"/>
      <c r="N57" s="171" t="n"/>
      <c r="O57" s="171" t="n"/>
      <c r="P57" s="171" t="n"/>
      <c r="Q57" s="171" t="n"/>
      <c r="R57" s="171" t="n"/>
    </row>
    <row r="58">
      <c r="A58" s="171" t="n"/>
      <c r="B58" s="171" t="n"/>
      <c r="C58" s="171" t="n"/>
      <c r="D58" s="171" t="n"/>
      <c r="E58" s="171" t="n"/>
      <c r="F58" s="171" t="n"/>
      <c r="G58" s="171" t="n"/>
      <c r="H58" s="171" t="n"/>
      <c r="I58" s="171" t="n"/>
      <c r="J58" s="171" t="n"/>
      <c r="K58" s="171" t="n"/>
      <c r="L58" s="171" t="n"/>
      <c r="M58" s="171" t="n"/>
      <c r="N58" s="171" t="n"/>
      <c r="O58" s="171" t="n"/>
      <c r="P58" s="171" t="n"/>
      <c r="Q58" s="171" t="n"/>
      <c r="R58" s="171" t="n"/>
    </row>
    <row r="59" ht="21" customHeight="1" s="286">
      <c r="A59" s="171" t="n"/>
      <c r="B59" s="333" t="n"/>
      <c r="Q59" s="171" t="n"/>
      <c r="R59" s="171" t="n"/>
    </row>
    <row r="60" ht="21" customHeight="1" s="286">
      <c r="B60" s="333" t="n"/>
      <c r="C60" s="333" t="n"/>
      <c r="D60" s="333" t="n"/>
      <c r="E60" s="333" t="n"/>
      <c r="F60" s="333" t="n"/>
      <c r="G60" s="333" t="n"/>
      <c r="H60" s="333" t="n"/>
      <c r="I60" s="333" t="n"/>
      <c r="J60" s="333" t="n"/>
      <c r="K60" s="333" t="n"/>
      <c r="L60" s="333" t="n"/>
      <c r="M60" s="333" t="n"/>
      <c r="N60" s="333" t="n"/>
      <c r="O60" s="333" t="n"/>
      <c r="P60" s="333" t="n"/>
      <c r="Q60" s="171" t="n"/>
      <c r="R60" s="171" t="n"/>
    </row>
    <row r="61">
      <c r="A61" s="171" t="n"/>
      <c r="B61" s="171" t="n"/>
      <c r="C61" s="175" t="n"/>
      <c r="D61" s="175" t="n"/>
      <c r="E61" s="175" t="n"/>
      <c r="F61" s="175" t="n"/>
      <c r="G61" s="175" t="n"/>
      <c r="H61" s="175" t="n"/>
      <c r="I61" s="175" t="n"/>
      <c r="J61" s="175" t="n"/>
      <c r="K61" s="175" t="n"/>
      <c r="L61" s="175" t="n"/>
      <c r="M61" s="175" t="n"/>
      <c r="N61" s="171" t="n"/>
      <c r="O61" s="171" t="n"/>
      <c r="P61" s="171" t="n"/>
      <c r="Q61" s="171" t="n"/>
      <c r="R61" s="171" t="n"/>
    </row>
    <row r="62">
      <c r="B62" s="171" t="n"/>
      <c r="C62" s="269" t="n"/>
      <c r="D62" s="264" t="n"/>
      <c r="E62" s="269" t="n"/>
      <c r="F62" s="264" t="n"/>
      <c r="G62" s="193" t="n"/>
      <c r="H62" s="193" t="n"/>
      <c r="I62" s="193" t="n"/>
      <c r="J62" s="193" t="n"/>
      <c r="K62" s="193" t="n"/>
      <c r="L62" s="193" t="n"/>
      <c r="M62" s="193" t="n"/>
      <c r="N62" s="171" t="n"/>
      <c r="O62" s="171" t="n"/>
      <c r="P62" s="171" t="n"/>
      <c r="Q62" s="171" t="n"/>
      <c r="R62" s="171" t="n"/>
    </row>
    <row r="63">
      <c r="A63" s="171" t="n"/>
      <c r="B63" s="171" t="n"/>
      <c r="C63" s="269" t="n"/>
      <c r="D63" s="264" t="n"/>
      <c r="E63" s="269" t="n"/>
      <c r="F63" s="264" t="n"/>
      <c r="G63" s="193" t="n"/>
      <c r="H63" s="193" t="n"/>
      <c r="I63" s="193" t="n"/>
      <c r="J63" s="193" t="n"/>
      <c r="K63" s="193" t="n"/>
      <c r="L63" s="193" t="n"/>
      <c r="M63" s="193" t="n"/>
      <c r="N63" s="171" t="n"/>
      <c r="O63" s="171" t="n"/>
      <c r="P63" s="171" t="n"/>
      <c r="Q63" s="171" t="n"/>
      <c r="R63" s="171" t="n"/>
    </row>
    <row r="64">
      <c r="A64" s="171" t="n"/>
      <c r="B64" s="171" t="n"/>
      <c r="C64" s="269" t="n"/>
      <c r="D64" s="264" t="n"/>
      <c r="E64" s="269" t="n"/>
      <c r="F64" s="264" t="n"/>
      <c r="G64" s="193" t="n"/>
      <c r="H64" s="193" t="n"/>
      <c r="I64" s="193" t="n"/>
      <c r="J64" s="193" t="n"/>
      <c r="K64" s="193" t="n"/>
      <c r="L64" s="193" t="n"/>
      <c r="M64" s="193" t="n"/>
      <c r="N64" s="171" t="n"/>
      <c r="O64" s="171" t="n"/>
      <c r="P64" s="171" t="n"/>
      <c r="Q64" s="171" t="n"/>
      <c r="R64" s="171" t="n"/>
    </row>
    <row r="65">
      <c r="A65" s="171" t="n"/>
      <c r="B65" s="275" t="n"/>
      <c r="C65" s="269" t="n"/>
      <c r="D65" s="264" t="n"/>
      <c r="E65" s="269" t="n"/>
      <c r="F65" s="264" t="n"/>
      <c r="G65" s="193" t="n"/>
      <c r="H65" s="193" t="n"/>
      <c r="I65" s="193" t="n"/>
      <c r="J65" s="193" t="n"/>
      <c r="K65" s="193" t="n"/>
      <c r="L65" s="193" t="n"/>
      <c r="M65" s="193" t="n"/>
      <c r="N65" s="171" t="n"/>
      <c r="O65" s="171" t="n"/>
      <c r="P65" s="171" t="n"/>
      <c r="Q65" s="171" t="n"/>
      <c r="R65" s="171" t="n"/>
    </row>
    <row r="66">
      <c r="B66" s="171" t="n"/>
      <c r="C66" s="269" t="n"/>
      <c r="D66" s="264" t="n"/>
      <c r="E66" s="269" t="n"/>
      <c r="F66" s="264" t="n"/>
      <c r="G66" s="193" t="n"/>
      <c r="H66" s="193" t="n"/>
      <c r="I66" s="193" t="n"/>
      <c r="J66" s="193" t="n"/>
      <c r="K66" s="193" t="n"/>
      <c r="L66" s="193" t="n"/>
      <c r="M66" s="193" t="n"/>
      <c r="N66" s="171" t="n"/>
      <c r="O66" s="171" t="n"/>
      <c r="P66" s="171" t="n"/>
    </row>
    <row r="67">
      <c r="B67" s="171" t="n"/>
      <c r="C67" s="269" t="n"/>
      <c r="D67" s="264" t="n"/>
      <c r="E67" s="269" t="n"/>
      <c r="F67" s="264" t="n"/>
      <c r="G67" s="193" t="n"/>
      <c r="H67" s="193" t="n"/>
      <c r="I67" s="193" t="n"/>
      <c r="J67" s="193" t="n"/>
      <c r="K67" s="193" t="n"/>
      <c r="L67" s="193" t="n"/>
      <c r="M67" s="193" t="n"/>
      <c r="N67" s="171" t="n"/>
      <c r="O67" s="171" t="n"/>
      <c r="P67" s="171" t="n"/>
    </row>
    <row r="68">
      <c r="B68" s="171" t="n"/>
      <c r="C68" s="265" t="n"/>
      <c r="D68" s="265" t="n"/>
      <c r="E68" s="265" t="n"/>
      <c r="F68" s="265" t="n"/>
      <c r="G68" s="265" t="n"/>
      <c r="H68" s="265" t="n"/>
      <c r="I68" s="265" t="n"/>
      <c r="J68" s="265" t="n"/>
      <c r="K68" s="265" t="n"/>
      <c r="L68" s="265" t="n"/>
      <c r="M68" s="265" t="n"/>
      <c r="N68" s="171" t="n"/>
      <c r="O68" s="171" t="n"/>
      <c r="P68" s="171" t="n"/>
    </row>
    <row r="69">
      <c r="B69" s="171" t="n"/>
      <c r="C69" s="171" t="n"/>
      <c r="D69" s="171" t="n"/>
      <c r="E69" s="171" t="n"/>
      <c r="F69" s="171" t="n"/>
      <c r="G69" s="171" t="n"/>
      <c r="H69" s="171" t="n"/>
      <c r="I69" s="171" t="n"/>
      <c r="J69" s="171" t="n"/>
      <c r="K69" s="171" t="n"/>
      <c r="L69" s="171" t="n"/>
      <c r="M69" s="171" t="n"/>
      <c r="N69" s="171" t="n"/>
      <c r="O69" s="171" t="n"/>
      <c r="P69" s="171" t="n"/>
    </row>
  </sheetData>
  <mergeCells count="4">
    <mergeCell ref="B19:R19"/>
    <mergeCell ref="B32:R32"/>
    <mergeCell ref="B59:P59"/>
    <mergeCell ref="B2:P2"/>
  </mergeCells>
  <conditionalFormatting sqref="F5:H14">
    <cfRule type="cellIs" priority="111" operator="greaterThan" dxfId="1">
      <formula>0</formula>
    </cfRule>
    <cfRule type="cellIs" priority="112" operator="lessThan" dxfId="37">
      <formula>0</formula>
    </cfRule>
  </conditionalFormatting>
  <conditionalFormatting sqref="E22:E27 M25 M27">
    <cfRule type="top10" rank="1" priority="108" dxfId="2"/>
  </conditionalFormatting>
  <conditionalFormatting sqref="M24:M25 M27">
    <cfRule type="top10" rank="1" priority="102" dxfId="2"/>
  </conditionalFormatting>
  <conditionalFormatting sqref="M22">
    <cfRule type="top10" rank="1" priority="101" dxfId="2"/>
  </conditionalFormatting>
  <conditionalFormatting sqref="M23">
    <cfRule type="top10" rank="1" priority="100" dxfId="2"/>
  </conditionalFormatting>
  <conditionalFormatting sqref="M26">
    <cfRule type="top10" rank="1" priority="99" dxfId="2"/>
  </conditionalFormatting>
  <conditionalFormatting sqref="E22:E27">
    <cfRule type="top10" rank="1" priority="98" dxfId="2"/>
    <cfRule type="top10" rank="1" priority="54" dxfId="2"/>
  </conditionalFormatting>
  <conditionalFormatting sqref="M35">
    <cfRule type="top10" rank="1" priority="84" dxfId="2"/>
    <cfRule type="top10" rank="1" priority="90" dxfId="2"/>
  </conditionalFormatting>
  <conditionalFormatting sqref="M35:M40">
    <cfRule type="top10" rank="1" priority="85" dxfId="2"/>
  </conditionalFormatting>
  <conditionalFormatting sqref="H22:L22">
    <cfRule type="top10" rank="1" priority="52" dxfId="2"/>
    <cfRule type="top10" rank="1" priority="51" dxfId="2"/>
    <cfRule type="top10" rank="1" priority="50" dxfId="2"/>
  </conditionalFormatting>
  <conditionalFormatting sqref="H23:L27">
    <cfRule type="top10" rank="1" priority="49" dxfId="2"/>
    <cfRule type="top10" rank="1" priority="48" dxfId="2"/>
    <cfRule type="top10" rank="1" priority="47" dxfId="2"/>
  </conditionalFormatting>
  <conditionalFormatting sqref="G22:G27">
    <cfRule type="top10" rank="1" priority="46" dxfId="2"/>
  </conditionalFormatting>
  <conditionalFormatting sqref="F35:L35">
    <cfRule type="top10" rank="1" priority="45" dxfId="2"/>
  </conditionalFormatting>
  <conditionalFormatting sqref="F36:L40">
    <cfRule type="top10" rank="1" priority="44" dxfId="2"/>
  </conditionalFormatting>
  <conditionalFormatting sqref="E35:E40">
    <cfRule type="top10" rank="1" priority="43" dxfId="2"/>
  </conditionalFormatting>
  <conditionalFormatting sqref="I5">
    <cfRule type="cellIs" priority="41" operator="greaterThan" dxfId="1">
      <formula>0</formula>
    </cfRule>
    <cfRule type="cellIs" priority="42" operator="lessThan" dxfId="37">
      <formula>0</formula>
    </cfRule>
  </conditionalFormatting>
  <conditionalFormatting sqref="F22:F27">
    <cfRule type="top10" rank="1" priority="40" dxfId="2"/>
  </conditionalFormatting>
  <conditionalFormatting sqref="L52 L54">
    <cfRule type="top10" rank="1" priority="39" dxfId="2"/>
  </conditionalFormatting>
  <conditionalFormatting sqref="L51:L52 L54">
    <cfRule type="top10" rank="1" priority="38" dxfId="2"/>
  </conditionalFormatting>
  <conditionalFormatting sqref="L49:L54">
    <cfRule type="top10" rank="1" priority="37" dxfId="2"/>
  </conditionalFormatting>
  <conditionalFormatting sqref="L50">
    <cfRule type="top10" rank="1" priority="36" dxfId="2"/>
  </conditionalFormatting>
  <conditionalFormatting sqref="L53">
    <cfRule type="top10" rank="1" priority="35" dxfId="2"/>
  </conditionalFormatting>
  <conditionalFormatting sqref="G49:L54">
    <cfRule type="top10" rank="1" priority="32" dxfId="2"/>
    <cfRule type="top10" rank="1" priority="31" dxfId="2"/>
    <cfRule type="top10" rank="1" priority="30" dxfId="2"/>
    <cfRule type="top10" rank="1" priority="24" dxfId="2"/>
    <cfRule type="top10" rank="1" priority="23" dxfId="2"/>
    <cfRule type="top10" rank="1" priority="22" dxfId="2"/>
  </conditionalFormatting>
  <conditionalFormatting sqref="G50:L54">
    <cfRule type="top10" rank="1" priority="29" dxfId="2"/>
    <cfRule type="top10" rank="1" priority="28" dxfId="2"/>
    <cfRule type="top10" rank="1" priority="27" dxfId="2"/>
  </conditionalFormatting>
  <conditionalFormatting sqref="E49:E54">
    <cfRule type="top10" rank="1" priority="25" dxfId="2"/>
  </conditionalFormatting>
  <conditionalFormatting sqref="I49:I54">
    <cfRule type="top10" rank="1" priority="21" dxfId="2"/>
  </conditionalFormatting>
  <conditionalFormatting sqref="H49:H54">
    <cfRule type="top10" rank="1" priority="20" dxfId="2"/>
  </conditionalFormatting>
  <conditionalFormatting sqref="L65 L67">
    <cfRule type="top10" rank="1" priority="19" dxfId="2"/>
  </conditionalFormatting>
  <conditionalFormatting sqref="L64:L65 L67">
    <cfRule type="top10" rank="1" priority="18" dxfId="2"/>
  </conditionalFormatting>
  <conditionalFormatting sqref="L62:L67">
    <cfRule type="top10" rank="1" priority="17" dxfId="2"/>
  </conditionalFormatting>
  <conditionalFormatting sqref="L63">
    <cfRule type="top10" rank="1" priority="16" dxfId="2"/>
  </conditionalFormatting>
  <conditionalFormatting sqref="L66">
    <cfRule type="top10" rank="1" priority="15" dxfId="2"/>
  </conditionalFormatting>
  <conditionalFormatting sqref="G62:L67">
    <cfRule type="top10" rank="1" priority="14" dxfId="2"/>
    <cfRule type="top10" rank="1" priority="13" dxfId="2"/>
    <cfRule type="top10" rank="1" priority="12" dxfId="2"/>
    <cfRule type="top10" rank="1" priority="7" dxfId="2"/>
    <cfRule type="top10" rank="1" priority="6" dxfId="2"/>
    <cfRule type="top10" rank="1" priority="5" dxfId="2"/>
  </conditionalFormatting>
  <conditionalFormatting sqref="G63:L67">
    <cfRule type="top10" rank="1" priority="11" dxfId="2"/>
    <cfRule type="top10" rank="1" priority="10" dxfId="2"/>
    <cfRule type="top10" rank="1" priority="9" dxfId="2"/>
  </conditionalFormatting>
  <conditionalFormatting sqref="E62:E67">
    <cfRule type="top10" rank="1" priority="8" dxfId="2"/>
  </conditionalFormatting>
  <conditionalFormatting sqref="I62:I67">
    <cfRule type="top10" rank="1" priority="4" dxfId="2"/>
  </conditionalFormatting>
  <conditionalFormatting sqref="H62:H67">
    <cfRule type="top10" rank="1" priority="3" dxfId="2"/>
  </conditionalFormatting>
  <conditionalFormatting sqref="L5:N14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42"/>
</worksheet>
</file>

<file path=xl/worksheets/sheet9.xml><?xml version="1.0" encoding="utf-8"?>
<worksheet xmlns="http://schemas.openxmlformats.org/spreadsheetml/2006/main">
  <sheetPr codeName="Sheet3">
    <tabColor theme="4" tint="0.3999755851924192"/>
    <outlinePr summaryBelow="1" summaryRight="1"/>
    <pageSetUpPr/>
  </sheetPr>
  <dimension ref="A1:V28"/>
  <sheetViews>
    <sheetView workbookViewId="0">
      <selection activeCell="Q2" sqref="Q2"/>
    </sheetView>
  </sheetViews>
  <sheetFormatPr baseColWidth="8" defaultRowHeight="14.5" outlineLevelCol="0"/>
  <cols>
    <col width="14.453125" bestFit="1" customWidth="1" style="286" min="1" max="1"/>
    <col width="11.26953125" customWidth="1" style="286" min="2" max="2"/>
    <col width="11.81640625" customWidth="1" style="286" min="4" max="5"/>
    <col width="9.26953125" bestFit="1" customWidth="1" style="286" min="6" max="6"/>
    <col width="16.1796875" customWidth="1" style="286" min="8" max="8"/>
    <col width="12.7265625" customWidth="1" style="286" min="9" max="9"/>
    <col width="12.453125" customWidth="1" style="286" min="10" max="10"/>
    <col width="13.26953125" customWidth="1" style="286" min="11" max="12"/>
    <col width="15.54296875" bestFit="1" customWidth="1" style="286" min="13" max="13"/>
    <col width="15.54296875" customWidth="1" style="286" min="14" max="14"/>
    <col width="15.81640625" customWidth="1" style="286" min="15" max="15"/>
    <col width="10.1796875" bestFit="1" customWidth="1" style="286" min="16" max="16"/>
  </cols>
  <sheetData>
    <row r="1" ht="15" customHeight="1" s="286" thickBot="1">
      <c r="A1" s="47" t="inlineStr">
        <is>
          <t>Metric</t>
        </is>
      </c>
      <c r="B1" s="47" t="inlineStr">
        <is>
          <t>UA</t>
        </is>
      </c>
      <c r="C1" s="47" t="inlineStr">
        <is>
          <t>DL</t>
        </is>
      </c>
      <c r="D1" s="47" t="inlineStr">
        <is>
          <t>AA</t>
        </is>
      </c>
      <c r="E1" s="47" t="inlineStr">
        <is>
          <t>AS</t>
        </is>
      </c>
      <c r="F1" s="47" t="inlineStr">
        <is>
          <t>Rank_Yest</t>
        </is>
      </c>
      <c r="H1" s="47" t="inlineStr">
        <is>
          <t>Metric</t>
        </is>
      </c>
      <c r="I1" s="47" t="inlineStr">
        <is>
          <t>UA</t>
        </is>
      </c>
      <c r="J1" s="47" t="inlineStr">
        <is>
          <t>DL</t>
        </is>
      </c>
      <c r="K1" s="47" t="inlineStr">
        <is>
          <t>AA</t>
        </is>
      </c>
      <c r="L1" s="47" t="inlineStr">
        <is>
          <t>AS</t>
        </is>
      </c>
      <c r="M1" s="47" t="inlineStr">
        <is>
          <t>Rank_DateMinus2</t>
        </is>
      </c>
      <c r="N1" s="113" t="n"/>
      <c r="O1" s="47" t="inlineStr">
        <is>
          <t>Metric</t>
        </is>
      </c>
      <c r="P1" s="47" t="inlineStr">
        <is>
          <t>UA</t>
        </is>
      </c>
      <c r="Q1" s="47" t="inlineStr">
        <is>
          <t>DL</t>
        </is>
      </c>
      <c r="R1" s="47" t="inlineStr">
        <is>
          <t>AA</t>
        </is>
      </c>
      <c r="S1" s="47" t="inlineStr">
        <is>
          <t>AS</t>
        </is>
      </c>
      <c r="T1" s="47" t="inlineStr">
        <is>
          <t>Rank_MTD</t>
        </is>
      </c>
      <c r="V1" s="113" t="inlineStr">
        <is>
          <t>D:00</t>
        </is>
      </c>
    </row>
    <row r="2">
      <c r="A2" s="44" t="inlineStr">
        <is>
          <t>Completion</t>
        </is>
      </c>
      <c r="B2" s="130">
        <f>UA_SQL_1!O2/UA_SQL_1!N2</f>
        <v/>
      </c>
      <c r="C2" s="132">
        <f>SUMIFS(OA_SQL_1!$L:$L,OA_SQL_1!$A:$A,"DL")/SUMIFS(OA_SQL_1!$J:$J,OA_SQL_1!$A:$A,"DL")</f>
        <v/>
      </c>
      <c r="D2" s="132">
        <f>SUMIFS(OA_SQL_1!$L:$L,OA_SQL_1!$A:$A,"AA")/SUMIFS(OA_SQL_1!$J:$J,OA_SQL_1!$A:$A,"AA")</f>
        <v/>
      </c>
      <c r="E2" s="376" t="n"/>
      <c r="F2" s="51">
        <f>RANK(B2,B2:D2,0)</f>
        <v/>
      </c>
      <c r="H2" s="44" t="inlineStr">
        <is>
          <t>Completion</t>
        </is>
      </c>
      <c r="I2" s="342">
        <f>(UA_SQL_1!$X$2/UA_SQL_1!$W$2)</f>
        <v/>
      </c>
      <c r="J2" s="376">
        <f>SUMIF(OA_SQL_1!$A$1:$A$3,"DL",OA_SQL_1!$O$1:$O$3)/SUMIF(OA_SQL_1!$A$1:$A$3,"DL",OA_SQL_1!$M$1:$M$3)</f>
        <v/>
      </c>
      <c r="K2" s="376">
        <f>SUMIF(OA_SQL_1!$A$1:$A$3,"AA",OA_SQL_1!$O1:O$3)/SUMIF(OA_SQL_1!$A$1:$A$3,"AA",OA_SQL_1!$M$1:$M$3)</f>
        <v/>
      </c>
      <c r="L2" s="376" t="n"/>
      <c r="M2" s="51">
        <f>RANK(I2,I2:K2,0)</f>
        <v/>
      </c>
      <c r="N2" s="51" t="n"/>
      <c r="O2" s="44" t="inlineStr">
        <is>
          <t>Completion</t>
        </is>
      </c>
      <c r="P2" s="377" t="n">
        <v>0.01</v>
      </c>
      <c r="Q2" s="267">
        <f>1-(SUMIFS(OA_SQL_1!$G:$G,OA_SQL_1!$A:$A,"DL")/SUMIFS(OA_SQL_1!$E:$E,OA_SQL_1!$A:$A,"DL"))</f>
        <v/>
      </c>
      <c r="R2" s="267">
        <f>1-(SUMIFS(OA_SQL_1!$G:$G,OA_SQL_1!$A:$A,"AA")/SUMIFS(OA_SQL_1!$E:$E,OA_SQL_1!$A:$A,"AA"))</f>
        <v/>
      </c>
      <c r="S2" s="376" t="n"/>
      <c r="T2" s="51">
        <f>RANK(P2,P2:R2,1)</f>
        <v/>
      </c>
    </row>
    <row r="3">
      <c r="A3" s="44" t="inlineStr">
        <is>
          <t>A:00</t>
        </is>
      </c>
      <c r="B3" s="342">
        <f>UA_SQL_1!R2/UA_SQL_1!N2</f>
        <v/>
      </c>
      <c r="C3" s="132">
        <f>SUMIFS(OA_SQL_1!$M:$M,OA_SQL_1!$A:$A,"DL")/SUMIFS(OA_SQL_1!$J:$J,OA_SQL_1!$A:$A,"DL")</f>
        <v/>
      </c>
      <c r="D3" s="132">
        <f>SUMIFS(OA_SQL_1!$M:$M,OA_SQL_1!$A:$A,"AA")/SUMIFS(OA_SQL_1!$J:$J,OA_SQL_1!$A:$A,"AA")</f>
        <v/>
      </c>
      <c r="E3" s="376" t="n"/>
      <c r="F3" s="51">
        <f>RANK(B3,B3:D3,0)</f>
        <v/>
      </c>
      <c r="H3" s="44" t="inlineStr">
        <is>
          <t>A:00</t>
        </is>
      </c>
      <c r="I3" s="342">
        <f>UA_SQL_1!Y2/UA_SQL_1!U2</f>
        <v/>
      </c>
      <c r="J3" s="376">
        <f>SUMIF(OA_SQL_1!$A$1:$A$3,"DL",OA_SQL_1!$P$1:$P$3)/SUMIF(OA_SQL_1!$A$1:$A$3,"DL",OA_SQL_1!$M$1:$M$3)</f>
        <v/>
      </c>
      <c r="K3" s="376">
        <f>SUMIF(OA_SQL_1!$A$1:$A$3,"AA",OA_SQL_1!$P$1:$P$3)/SUMIF(OA_SQL_1!$A$1:$A$3,"AA",OA_SQL_1!$M$1:$M$3)</f>
        <v/>
      </c>
      <c r="L3" s="376" t="n"/>
      <c r="M3" s="51">
        <f>RANK(I3,I3:K3,0)</f>
        <v/>
      </c>
      <c r="N3" s="51" t="n"/>
      <c r="O3" s="44" t="inlineStr">
        <is>
          <t>A:00</t>
        </is>
      </c>
      <c r="P3" s="377">
        <f>UA_SQL_1!$I$2/UA_SQL_1!$E$2</f>
        <v/>
      </c>
      <c r="Q3" s="376">
        <f>SUMIFS(OA_SQL_1!$H:$H,OA_SQL_1!$A:$A,"DL")/SUMIFS(OA_SQL_1!$E:$E,OA_SQL_1!$A:$A,"DL")</f>
        <v/>
      </c>
      <c r="R3" s="376">
        <f>SUMIFS(OA_SQL_1!$H:$H,OA_SQL_1!$A:$A,"AA")/SUMIFS(OA_SQL_1!$E:$E,OA_SQL_1!$A:$A,"AA")</f>
        <v/>
      </c>
      <c r="S3" s="376" t="n"/>
      <c r="T3" s="51">
        <f>RANK(P3,P3:R3,0)</f>
        <v/>
      </c>
    </row>
    <row r="4">
      <c r="A4" s="43" t="inlineStr">
        <is>
          <t xml:space="preserve">CS D:00 </t>
        </is>
      </c>
      <c r="B4" s="344">
        <f>UA_SQL_1!Q2/UA_SQL_1!N2</f>
        <v/>
      </c>
      <c r="C4" s="132">
        <f>SUMIFS(OA_SQL_1!$K:$K,OA_SQL_1!$A:$A,"DL")/SUMIFS(OA_SQL_1!$J:$J,OA_SQL_1!$A:$A,"DL")</f>
        <v/>
      </c>
      <c r="D4" s="132">
        <f>SUMIFS(OA_SQL_1!$K:$K,OA_SQL_1!$A:$A,"AA")/SUMIFS(OA_SQL_1!$J:$J,OA_SQL_1!$A:$A,"AA")</f>
        <v/>
      </c>
      <c r="E4" s="376" t="n"/>
      <c r="F4" s="51">
        <f>RANK(B4,B4:D4,0)</f>
        <v/>
      </c>
      <c r="H4" s="43" t="inlineStr">
        <is>
          <t xml:space="preserve">CS D:00 </t>
        </is>
      </c>
      <c r="I4" s="344">
        <f>UA_SQL_1!X2/UA_SQL_1!U2</f>
        <v/>
      </c>
      <c r="J4" s="376">
        <f>SUMIF(OA_SQL_1!$A$1:$A$3,"DL",OA_SQL_1!$N$1:$N$3)/SUMIF(OA_SQL_1!$A$1:$A$3,"DL",OA_SQL_1!$M$1:$M$3)</f>
        <v/>
      </c>
      <c r="K4" s="376">
        <f>SUMIF(OA_SQL_1!$A$1:$A$3,"AA",OA_SQL_1!$N$1:$N$3)/SUMIF(OA_SQL_1!$A$1:$A$3,"AA",OA_SQL_1!$M$1:$M$3)</f>
        <v/>
      </c>
      <c r="L4" s="376" t="n"/>
      <c r="M4" s="51">
        <f>RANK(I4,I4:K4,0)</f>
        <v/>
      </c>
      <c r="N4" s="51" t="n"/>
      <c r="O4" s="43" t="inlineStr">
        <is>
          <t xml:space="preserve">CS D:00 </t>
        </is>
      </c>
      <c r="P4" s="377">
        <f>UA_SQL_1!$H$2/UA_SQL_1!$E$2</f>
        <v/>
      </c>
      <c r="Q4" s="267">
        <f>SUMIFS(OA_SQL_1!$F:$F,OA_SQL_1!$A:$A,"DL")/SUMIFS(OA_SQL_1!$E:$E,OA_SQL_1!$A:$A,"DL")</f>
        <v/>
      </c>
      <c r="R4" s="267">
        <f>SUMIFS(OA_SQL_1!$F:$F,OA_SQL_1!$A:$A,"AA")/SUMIFS(OA_SQL_1!$E:$E,OA_SQL_1!$A:$A,"AA")</f>
        <v/>
      </c>
      <c r="S4" s="376" t="n"/>
      <c r="T4" s="51">
        <f>RANK(P4,P4:R4,0)</f>
        <v/>
      </c>
    </row>
    <row r="5">
      <c r="A5" s="204" t="inlineStr">
        <is>
          <t>A14</t>
        </is>
      </c>
      <c r="B5" s="267">
        <f>(UA_SQL_1!$S$2/UA_SQL_1!$N$2)</f>
        <v/>
      </c>
      <c r="C5" s="132">
        <f>SUMIFS(OA_SQL_1!$N:$N,OA_SQL_1!$A:$A,"DL")/SUMIFS(OA_SQL_1!$J:$J,OA_SQL_1!$A:$A,"DL")</f>
        <v/>
      </c>
      <c r="D5" s="132">
        <f>SUMIFS(OA_SQL_1!$N:$N,OA_SQL_1!$A:$A,"AA")/SUMIFS(OA_SQL_1!$J:$J,OA_SQL_1!$A:$A,"AA")</f>
        <v/>
      </c>
      <c r="F5" s="51">
        <f>RANK(B5,B5:D5,0)</f>
        <v/>
      </c>
      <c r="O5" s="204" t="inlineStr">
        <is>
          <t>A14</t>
        </is>
      </c>
      <c r="P5" s="377">
        <f>UA_SQL_1!$J$2/UA_SQL_1!$E$2</f>
        <v/>
      </c>
      <c r="Q5" s="367">
        <f>SUMIFS(OA_SQL_1!$I:$I,OA_SQL_1!$A:$A,"DL")/SUMIFS(OA_SQL_1!$E:$E,OA_SQL_1!$A:$A,"DL")</f>
        <v/>
      </c>
      <c r="R5" s="367">
        <f>SUMIFS(OA_SQL_1!$I:$I,OA_SQL_1!$A:$A,"AA")/SUMIFS(OA_SQL_1!$E:$E,OA_SQL_1!$A:$A,"AA")</f>
        <v/>
      </c>
      <c r="T5" s="51">
        <f>RANK(P5,P5:R5,0)</f>
        <v/>
      </c>
    </row>
    <row r="6" ht="15" customHeight="1" s="286" thickBot="1"/>
    <row r="7" ht="15" customHeight="1" s="286" thickBot="1">
      <c r="A7" s="47" t="inlineStr">
        <is>
          <t>Market</t>
        </is>
      </c>
      <c r="B7" s="47" t="inlineStr">
        <is>
          <t>UA</t>
        </is>
      </c>
      <c r="C7" s="47" t="inlineStr">
        <is>
          <t>DL</t>
        </is>
      </c>
      <c r="D7" s="47" t="inlineStr">
        <is>
          <t>AA</t>
        </is>
      </c>
      <c r="E7" s="47" t="inlineStr">
        <is>
          <t>AS</t>
        </is>
      </c>
      <c r="F7" s="47" t="inlineStr">
        <is>
          <t>Rank_Yest</t>
        </is>
      </c>
      <c r="H7" s="47" t="inlineStr">
        <is>
          <t>Market</t>
        </is>
      </c>
      <c r="I7" s="47" t="inlineStr">
        <is>
          <t>UA</t>
        </is>
      </c>
      <c r="J7" s="47" t="inlineStr">
        <is>
          <t>DL</t>
        </is>
      </c>
      <c r="K7" s="47" t="inlineStr">
        <is>
          <t>AA</t>
        </is>
      </c>
      <c r="L7" s="47" t="inlineStr">
        <is>
          <t>AS</t>
        </is>
      </c>
      <c r="M7" s="47" t="inlineStr">
        <is>
          <t>Rank_DateMinus2</t>
        </is>
      </c>
      <c r="N7" s="113" t="n"/>
      <c r="O7" s="47" t="inlineStr">
        <is>
          <t>Market</t>
        </is>
      </c>
      <c r="P7" s="47" t="inlineStr">
        <is>
          <t>UA</t>
        </is>
      </c>
      <c r="Q7" s="47" t="inlineStr">
        <is>
          <t>DL</t>
        </is>
      </c>
      <c r="R7" s="47" t="inlineStr">
        <is>
          <t>AA</t>
        </is>
      </c>
      <c r="S7" s="47" t="inlineStr">
        <is>
          <t>AS</t>
        </is>
      </c>
      <c r="T7" s="47" t="inlineStr">
        <is>
          <t>Rank_MTD</t>
        </is>
      </c>
      <c r="V7" s="113" t="inlineStr">
        <is>
          <t>D:00</t>
        </is>
      </c>
    </row>
    <row r="8">
      <c r="A8" s="109" t="inlineStr">
        <is>
          <t>Denver</t>
        </is>
      </c>
      <c r="B8" s="351">
        <f>SUMIFS(UA_HUB_SQL_7!$K:$K,UA_HUB_SQL_7!$B:$B,RANK!$A8)/SUMIFS(UA_HUB_SQL_7!$F:$F,UA_HUB_SQL_7!$B:$B,RANK!$A8)</f>
        <v/>
      </c>
      <c r="C8" s="376" t="n"/>
      <c r="D8" s="376" t="n"/>
      <c r="E8" s="376" t="n"/>
      <c r="F8" s="51" t="n"/>
      <c r="H8" s="109" t="inlineStr">
        <is>
          <t>Denver</t>
        </is>
      </c>
      <c r="I8" s="351">
        <f>SUMIFS(UA_HUB_SQL_7!P:P,UA_HUB_SQL_7!B:B,RANK!H8)/SUMIFS(UA_HUB_SQL_7!M:M,UA_HUB_SQL_7!B:B,RANK!H8)</f>
        <v/>
      </c>
      <c r="J8" s="376" t="n"/>
      <c r="K8" s="376" t="n"/>
      <c r="L8" s="376" t="n"/>
      <c r="M8" s="51" t="n"/>
      <c r="N8" s="51" t="n"/>
      <c r="O8" s="109" t="inlineStr">
        <is>
          <t>Denver</t>
        </is>
      </c>
      <c r="P8" s="351">
        <f>SUMIFS(UA_HUB_SQL_7!$W:$W,UA_HUB_SQL_7!$B:$B,RANK!$O8)/SUMIFS(UA_HUB_SQL_7!$R:$R,UA_HUB_SQL_7!$B:$B,RANK!$O8)</f>
        <v/>
      </c>
      <c r="Q8" s="376" t="n"/>
      <c r="R8" s="376" t="n"/>
      <c r="S8" s="376" t="n"/>
      <c r="T8" s="51" t="n"/>
    </row>
    <row r="9">
      <c r="A9" s="109" t="inlineStr">
        <is>
          <t>New York</t>
        </is>
      </c>
      <c r="B9" s="351">
        <f>SUMIFS(UA_HUB_SQL_7!$K:$K,UA_HUB_SQL_7!$B:$B,RANK!$A9)/SUMIFS(UA_HUB_SQL_7!$F:$F,UA_HUB_SQL_7!$B:$B,RANK!$A9)</f>
        <v/>
      </c>
      <c r="C9" s="376">
        <f>(SUMIFS(OA_SQL_2!$K:$K,OA_SQL_2!$B:$B,"DL",OA_SQL_2!$A:$A,RANK!$A9)/SUMIFS(OA_SQL_2!$J:$J,OA_SQL_2!$B:$B,"DL",OA_SQL_2!$A:$A,RANK!$A9))</f>
        <v/>
      </c>
      <c r="D9" s="376">
        <f>(SUMIFS(OA_SQL_2!$K:$K,OA_SQL_2!$B:$B,"AA",OA_SQL_2!$A:$A,RANK!$A9)/SUMIFS(OA_SQL_2!$J:$J,OA_SQL_2!$B:$B,"AA",OA_SQL_2!$A:$A,RANK!$A9))</f>
        <v/>
      </c>
      <c r="E9" s="376" t="n"/>
      <c r="F9" s="51">
        <f>RANK(B9,B9:D9,0)</f>
        <v/>
      </c>
      <c r="H9" s="109" t="inlineStr">
        <is>
          <t>New York</t>
        </is>
      </c>
      <c r="I9" s="351">
        <f>SUMIFS(UA_HUB_SQL_7!P:P,UA_HUB_SQL_7!B:B,RANK!H9)/SUMIFS(UA_HUB_SQL_7!M:M,UA_HUB_SQL_7!B:B,RANK!H9)</f>
        <v/>
      </c>
      <c r="J9" s="376">
        <f>1-(IFERROR(SUMIFS(OA_SQL_2!O:O,OA_SQL_2!A:A,RANK!H9,OA_SQL_2!B:B,"DL")/SUMIFS(OA_SQL_2!N:N,OA_SQL_2!A:A,RANK!H9,OA_SQL_2!B:B,"DL"),"-"))</f>
        <v/>
      </c>
      <c r="K9" s="376">
        <f>1-(IFERROR(SUMIFS(OA_SQL_2!$O:$O,OA_SQL_2!$A:$A,RANK!H9,OA_SQL_2!$B:$B,"AA")/SUMIFS(OA_SQL_2!$N:$N,OA_SQL_2!$A:$A,RANK!H9,OA_SQL_2!$B:$B,"AA"),"-"))</f>
        <v/>
      </c>
      <c r="L9" s="376" t="n"/>
      <c r="M9" s="51">
        <f>RANK(I9,I9:K9,0)</f>
        <v/>
      </c>
      <c r="N9" s="51" t="n"/>
      <c r="O9" s="109" t="inlineStr">
        <is>
          <t>New York</t>
        </is>
      </c>
      <c r="P9" s="351">
        <f>SUMIFS(UA_HUB_SQL_7!$W:$W,UA_HUB_SQL_7!$B:$B,RANK!$O9)/SUMIFS(UA_HUB_SQL_7!$R:$R,UA_HUB_SQL_7!$B:$B,RANK!$O9)</f>
        <v/>
      </c>
      <c r="Q9" s="376">
        <f>SUMIFS(OA_SQL_2!$G:$G,OA_SQL_2!$B:$B,"DL",OA_SQL_2!$A:$A,RANK!$O9)/SUMIFS(OA_SQL_2!$F:$F,OA_SQL_2!$B:$B,"DL",OA_SQL_2!$A:$A,RANK!$O9)</f>
        <v/>
      </c>
      <c r="R9" s="376">
        <f>IFERROR((SUMIFS(OA_SQL_2!$K:$K,OA_SQL_2!$A:$A,RANK!O9,OA_SQL_2!$B:$B,"AA")/SUMIFS(OA_SQL_2!$J:$J,OA_SQL_2!$A:$A,O9,OA_SQL_2!$B:$B,"AA")),"-")</f>
        <v/>
      </c>
      <c r="S9" s="376" t="n"/>
      <c r="T9" s="51">
        <f>RANK(P9,P9:R9,0)</f>
        <v/>
      </c>
    </row>
    <row r="10">
      <c r="A10" s="110" t="inlineStr">
        <is>
          <t>Washington DC</t>
        </is>
      </c>
      <c r="B10" s="351">
        <f>SUMIFS(UA_HUB_SQL_7!$K:$K,UA_HUB_SQL_7!$B:$B,RANK!$A10)/SUMIFS(UA_HUB_SQL_7!$F:$F,UA_HUB_SQL_7!$B:$B,RANK!$A10)</f>
        <v/>
      </c>
      <c r="C10" s="376">
        <f>(SUMIFS(OA_SQL_2!$K:$K,OA_SQL_2!$B:$B,"DL",OA_SQL_2!$A:$A,RANK!$A10)/SUMIFS(OA_SQL_2!$J:$J,OA_SQL_2!$B:$B,"DL",OA_SQL_2!$A:$A,RANK!$A10))</f>
        <v/>
      </c>
      <c r="D10" s="376">
        <f>(SUMIFS(OA_SQL_2!$K:$K,OA_SQL_2!$B:$B,"AA",OA_SQL_2!$A:$A,RANK!$A10)/SUMIFS(OA_SQL_2!$J:$J,OA_SQL_2!$B:$B,"AA",OA_SQL_2!$A:$A,RANK!$A10))</f>
        <v/>
      </c>
      <c r="E10" s="376" t="n"/>
      <c r="F10" s="51">
        <f>RANK(B10,B10:D10,0)</f>
        <v/>
      </c>
      <c r="H10" s="110" t="inlineStr">
        <is>
          <t>Washington DC</t>
        </is>
      </c>
      <c r="I10" s="351">
        <f>SUMIFS(UA_HUB_SQL_7!P:P,UA_HUB_SQL_7!B:B,RANK!H10)/SUMIFS(UA_HUB_SQL_7!M:M,UA_HUB_SQL_7!B:B,RANK!H10)</f>
        <v/>
      </c>
      <c r="J10" s="376">
        <f>1-(IFERROR(SUMIFS(OA_SQL_2!O:O,OA_SQL_2!A:A,RANK!H10,OA_SQL_2!B:B,"DL")/SUMIFS(OA_SQL_2!N:N,OA_SQL_2!A:A,RANK!H10,OA_SQL_2!B:B,"DL"),"-"))</f>
        <v/>
      </c>
      <c r="K10" s="376">
        <f>1-(IFERROR(SUMIFS(OA_SQL_2!$O:$O,OA_SQL_2!$A:$A,RANK!H10,OA_SQL_2!$B:$B,"AA")/SUMIFS(OA_SQL_2!$N:$N,OA_SQL_2!$A:$A,RANK!H10,OA_SQL_2!$B:$B,"AA"),"-"))</f>
        <v/>
      </c>
      <c r="L10" s="376" t="n"/>
      <c r="M10" s="51">
        <f>RANK(I10,I10:K10,0)</f>
        <v/>
      </c>
      <c r="N10" s="51" t="n"/>
      <c r="O10" s="110" t="inlineStr">
        <is>
          <t>Washington DC</t>
        </is>
      </c>
      <c r="P10" s="351">
        <f>SUMIFS(UA_HUB_SQL_7!$W:$W,UA_HUB_SQL_7!$B:$B,RANK!$O10)/SUMIFS(UA_HUB_SQL_7!$R:$R,UA_HUB_SQL_7!$B:$B,RANK!$O10)</f>
        <v/>
      </c>
      <c r="Q10" s="376">
        <f>SUMIFS(OA_SQL_2!$G:$G,OA_SQL_2!$B:$B,"DL",OA_SQL_2!$A:$A,RANK!$O10)/SUMIFS(OA_SQL_2!$F:$F,OA_SQL_2!$B:$B,"DL",OA_SQL_2!$A:$A,RANK!$O10)</f>
        <v/>
      </c>
      <c r="R10" s="376">
        <f>IFERROR((SUMIFS(OA_SQL_2!$K:$K,OA_SQL_2!$A:$A,RANK!O10,OA_SQL_2!$B:$B,"AA")/SUMIFS(OA_SQL_2!$J:$J,OA_SQL_2!$A:$A,O10,OA_SQL_2!$B:$B,"AA")),"-")</f>
        <v/>
      </c>
      <c r="S10" s="376" t="n"/>
      <c r="T10" s="51">
        <f>RANK(P10,P10:R10,0)</f>
        <v/>
      </c>
    </row>
    <row r="11">
      <c r="A11" s="110" t="inlineStr">
        <is>
          <t>Texas</t>
        </is>
      </c>
      <c r="B11" s="351">
        <f>SUMIFS(UA_HUB_SQL_7!$K:$K,UA_HUB_SQL_7!$B:$B,RANK!$A11)/SUMIFS(UA_HUB_SQL_7!$F:$F,UA_HUB_SQL_7!$B:$B,RANK!$A11)</f>
        <v/>
      </c>
      <c r="C11" s="376">
        <f>IFERROR(SUMIFS(OA_SQL_2!$G:$G,OA_SQL_2!$B:$B,"DL",OA_SQL_2!$A:$A,'Pg2'!$T9)/SUMIFS(OA_SQL_2!$F:$F,OA_SQL_2!$B:$B,"DL",OA_SQL_2!$A:$A,'Pg2'!$T9),"-")</f>
        <v/>
      </c>
      <c r="D11" s="376">
        <f>(SUMIFS(OA_SQL_2!$K:$K,OA_SQL_2!$B:$B,"AA",OA_SQL_2!$A:$A,RANK!$A11)/SUMIFS(OA_SQL_2!$J:$J,OA_SQL_2!$B:$B,"AA",OA_SQL_2!$A:$A,RANK!$A11))</f>
        <v/>
      </c>
      <c r="E11" s="376" t="n"/>
      <c r="F11" s="51">
        <f>RANK(B11,B11:D11,0)</f>
        <v/>
      </c>
      <c r="H11" s="110" t="inlineStr">
        <is>
          <t>Texas</t>
        </is>
      </c>
      <c r="I11" s="351">
        <f>SUMIFS(UA_HUB_SQL_7!P:P,UA_HUB_SQL_7!B:B,RANK!H11)/SUMIFS(UA_HUB_SQL_7!M:M,UA_HUB_SQL_7!B:B,RANK!H11)</f>
        <v/>
      </c>
      <c r="J11" s="376" t="n"/>
      <c r="K11" s="376">
        <f>1-(IFERROR(SUMIFS(OA_SQL_2!$O:$O,OA_SQL_2!$A:$A,RANK!H11,OA_SQL_2!$B:$B,"AA")/SUMIFS(OA_SQL_2!$N:$N,OA_SQL_2!$A:$A,RANK!H11,OA_SQL_2!$B:$B,"AA"),"-"))</f>
        <v/>
      </c>
      <c r="L11" s="376" t="n"/>
      <c r="M11" s="51">
        <f>RANK(I11,I11:K11,0)</f>
        <v/>
      </c>
      <c r="N11" s="51" t="n"/>
      <c r="O11" s="110" t="inlineStr">
        <is>
          <t>Texas</t>
        </is>
      </c>
      <c r="P11" s="351">
        <f>SUMIFS(UA_HUB_SQL_7!$W:$W,UA_HUB_SQL_7!$B:$B,RANK!$O11)/SUMIFS(UA_HUB_SQL_7!$R:$R,UA_HUB_SQL_7!$B:$B,RANK!$O11)</f>
        <v/>
      </c>
      <c r="Q11" s="376" t="n"/>
      <c r="R11" s="376">
        <f>IFERROR((SUMIFS(OA_SQL_2!$K:$K,OA_SQL_2!$A:$A,RANK!O11,OA_SQL_2!$B:$B,"AA")/SUMIFS(OA_SQL_2!$J:$J,OA_SQL_2!$A:$A,O11,OA_SQL_2!$B:$B,"AA")),"-")</f>
        <v/>
      </c>
      <c r="S11" s="376" t="n"/>
      <c r="T11" s="51">
        <f>RANK(P11,P11:R11,0)</f>
        <v/>
      </c>
    </row>
    <row r="12">
      <c r="A12" s="109" t="inlineStr">
        <is>
          <t>Los Angeles</t>
        </is>
      </c>
      <c r="B12" s="351">
        <f>SUMIFS(UA_HUB_SQL_7!$K:$K,UA_HUB_SQL_7!$B:$B,RANK!$A12)/SUMIFS(UA_HUB_SQL_7!$F:$F,UA_HUB_SQL_7!$B:$B,RANK!$A12)</f>
        <v/>
      </c>
      <c r="C12" s="376">
        <f>(SUMIFS(OA_SQL_2!$K:$K,OA_SQL_2!$B:$B,"DL",OA_SQL_2!$A:$A,RANK!$A12)/SUMIFS(OA_SQL_2!$J:$J,OA_SQL_2!$B:$B,"DL",OA_SQL_2!$A:$A,RANK!$A12))</f>
        <v/>
      </c>
      <c r="D12" s="376">
        <f>(SUMIFS(OA_SQL_2!$K:$K,OA_SQL_2!$B:$B,"AA",OA_SQL_2!$A:$A,RANK!$A12)/SUMIFS(OA_SQL_2!$J:$J,OA_SQL_2!$B:$B,"AA",OA_SQL_2!$A:$A,RANK!$A12))</f>
        <v/>
      </c>
      <c r="E12" s="376" t="n"/>
      <c r="F12" s="51">
        <f>RANK(B12,B12:D12,0)</f>
        <v/>
      </c>
      <c r="H12" s="109" t="inlineStr">
        <is>
          <t>Los Angeles</t>
        </is>
      </c>
      <c r="I12" s="351">
        <f>SUMIFS(UA_HUB_SQL_7!P:P,UA_HUB_SQL_7!B:B,RANK!H12)/SUMIFS(UA_HUB_SQL_7!M:M,UA_HUB_SQL_7!B:B,RANK!H12)</f>
        <v/>
      </c>
      <c r="J12" s="376">
        <f>1-(IFERROR(SUMIFS(OA_SQL_2!O:O,OA_SQL_2!A:A,RANK!H12,OA_SQL_2!B:B,"DL")/SUMIFS(OA_SQL_2!N:N,OA_SQL_2!A:A,RANK!H12,OA_SQL_2!B:B,"DL"),"-"))</f>
        <v/>
      </c>
      <c r="K12" s="376">
        <f>IFERROR(SUMIFS(OA_SQL_2!$O:$O,OA_SQL_2!$A:$A,RANK!H12,OA_SQL_2!$B:$B,"AA")/SUMIFS(OA_SQL_2!$N:$N,OA_SQL_2!$A:$A,RANK!H12,OA_SQL_2!$B:$B,"AA"),"-")</f>
        <v/>
      </c>
      <c r="L12" s="376" t="n"/>
      <c r="M12" s="51">
        <f>RANK(I12,I12:K12,0)</f>
        <v/>
      </c>
      <c r="N12" s="51" t="n"/>
      <c r="O12" s="109" t="inlineStr">
        <is>
          <t>Los Angeles</t>
        </is>
      </c>
      <c r="P12" s="351">
        <f>SUMIFS(UA_HUB_SQL_7!$W:$W,UA_HUB_SQL_7!$B:$B,RANK!$O12)/SUMIFS(UA_HUB_SQL_7!$R:$R,UA_HUB_SQL_7!$B:$B,RANK!$O12)</f>
        <v/>
      </c>
      <c r="Q12" s="376">
        <f>SUMIFS(OA_SQL_2!$G:$G,OA_SQL_2!$B:$B,"DL",OA_SQL_2!$A:$A,RANK!$O12)/SUMIFS(OA_SQL_2!$F:$F,OA_SQL_2!$B:$B,"DL",OA_SQL_2!$A:$A,RANK!$O12)</f>
        <v/>
      </c>
      <c r="R12" s="376">
        <f>IFERROR((SUMIFS(OA_SQL_2!$K:$K,OA_SQL_2!$A:$A,RANK!O12,OA_SQL_2!$B:$B,"AA")/SUMIFS(OA_SQL_2!$J:$J,OA_SQL_2!$A:$A,O12,OA_SQL_2!$B:$B,"AA")),"-")</f>
        <v/>
      </c>
      <c r="S12" s="376" t="n"/>
      <c r="T12" s="51">
        <f>RANK(P12,P12:R12,0)</f>
        <v/>
      </c>
    </row>
    <row r="13">
      <c r="A13" s="110" t="inlineStr">
        <is>
          <t>Chicago</t>
        </is>
      </c>
      <c r="B13" s="351">
        <f>SUMIFS(UA_HUB_SQL_7!$K:$K,UA_HUB_SQL_7!$B:$B,RANK!$A13)/SUMIFS(UA_HUB_SQL_7!$F:$F,UA_HUB_SQL_7!$B:$B,RANK!$A13)</f>
        <v/>
      </c>
      <c r="C13" s="376">
        <f>"-"</f>
        <v/>
      </c>
      <c r="D13" s="376">
        <f>(SUMIFS(OA_SQL_2!$K:$K,OA_SQL_2!$B:$B,"AA",OA_SQL_2!$A:$A,RANK!$A13)/SUMIFS(OA_SQL_2!$J:$J,OA_SQL_2!$B:$B,"AA",OA_SQL_2!$A:$A,RANK!$A13))</f>
        <v/>
      </c>
      <c r="E13" s="376" t="n"/>
      <c r="F13" s="51">
        <f>RANK(B13,B13:D13,0)</f>
        <v/>
      </c>
      <c r="H13" s="110" t="inlineStr">
        <is>
          <t>Chicago</t>
        </is>
      </c>
      <c r="I13" s="351">
        <f>SUMIFS(UA_HUB_SQL_7!P:P,UA_HUB_SQL_7!B:B,RANK!H13)/SUMIFS(UA_HUB_SQL_7!M:M,UA_HUB_SQL_7!B:B,RANK!H13)</f>
        <v/>
      </c>
      <c r="J13" s="376" t="n"/>
      <c r="K13" s="376">
        <f>IFERROR(SUMIFS(OA_SQL_2!$O:$O,OA_SQL_2!$A:$A,RANK!H13,OA_SQL_2!$B:$B,"AA")/SUMIFS(OA_SQL_2!$N:$N,OA_SQL_2!$A:$A,RANK!H13,OA_SQL_2!$B:$B,"AA"),"-")</f>
        <v/>
      </c>
      <c r="L13" s="376" t="n"/>
      <c r="M13" s="51">
        <f>RANK(I13,I13:K13,0)</f>
        <v/>
      </c>
      <c r="N13" s="51" t="n"/>
      <c r="O13" s="110" t="inlineStr">
        <is>
          <t>Chicago</t>
        </is>
      </c>
      <c r="P13" s="351">
        <f>SUMIFS(UA_HUB_SQL_7!$W:$W,UA_HUB_SQL_7!$B:$B,RANK!$O13)/SUMIFS(UA_HUB_SQL_7!$R:$R,UA_HUB_SQL_7!$B:$B,RANK!$O13)</f>
        <v/>
      </c>
      <c r="Q13" s="376" t="n"/>
      <c r="R13" s="376">
        <f>IFERROR((SUMIFS(OA_SQL_2!$K:$K,OA_SQL_2!$A:$A,RANK!O13,OA_SQL_2!$B:$B,"AA")/SUMIFS(OA_SQL_2!$J:$J,OA_SQL_2!$A:$A,O13,OA_SQL_2!$B:$B,"AA")),"-")</f>
        <v/>
      </c>
      <c r="S13" s="376" t="n"/>
      <c r="T13" s="51">
        <f>RANK(P13,P13:R13,0)</f>
        <v/>
      </c>
    </row>
    <row r="14">
      <c r="A14" s="109" t="inlineStr">
        <is>
          <t>San Francisco</t>
        </is>
      </c>
      <c r="B14" s="351">
        <f>SUMIFS(UA_HUB_SQL_7!$K:$K,UA_HUB_SQL_7!$B:$B,RANK!$A14)/SUMIFS(UA_HUB_SQL_7!$F:$F,UA_HUB_SQL_7!$B:$B,RANK!$A14)</f>
        <v/>
      </c>
      <c r="C14" s="376">
        <f>"-"</f>
        <v/>
      </c>
      <c r="D14" s="376">
        <f>"-"</f>
        <v/>
      </c>
      <c r="E14" s="376">
        <f>SUMIFS(OA_SQL_2!$K:$K,OA_SQL_2!$B:$B,"AS",OA_SQL_2!$A:$A,RANK!$A14)/SUMIFS(OA_SQL_2!$J:$J,OA_SQL_2!$B:$B,"AS",OA_SQL_2!$A:$A,RANK!$A14)</f>
        <v/>
      </c>
      <c r="F14" s="51">
        <f>RANK(B14,B14:E14,0)</f>
        <v/>
      </c>
      <c r="H14" s="109" t="inlineStr">
        <is>
          <t>San Francisco</t>
        </is>
      </c>
      <c r="I14" s="351">
        <f>SUMIFS(UA_HUB_SQL_7!P:P,UA_HUB_SQL_7!B:B,RANK!H14)/SUMIFS(UA_HUB_SQL_7!M:M,UA_HUB_SQL_7!B:B,RANK!H14)</f>
        <v/>
      </c>
      <c r="J14" s="376" t="n"/>
      <c r="K14" s="376" t="n"/>
      <c r="L14" s="376">
        <f>SUMIFS(OA_SQL_2!O:O,OA_SQL_2!A:A,RANK!H14,OA_SQL_2!B:B,RANK!L7)/SUMIFS(OA_SQL_2!N:N,OA_SQL_2!A:A,RANK!H14,OA_SQL_2!B:B,RANK!L7)</f>
        <v/>
      </c>
      <c r="M14" s="51">
        <f>RANK(I14,I14:L14,0)</f>
        <v/>
      </c>
      <c r="N14" s="51" t="n"/>
      <c r="O14" s="109" t="inlineStr">
        <is>
          <t>San Francisco</t>
        </is>
      </c>
      <c r="P14" s="351">
        <f>SUMIFS(UA_HUB_SQL_7!$W:$W,UA_HUB_SQL_7!$B:$B,RANK!$O14)/SUMIFS(UA_HUB_SQL_7!$R:$R,UA_HUB_SQL_7!$B:$B,RANK!$O14)</f>
        <v/>
      </c>
      <c r="Q14" s="376" t="n"/>
      <c r="R14" s="376" t="n"/>
      <c r="S14" s="376">
        <f>IFERROR(SUMIFS(OA_SQL_2!X:X,OA_SQL_2!N:N,RANK!O14,OA_SQL_2!O:O,RANK!S7)/SUMIFS(OA_SQL_2!W:W,OA_SQL_2!N:N,RANK!O14,OA_SQL_2!O:O,RANK!S7),"-")</f>
        <v/>
      </c>
      <c r="T14" s="51">
        <f>RANK(P14,P14:S14,0)</f>
        <v/>
      </c>
    </row>
    <row r="15">
      <c r="A15" s="109" t="inlineStr">
        <is>
          <t>Line</t>
        </is>
      </c>
      <c r="B15" s="351">
        <f>SUMIFS(UA_HUB_SQL_7!$K:$K,UA_HUB_SQL_7!$B:$B,RANK!$A15)/SUMIFS(UA_HUB_SQL_7!$F:$F,UA_HUB_SQL_7!$B:$B,RANK!$A15)</f>
        <v/>
      </c>
      <c r="C15" s="376">
        <f>(SUMIFS(OA_SQL_2!$K:$K,OA_SQL_2!$B:$B,"DL",OA_SQL_2!$A:$A,RANK!$A15)/SUMIFS(OA_SQL_2!$J:$J,OA_SQL_2!$B:$B,"DL",OA_SQL_2!$A:$A,RANK!$A15))</f>
        <v/>
      </c>
      <c r="D15" s="376">
        <f>(SUMIFS(OA_SQL_2!$K:$K,OA_SQL_2!$B:$B,"AA",OA_SQL_2!$A:$A,RANK!$A15)/SUMIFS(OA_SQL_2!$J:$J,OA_SQL_2!$B:$B,"AA",OA_SQL_2!$A:$A,RANK!$A15))</f>
        <v/>
      </c>
      <c r="E15" s="376">
        <f>SUMIFS(OA_SQL_2!$K:$K,OA_SQL_2!$B:$B,"AS",OA_SQL_2!$A:$A,RANK!$A15)/SUMIFS(OA_SQL_2!$J:$J,OA_SQL_2!$B:$B,"AS",OA_SQL_2!$A:$A,RANK!$A15)</f>
        <v/>
      </c>
      <c r="F15" s="51">
        <f>RANK(B15,B15:E15,0)</f>
        <v/>
      </c>
      <c r="H15" s="109" t="inlineStr">
        <is>
          <t>Line</t>
        </is>
      </c>
      <c r="I15" s="351">
        <f>SUMIFS(UA_HUB_SQL_7!P:P,UA_HUB_SQL_7!B:B,RANK!H15)/SUMIFS(UA_HUB_SQL_7!M:M,UA_HUB_SQL_7!B:B,RANK!H15)</f>
        <v/>
      </c>
      <c r="J15" s="376">
        <f>IFERROR(SUMIFS(OA_SQL_2!O:O,OA_SQL_2!A:A,RANK!H15,OA_SQL_2!B:B,"DL")/SUMIFS(OA_SQL_2!N:N,OA_SQL_2!A:A,RANK!H15,OA_SQL_2!B:B,"DL"),"-")</f>
        <v/>
      </c>
      <c r="K15" s="376">
        <f>IFERROR(SUMIFS(OA_SQL_2!$O:$O,OA_SQL_2!$A:$A,RANK!H15,OA_SQL_2!$B:$B,"AA")/SUMIFS(OA_SQL_2!$N:$N,OA_SQL_2!$A:$A,RANK!H15,OA_SQL_2!$B:$B,"AA"),"-")</f>
        <v/>
      </c>
      <c r="L15" s="376">
        <f>IFERROR(SUMIFS(OA_SQL_2!O:O,OA_SQL_2!A:A,RANK!H15,OA_SQL_2!B:B,RANK!L7)/SUMIFS(OA_SQL_2!N:N,OA_SQL_2!A:A,RANK!H15,OA_SQL_2!B:B,RANK!L7),"-")</f>
        <v/>
      </c>
      <c r="M15" s="51">
        <f>RANK(I15,I15:L15,0)</f>
        <v/>
      </c>
      <c r="N15" s="51" t="n"/>
      <c r="O15" s="109" t="inlineStr">
        <is>
          <t>Line</t>
        </is>
      </c>
      <c r="P15" s="351">
        <f>SUMIFS(UA_HUB_SQL_7!$W:$W,UA_HUB_SQL_7!$B:$B,RANK!$O15)/SUMIFS(UA_HUB_SQL_7!$R:$R,UA_HUB_SQL_7!$B:$B,RANK!$O15)</f>
        <v/>
      </c>
      <c r="Q15" s="376">
        <f>SUMIFS(OA_SQL_2!$G:$G,OA_SQL_2!$B:$B,"DL",OA_SQL_2!$A:$A,RANK!$O15)/SUMIFS(OA_SQL_2!$F:$F,OA_SQL_2!$B:$B,"DL",OA_SQL_2!$A:$A,RANK!$O15)</f>
        <v/>
      </c>
      <c r="R15" s="376">
        <f>IFERROR((SUMIFS(OA_SQL_2!$K:$K,OA_SQL_2!$A:$A,RANK!O15,OA_SQL_2!$B:$B,"AA")/SUMIFS(OA_SQL_2!$J:$J,OA_SQL_2!$A:$A,O15,OA_SQL_2!$B:$B,"AA")),"-")</f>
        <v/>
      </c>
      <c r="S15" s="376">
        <f>IFERROR(SUMIFS(OA_SQL_2!X:X,OA_SQL_2!N:N,RANK!O15,OA_SQL_2!O:O,RANK!S7)/SUMIFS(OA_SQL_2!W:W,OA_SQL_2!N:N,RANK!O15,OA_SQL_2!O:O,RANK!S7),"-")</f>
        <v/>
      </c>
      <c r="T15" s="51">
        <f>RANK(P15,P15:S15,0)</f>
        <v/>
      </c>
    </row>
    <row r="16">
      <c r="A16" s="211" t="inlineStr">
        <is>
          <t>Line Int</t>
        </is>
      </c>
      <c r="B16" s="374">
        <f>SUMIFS(UA_Line!$J:$J,UA_Line!$B:$B,"Line Int")/SUMIFS(UA_Line!$F:$F,UA_Line!$B:$B,"Line Int")</f>
        <v/>
      </c>
      <c r="C16" s="374">
        <f>(SUMIFS(OA_Line!$E:$E,OA_Line!$A:$A,"Line Int",OA_Line!$B:$B,"DL")/SUMIFS(OA_Line!$D:$D,OA_Line!$A:$A,"Line Int",OA_Line!$B:$B,"DL"))</f>
        <v/>
      </c>
      <c r="D16" s="374">
        <f>(SUMIFS(OA_Line!$E:$E,OA_Line!$B:$B,"AA",OA_Line!$A:$A,"Line Int")/SUMIFS(OA_Line!$D:$D,OA_Line!$B:$B,"AA",OA_Line!$A:$A,"Line Int"))</f>
        <v/>
      </c>
      <c r="F16">
        <f>RANK(B16,B16:D16,0)</f>
        <v/>
      </c>
      <c r="I16" s="351" t="n"/>
      <c r="Q16" s="267" t="n"/>
      <c r="R16" s="267" t="n"/>
    </row>
    <row r="17" ht="15" customHeight="1" s="286" thickBot="1">
      <c r="A17" s="211" t="inlineStr">
        <is>
          <t>Line Dom'</t>
        </is>
      </c>
      <c r="B17" s="374">
        <f>SUMIFS(UA_Line!$J:$J,UA_Line!$B:$B,"Line Dom")/SUMIFS(UA_Line!$F:$F,UA_Line!$B:$B,"Line Dom")</f>
        <v/>
      </c>
      <c r="C17" s="374">
        <f>(SUMIFS(OA_Line!$E:$E,OA_Line!$B:$B,"DL",OA_Line!$A:$A,"Line Dom")/SUMIFS(OA_Line!$D:$D,OA_Line!$B:$B,"DL",OA_Line!$A:$A,"Line Dom"))</f>
        <v/>
      </c>
      <c r="D17" s="374">
        <f>(SUMIFS(OA_Line!$E:$E,OA_Line!$B:$B,"AA",OA_Line!$A:$A,"Line Dom")/SUMIFS(OA_Line!$D:$D,OA_Line!$B:$B,"AA",OA_Line!$A:$A,"Line Dom"))</f>
        <v/>
      </c>
      <c r="F17">
        <f>RANK(B17,B17:D17,0)</f>
        <v/>
      </c>
      <c r="I17" s="378" t="n"/>
    </row>
    <row r="18" ht="15" customHeight="1" s="286" thickBot="1">
      <c r="A18" s="47" t="inlineStr">
        <is>
          <t>Market</t>
        </is>
      </c>
      <c r="B18" s="47" t="inlineStr">
        <is>
          <t>UA</t>
        </is>
      </c>
      <c r="C18" s="47" t="inlineStr">
        <is>
          <t>DL</t>
        </is>
      </c>
      <c r="D18" s="47" t="inlineStr">
        <is>
          <t>AA</t>
        </is>
      </c>
      <c r="E18" s="47" t="inlineStr">
        <is>
          <t>AS</t>
        </is>
      </c>
      <c r="F18" s="47" t="inlineStr">
        <is>
          <t>Rank_Yest</t>
        </is>
      </c>
      <c r="H18" s="47" t="inlineStr">
        <is>
          <t>Market</t>
        </is>
      </c>
      <c r="I18" s="47" t="inlineStr">
        <is>
          <t>UA</t>
        </is>
      </c>
      <c r="J18" s="47" t="inlineStr">
        <is>
          <t>DL</t>
        </is>
      </c>
      <c r="K18" s="47" t="inlineStr">
        <is>
          <t>AA</t>
        </is>
      </c>
      <c r="L18" s="47" t="inlineStr">
        <is>
          <t>AS</t>
        </is>
      </c>
      <c r="M18" s="47" t="inlineStr">
        <is>
          <t>Rank_DateMinus2</t>
        </is>
      </c>
      <c r="N18" s="113" t="n"/>
      <c r="O18" s="47" t="inlineStr">
        <is>
          <t>Market</t>
        </is>
      </c>
      <c r="P18" s="47" t="inlineStr">
        <is>
          <t>UA</t>
        </is>
      </c>
      <c r="Q18" s="47" t="inlineStr">
        <is>
          <t>DL</t>
        </is>
      </c>
      <c r="R18" s="47" t="inlineStr">
        <is>
          <t>AA</t>
        </is>
      </c>
      <c r="S18" s="47" t="inlineStr">
        <is>
          <t>AS</t>
        </is>
      </c>
      <c r="T18" s="47" t="inlineStr">
        <is>
          <t>Rank_MTD</t>
        </is>
      </c>
      <c r="V18" s="113" t="inlineStr">
        <is>
          <t>Completion</t>
        </is>
      </c>
    </row>
    <row r="19">
      <c r="A19" s="109" t="inlineStr">
        <is>
          <t>Denver</t>
        </is>
      </c>
      <c r="B19" s="374">
        <f>SUMIFS(UA_HUB_SQL_7!$G:$G,UA_HUB_SQL_7!$B:$B,'Pg2'!$T6)/SUMIFS(UA_HUB_SQL_7!$F:$F,UA_HUB_SQL_7!$B:$B,'Pg2'!$T6)</f>
        <v/>
      </c>
      <c r="C19" s="376" t="n"/>
      <c r="D19" s="376" t="n"/>
      <c r="E19" s="376" t="n"/>
      <c r="F19" s="51" t="n"/>
      <c r="H19" s="109" t="inlineStr">
        <is>
          <t>Denver</t>
        </is>
      </c>
      <c r="I19" s="351">
        <f>SUMIFS(UA_HUB_SQL_7!M:M,UA_HUB_SQL_7!B:B,RANK!H19)/SUMIFS(UA_HUB_SQL_7!L:L,UA_HUB_SQL_7!B:B,RANK!H19)</f>
        <v/>
      </c>
      <c r="J19" s="376">
        <f>IFERROR(SUMIFS(OA_SQL_2!$P:$P,OA_SQL_2!$A:$A,RANK!$H$19,OA_SQL_2!$B:$B,"DL")/SUMIFS(OA_SQL_2!$N:$N,OA_SQL_2!$A:$A,RANK!$H$19,OA_SQL_2!$B:$B,"DL"),"-")</f>
        <v/>
      </c>
      <c r="K19" s="376" t="n"/>
      <c r="L19" s="376" t="n"/>
      <c r="M19" s="51">
        <f>RANK(I19,I19:K19,0)</f>
        <v/>
      </c>
      <c r="N19" s="51" t="n"/>
      <c r="O19" s="109" t="inlineStr">
        <is>
          <t>New York</t>
        </is>
      </c>
      <c r="P19" s="351">
        <f>SUMIFS(UA_HUB_SQL_7!T:T,UA_HUB_SQL_7!O:O,O19)/SUMIFS(UA_HUB_SQL_7!S:S,UA_HUB_SQL_7!O:O,O19)</f>
        <v/>
      </c>
      <c r="Q19" s="376">
        <f>IFERROR(SUMIFS(OA_SQL_2!$L:$L,OA_SQL_2!$A:$A,PAGE_1_old!O19,OA_SQL_2!$B:$B,"DL")/SUMIFS(OA_SQL_2!$J:$J,OA_SQL_2!$A:$A,PAGE_1_old!O19,OA_SQL_2!$B:$B,"DL"),"-")</f>
        <v/>
      </c>
      <c r="R19" s="376">
        <f>IFERROR(SUMIFS(OA_SQL_2!$L:$L,OA_SQL_2!$A:$A,PAGE_1_old!O19,OA_SQL_2!$B:$B,"AA")/SUMIFS(OA_SQL_2!$J:$J,OA_SQL_2!$A:$A,PAGE_1_old!O19,OA_SQL_2!$B:$B,"AA"),"-")</f>
        <v/>
      </c>
      <c r="S19" s="376" t="n"/>
      <c r="T19" s="51">
        <f>RANK(P19,P19:R19,0)</f>
        <v/>
      </c>
    </row>
    <row r="20">
      <c r="A20" s="109" t="inlineStr">
        <is>
          <t>New York</t>
        </is>
      </c>
      <c r="B20" s="374">
        <f>SUMIFS(UA_HUB_SQL_7!$G:$G,UA_HUB_SQL_7!$B:$B,'Pg2'!$T7)/SUMIFS(UA_HUB_SQL_7!$F:$F,UA_HUB_SQL_7!$B:$B,'Pg2'!$T7)</f>
        <v/>
      </c>
      <c r="C20" s="376">
        <f>1-(SUMIFS(OA_SQL_2!$L:$L,OA_SQL_2!$B:$B,"DL",OA_SQL_2!$A:$A,'Pg2'!$T7)/SUMIFS(OA_SQL_2!$J:$J,OA_SQL_2!$B:$B,"DL",OA_SQL_2!$A:$A,'Pg2'!$T7))</f>
        <v/>
      </c>
      <c r="D20" s="376">
        <f>1-(SUMIFS(OA_SQL_2!$L:$L,OA_SQL_2!$B:$B,"AA",OA_SQL_2!$A:$A,'Pg2'!$T7)/SUMIFS(OA_SQL_2!$J:$J,OA_SQL_2!$B:$B,"AA",OA_SQL_2!$A:$A,'Pg2'!$T7))</f>
        <v/>
      </c>
      <c r="E20" s="376" t="n"/>
      <c r="F20" s="51">
        <f>RANK(B20,B20:D20,1)</f>
        <v/>
      </c>
      <c r="H20" s="109" t="inlineStr">
        <is>
          <t>New York</t>
        </is>
      </c>
      <c r="I20" s="351">
        <f>SUMIFS(UA_HUB_SQL_7!M:M,UA_HUB_SQL_7!B:B,RANK!H20)/SUMIFS(UA_HUB_SQL_7!L:L,UA_HUB_SQL_7!B:B,RANK!H20)</f>
        <v/>
      </c>
      <c r="J20" s="376">
        <f>IFERROR(SUMIFS(OA_SQL_2!P:P,OA_SQL_2!A:A,RANK!H20,OA_SQL_2!B:B,"DL")/SUMIFS(OA_SQL_2!N:N,OA_SQL_2!A:A,RANK!H20,OA_SQL_2!B:B,"DL"),"-")</f>
        <v/>
      </c>
      <c r="K20" s="376">
        <f>IFERROR(SUMIFS(OA_SQL_2!P:P,OA_SQL_2!A:A,RANK!H20,OA_SQL_2!B:B,"AA")/SUMIFS(OA_SQL_2!N:N,OA_SQL_2!A:A,RANK!H20,OA_SQL_2!B:B,"AA"),"-")</f>
        <v/>
      </c>
      <c r="L20" s="376" t="n"/>
      <c r="M20" s="51">
        <f>RANK(I20,I20:K20,0)</f>
        <v/>
      </c>
      <c r="N20" s="51" t="n"/>
      <c r="O20" s="109" t="inlineStr">
        <is>
          <t>Washington DC</t>
        </is>
      </c>
      <c r="P20" s="351">
        <f>SUMIFS(UA_HUB_SQL_7!T:T,UA_HUB_SQL_7!O:O,O20)/SUMIFS(UA_HUB_SQL_7!S:S,UA_HUB_SQL_7!O:O,O20)</f>
        <v/>
      </c>
      <c r="Q20" s="376">
        <f>IFERROR(SUMIFS(OA_SQL_2!$L:$L,OA_SQL_2!$A:$A,PAGE_1_old!O20,OA_SQL_2!$B:$B,"DL")/SUMIFS(OA_SQL_2!$J:$J,OA_SQL_2!$A:$A,PAGE_1_old!O20,OA_SQL_2!$B:$B,"DL"),"-")</f>
        <v/>
      </c>
      <c r="R20" s="376">
        <f>IFERROR(SUMIFS(OA_SQL_2!$L:$L,OA_SQL_2!$A:$A,PAGE_1_old!O20,OA_SQL_2!$B:$B,"AA")/SUMIFS(OA_SQL_2!$J:$J,OA_SQL_2!$A:$A,PAGE_1_old!O20,OA_SQL_2!$B:$B,"AA"),"-")</f>
        <v/>
      </c>
      <c r="S20" s="376" t="n"/>
      <c r="T20" s="51">
        <f>RANK(P20,P20:R20,0)</f>
        <v/>
      </c>
    </row>
    <row r="21">
      <c r="A21" s="110" t="inlineStr">
        <is>
          <t>Washington DC</t>
        </is>
      </c>
      <c r="B21" s="374">
        <f>SUMIFS(UA_HUB_SQL_7!$G:$G,UA_HUB_SQL_7!$B:$B,'Pg2'!$T8)/SUMIFS(UA_HUB_SQL_7!$F:$F,UA_HUB_SQL_7!$B:$B,'Pg2'!$T8)</f>
        <v/>
      </c>
      <c r="C21" s="376">
        <f>1-(SUMIFS(OA_SQL_2!$L:$L,OA_SQL_2!$B:$B,"DL",OA_SQL_2!$A:$A,'Pg2'!$T8)/SUMIFS(OA_SQL_2!$J:$J,OA_SQL_2!$B:$B,"DL",OA_SQL_2!$A:$A,'Pg2'!$T8))</f>
        <v/>
      </c>
      <c r="D21" s="376">
        <f>1-(SUMIFS(OA_SQL_2!$L:$L,OA_SQL_2!$B:$B,"AA",OA_SQL_2!$A:$A,'Pg2'!$T8)/SUMIFS(OA_SQL_2!$J:$J,OA_SQL_2!$B:$B,"AA",OA_SQL_2!$A:$A,'Pg2'!$T8))</f>
        <v/>
      </c>
      <c r="E21" s="376" t="n"/>
      <c r="F21" s="51">
        <f>RANK(B21,B21:D21,1)</f>
        <v/>
      </c>
      <c r="H21" s="110" t="inlineStr">
        <is>
          <t>Washington DC</t>
        </is>
      </c>
      <c r="I21" s="351">
        <f>SUMIFS(UA_HUB_SQL_7!M:M,UA_HUB_SQL_7!B:B,RANK!H21)/SUMIFS(UA_HUB_SQL_7!L:L,UA_HUB_SQL_7!B:B,RANK!H21)</f>
        <v/>
      </c>
      <c r="J21" s="376">
        <f>IFERROR(SUMIFS(OA_SQL_2!P:P,OA_SQL_2!A:A,RANK!H21,OA_SQL_2!B:B,"DL")/SUMIFS(OA_SQL_2!N:N,OA_SQL_2!A:A,RANK!H21,OA_SQL_2!B:B,"DL"),"-")</f>
        <v/>
      </c>
      <c r="K21" s="376">
        <f>IFERROR(SUMIFS(OA_SQL_2!P:P,OA_SQL_2!A:A,RANK!H21,OA_SQL_2!B:B,"AA")/SUMIFS(OA_SQL_2!N:N,OA_SQL_2!A:A,RANK!H21,OA_SQL_2!B:B,"AA"),"-")</f>
        <v/>
      </c>
      <c r="L21" s="376" t="n"/>
      <c r="M21" s="51">
        <f>RANK(I21,I21:K21,0)</f>
        <v/>
      </c>
      <c r="N21" s="51" t="n"/>
      <c r="O21" s="110" t="inlineStr">
        <is>
          <t>Texas</t>
        </is>
      </c>
      <c r="P21" s="351">
        <f>SUMIFS(UA_HUB_SQL_7!T:T,UA_HUB_SQL_7!O:O,O21)/SUMIFS(UA_HUB_SQL_7!S:S,UA_HUB_SQL_7!O:O,O21)</f>
        <v/>
      </c>
      <c r="Q21" s="376" t="n"/>
      <c r="R21" s="376">
        <f>IFERROR(SUMIFS(OA_SQL_2!$L:$L,OA_SQL_2!$A:$A,O21,OA_SQL_2!$B:$B,"AA")/SUMIFS(OA_SQL_2!$J:$J,OA_SQL_2!$A:$A,O21,OA_SQL_2!$B:$B,"AA"),"-")</f>
        <v/>
      </c>
      <c r="S21" s="376" t="n"/>
      <c r="T21" s="51">
        <f>RANK(P21,P21:R21,0)</f>
        <v/>
      </c>
    </row>
    <row r="22">
      <c r="A22" s="110" t="inlineStr">
        <is>
          <t>Texas</t>
        </is>
      </c>
      <c r="B22" s="374">
        <f>SUMIFS(UA_HUB_SQL_7!$G:$G,UA_HUB_SQL_7!$B:$B,'Pg2'!$T9)/SUMIFS(UA_HUB_SQL_7!$F:$F,UA_HUB_SQL_7!$B:$B,'Pg2'!$T9)</f>
        <v/>
      </c>
      <c r="C22" s="376" t="inlineStr">
        <is>
          <t>-</t>
        </is>
      </c>
      <c r="D22" s="376">
        <f>1-(SUMIFS(OA_SQL_2!$L:$L,OA_SQL_2!$B:$B,"AA",OA_SQL_2!$A:$A,'Pg2'!$T9)/SUMIFS(OA_SQL_2!$J:$J,OA_SQL_2!$B:$B,"AA",OA_SQL_2!$A:$A,'Pg2'!$T9))</f>
        <v/>
      </c>
      <c r="E22" s="376" t="n"/>
      <c r="F22" s="51">
        <f>RANK(B22,B22:D22,1)</f>
        <v/>
      </c>
      <c r="H22" s="110" t="inlineStr">
        <is>
          <t>Texas</t>
        </is>
      </c>
      <c r="I22" s="351">
        <f>SUMIFS(UA_HUB_SQL_7!M:M,UA_HUB_SQL_7!B:B,RANK!H22)/SUMIFS(UA_HUB_SQL_7!L:L,UA_HUB_SQL_7!B:B,RANK!H22)</f>
        <v/>
      </c>
      <c r="J22" s="376" t="n"/>
      <c r="K22" s="376">
        <f>IFERROR(SUMIFS(OA_SQL_2!P:P,OA_SQL_2!A:A,RANK!H22,OA_SQL_2!B:B,"AA")/SUMIFS(OA_SQL_2!N:N,OA_SQL_2!A:A,RANK!H22,OA_SQL_2!B:B,"AA"),"-")</f>
        <v/>
      </c>
      <c r="L22" s="376" t="n"/>
      <c r="M22" s="51">
        <f>RANK(I22,I22:K22,0)</f>
        <v/>
      </c>
      <c r="N22" s="51" t="n"/>
      <c r="O22" s="110" t="inlineStr">
        <is>
          <t>Los Angeles</t>
        </is>
      </c>
      <c r="P22" s="351">
        <f>SUMIFS(UA_HUB_SQL_7!T:T,UA_HUB_SQL_7!O:O,O22)/SUMIFS(UA_HUB_SQL_7!S:S,UA_HUB_SQL_7!O:O,O22)</f>
        <v/>
      </c>
      <c r="Q22" s="376">
        <f>IFERROR(SUMIFS(OA_SQL_2!$L:$L,OA_SQL_2!$A:$A,PAGE_1_old!O22,OA_SQL_2!$B:$B,"DL")/SUMIFS(OA_SQL_2!$J:$J,OA_SQL_2!$A:$A,PAGE_1_old!O22,OA_SQL_2!$B:$B,"DL"),"-")</f>
        <v/>
      </c>
      <c r="R22" s="376">
        <f>IFERROR(SUMIFS(OA_SQL_2!$L:$L,OA_SQL_2!$A:$A,PAGE_1_old!O22,OA_SQL_2!$B:$B,"AA")/SUMIFS(OA_SQL_2!$J:$J,OA_SQL_2!$A:$A,PAGE_1_old!O22,OA_SQL_2!$B:$B,"AA"),"-")</f>
        <v/>
      </c>
      <c r="S22" s="376" t="n"/>
      <c r="T22" s="51">
        <f>RANK(P22,P22:R22,0)</f>
        <v/>
      </c>
    </row>
    <row r="23">
      <c r="A23" s="109" t="inlineStr">
        <is>
          <t>Los Angeles</t>
        </is>
      </c>
      <c r="B23" s="374">
        <f>SUMIFS(UA_HUB_SQL_7!$G:$G,UA_HUB_SQL_7!$B:$B,'Pg2'!$T10)/SUMIFS(UA_HUB_SQL_7!$F:$F,UA_HUB_SQL_7!$B:$B,'Pg2'!$T10)</f>
        <v/>
      </c>
      <c r="C23" s="376">
        <f>1-(SUMIFS(OA_SQL_2!$L:$L,OA_SQL_2!$B:$B,"DL",OA_SQL_2!$A:$A,'Pg2'!$T10)/SUMIFS(OA_SQL_2!$J:$J,OA_SQL_2!$B:$B,"DL",OA_SQL_2!$A:$A,'Pg2'!$T10))</f>
        <v/>
      </c>
      <c r="D23" s="376">
        <f>1-(SUMIFS(OA_SQL_2!$L:$L,OA_SQL_2!$B:$B,"AA",OA_SQL_2!$A:$A,'Pg2'!$T10)/SUMIFS(OA_SQL_2!$J:$J,OA_SQL_2!$B:$B,"AA",OA_SQL_2!$A:$A,'Pg2'!$T10))</f>
        <v/>
      </c>
      <c r="E23" s="376" t="n"/>
      <c r="F23" s="51">
        <f>RANK(B23,B23:D23,1)</f>
        <v/>
      </c>
      <c r="H23" s="109" t="inlineStr">
        <is>
          <t>Los Angeles</t>
        </is>
      </c>
      <c r="I23" s="351">
        <f>SUMIFS(UA_HUB_SQL_7!M:M,UA_HUB_SQL_7!B:B,RANK!H23)/SUMIFS(UA_HUB_SQL_7!L:L,UA_HUB_SQL_7!B:B,RANK!H23)</f>
        <v/>
      </c>
      <c r="J23" s="376">
        <f>IFERROR(SUMIFS(OA_SQL_2!P:P,OA_SQL_2!A:A,RANK!H23,OA_SQL_2!B:B,"DL")/SUMIFS(OA_SQL_2!N:N,OA_SQL_2!A:A,RANK!H23,OA_SQL_2!B:B,"DL"),"-")</f>
        <v/>
      </c>
      <c r="K23" s="376">
        <f>IFERROR(SUMIFS(OA_SQL_2!P:P,OA_SQL_2!A:A,RANK!H23,OA_SQL_2!B:B,"AA")/SUMIFS(OA_SQL_2!N:N,OA_SQL_2!A:A,RANK!H23,OA_SQL_2!B:B,"AA"),"-")</f>
        <v/>
      </c>
      <c r="L23" s="376" t="n"/>
      <c r="M23" s="51">
        <f>RANK(I23,I23:K23,0)</f>
        <v/>
      </c>
      <c r="N23" s="51" t="n"/>
      <c r="O23" s="109" t="inlineStr">
        <is>
          <t>Chicago</t>
        </is>
      </c>
      <c r="P23" s="351">
        <f>SUMIFS(UA_HUB_SQL_7!T:T,UA_HUB_SQL_7!O:O,O23)/SUMIFS(UA_HUB_SQL_7!S:S,UA_HUB_SQL_7!O:O,O23)</f>
        <v/>
      </c>
      <c r="Q23" s="376" t="n"/>
      <c r="R23" s="376">
        <f>IFERROR(SUMIFS(OA_SQL_2!$L:$L,OA_SQL_2!$A:$A,O23,OA_SQL_2!$B:$B,"AA")/SUMIFS(OA_SQL_2!$J:$J,OA_SQL_2!$A:$A,O23,OA_SQL_2!$B:$B,"AA"),"-")</f>
        <v/>
      </c>
      <c r="S23" s="376" t="n"/>
      <c r="T23" s="51">
        <f>RANK(P23,P23:R23,0)</f>
        <v/>
      </c>
    </row>
    <row r="24">
      <c r="A24" s="110" t="inlineStr">
        <is>
          <t>Chicago</t>
        </is>
      </c>
      <c r="B24" s="374">
        <f>SUMIFS(UA_HUB_SQL_7!$G:$G,UA_HUB_SQL_7!$B:$B,'Pg2'!$T11)/SUMIFS(UA_HUB_SQL_7!$F:$F,UA_HUB_SQL_7!$B:$B,'Pg2'!$T11)</f>
        <v/>
      </c>
      <c r="C24" s="376" t="n"/>
      <c r="D24" s="376">
        <f>1-(SUMIFS(OA_SQL_2!$L:$L,OA_SQL_2!$B:$B,"AA",OA_SQL_2!$A:$A,'Pg2'!$T11)/SUMIFS(OA_SQL_2!$J:$J,OA_SQL_2!$B:$B,"AA",OA_SQL_2!$A:$A,'Pg2'!$T11))</f>
        <v/>
      </c>
      <c r="E24" s="376" t="n"/>
      <c r="F24" s="51">
        <f>RANK(B24,B24:D24,1)</f>
        <v/>
      </c>
      <c r="H24" s="110" t="inlineStr">
        <is>
          <t>Chicago</t>
        </is>
      </c>
      <c r="I24" s="351">
        <f>SUMIFS(UA_HUB_SQL_7!M:M,UA_HUB_SQL_7!B:B,RANK!H24)/SUMIFS(UA_HUB_SQL_7!L:L,UA_HUB_SQL_7!B:B,RANK!H24)</f>
        <v/>
      </c>
      <c r="J24" s="376" t="n"/>
      <c r="K24" s="376">
        <f>IFERROR(SUMIFS(OA_SQL_2!P:P,OA_SQL_2!A:A,RANK!H24,OA_SQL_2!B:B,"AA")/SUMIFS(OA_SQL_2!N:N,OA_SQL_2!A:A,RANK!H24,OA_SQL_2!B:B,"AA"),"-")</f>
        <v/>
      </c>
      <c r="L24" s="376" t="n"/>
      <c r="M24" s="51">
        <f>RANK(I24,I24:K24,0)</f>
        <v/>
      </c>
      <c r="N24" s="51" t="n"/>
      <c r="O24" s="110" t="inlineStr">
        <is>
          <t>San Francisco</t>
        </is>
      </c>
      <c r="P24" s="351">
        <f>SUMIFS(UA_HUB_SQL_7!T:T,UA_HUB_SQL_7!O:O,O24)/SUMIFS(UA_HUB_SQL_7!S:S,UA_HUB_SQL_7!O:O,O24)</f>
        <v/>
      </c>
      <c r="Q24" s="376" t="n"/>
      <c r="R24" s="376" t="n"/>
      <c r="S24" s="376">
        <f>IFERROR(SUMIFS(OA_SQL_2!Y:Y,OA_SQL_2!N:N,RANK!O25,OA_SQL_2!O:O,RANK!S18)/SUMIFS(OA_SQL_2!W:W,OA_SQL_2!N:N,RANK!O25,OA_SQL_2!O:O,RANK!S18),"-")</f>
        <v/>
      </c>
      <c r="T24" s="51">
        <f>RANK(P24,P24:S24,0)</f>
        <v/>
      </c>
    </row>
    <row r="25">
      <c r="A25" s="109" t="inlineStr">
        <is>
          <t>San Francisco</t>
        </is>
      </c>
      <c r="B25" s="374">
        <f>SUMIFS(UA_HUB_SQL_7!$G:$G,UA_HUB_SQL_7!$B:$B,'Pg2'!$T12)/SUMIFS(UA_HUB_SQL_7!$F:$F,UA_HUB_SQL_7!$B:$B,'Pg2'!$T12)</f>
        <v/>
      </c>
      <c r="C25" s="376" t="n"/>
      <c r="D25" s="376" t="n"/>
      <c r="E25" s="376">
        <f>1-(SUMIFS(OA_SQL_2!$L:$L,OA_SQL_2!$B:$B,"AS",OA_SQL_2!$A:$A,'Pg2'!$T12)/SUMIFS(OA_SQL_2!$J:$J,OA_SQL_2!$B:$B,"AS",OA_SQL_2!$A:$A,'Pg2'!$T12))</f>
        <v/>
      </c>
      <c r="F25" s="51">
        <f>RANK(B25,B25:E25,1)</f>
        <v/>
      </c>
      <c r="H25" s="109" t="inlineStr">
        <is>
          <t>San Francisco</t>
        </is>
      </c>
      <c r="I25" s="351">
        <f>SUMIFS(UA_HUB_SQL_7!M:M,UA_HUB_SQL_7!B:B,RANK!H25)/SUMIFS(UA_HUB_SQL_7!L:L,UA_HUB_SQL_7!B:B,RANK!H25)</f>
        <v/>
      </c>
      <c r="J25" s="376" t="n"/>
      <c r="K25" s="376" t="n"/>
      <c r="L25" s="376">
        <f>IFERROR(SUMIFS(OA_SQL_2!P:P,OA_SQL_2!A:A,RANK!H25,OA_SQL_2!B:B,RANK!L18)/SUMIFS(OA_SQL_2!N:N,OA_SQL_2!A:A,RANK!H25,OA_SQL_2!B:B,RANK!L18),"-")</f>
        <v/>
      </c>
      <c r="M25" s="51">
        <f>RANK(I25,I25:L25,0)</f>
        <v/>
      </c>
      <c r="N25" s="51" t="n"/>
      <c r="O25" s="109" t="inlineStr">
        <is>
          <t>Line</t>
        </is>
      </c>
      <c r="P25" s="351">
        <f>SUMIFS(UA_HUB_SQL_7!T:T,UA_HUB_SQL_7!O:O,O25)/SUMIFS(UA_HUB_SQL_7!S:S,UA_HUB_SQL_7!O:O,O25)</f>
        <v/>
      </c>
      <c r="Q25" s="376">
        <f>IFERROR(SUMIFS(OA_SQL_2!$L:$L,OA_SQL_2!$A:$A,O25,OA_SQL_2!$B:$B,"DL")/SUMIFS(OA_SQL_2!$J:$J,OA_SQL_2!$A:$A,O25,OA_SQL_2!$B:$B,"DL"),"-")</f>
        <v/>
      </c>
      <c r="R25" s="376">
        <f>IFERROR(SUMIFS(OA_SQL_2!$L:$L,OA_SQL_2!$A:$A,O25,OA_SQL_2!$B:$B,"AA")/SUMIFS(OA_SQL_2!$J:$J,OA_SQL_2!$A:$A,O25,OA_SQL_2!$B:$B,"AA"),"-")</f>
        <v/>
      </c>
      <c r="S25" s="376">
        <f>IFERROR(SUMIFS(OA_SQL_2!Y:Y,OA_SQL_2!N:N,RANK!O26,OA_SQL_2!O:O,RANK!S18)/SUMIFS(OA_SQL_2!W:W,OA_SQL_2!N:N,RANK!O26,OA_SQL_2!O:O,RANK!S18),"-")</f>
        <v/>
      </c>
      <c r="T25" s="51">
        <f>RANK(P25,P25:S25,0)</f>
        <v/>
      </c>
    </row>
    <row r="26">
      <c r="A26" s="109" t="inlineStr">
        <is>
          <t>Line</t>
        </is>
      </c>
      <c r="B26" s="374">
        <f>SUMIFS(UA_HUB_SQL_7!$G:$G,UA_HUB_SQL_7!$B:$B,'Pg2'!$T13)/SUMIFS(UA_HUB_SQL_7!$F:$F,UA_HUB_SQL_7!$B:$B,'Pg2'!$T13)</f>
        <v/>
      </c>
      <c r="C26" s="376">
        <f>1-(SUMIFS(OA_SQL_2!$L:$L,OA_SQL_2!$B:$B,"DL",OA_SQL_2!$A:$A,'Pg2'!$T13)/SUMIFS(OA_SQL_2!$J:$J,OA_SQL_2!$B:$B,"DL",OA_SQL_2!$A:$A,'Pg2'!$T13))</f>
        <v/>
      </c>
      <c r="D26" s="376">
        <f>1-(SUMIFS(OA_SQL_2!$L:$L,OA_SQL_2!$B:$B,"AA",OA_SQL_2!$A:$A,'Pg2'!$T13)/SUMIFS(OA_SQL_2!$J:$J,OA_SQL_2!$B:$B,"AA",OA_SQL_2!$A:$A,'Pg2'!$T13))</f>
        <v/>
      </c>
      <c r="E26" s="376">
        <f>1-(SUMIFS(OA_SQL_2!$L:$L,OA_SQL_2!$B:$B,"AS",OA_SQL_2!$A:$A,'Pg2'!$T13)/SUMIFS(OA_SQL_2!$J:$J,OA_SQL_2!$B:$B,"AS",OA_SQL_2!$A:$A,'Pg2'!$T13))</f>
        <v/>
      </c>
      <c r="F26" s="51">
        <f>RANK(B26,B26:E26,1)</f>
        <v/>
      </c>
      <c r="H26" s="109" t="inlineStr">
        <is>
          <t>Line</t>
        </is>
      </c>
      <c r="I26" s="351">
        <f>SUMIFS(UA_HUB_SQL_7!M:M,UA_HUB_SQL_7!B:B,RANK!H26)/SUMIFS(UA_HUB_SQL_7!L:L,UA_HUB_SQL_7!B:B,RANK!H26)</f>
        <v/>
      </c>
      <c r="J26" s="376">
        <f>IFERROR(SUMIFS(OA_SQL_2!P:P,OA_SQL_2!A:A,RANK!H26,OA_SQL_2!B:B,"DL")/SUMIFS(OA_SQL_2!N:N,OA_SQL_2!A:A,RANK!H26,OA_SQL_2!B:B,"DL"),"-")</f>
        <v/>
      </c>
      <c r="K26" s="376">
        <f>IFERROR(SUMIFS(OA_SQL_2!P:P,OA_SQL_2!A:A,RANK!H26,OA_SQL_2!B:B,"AA")/SUMIFS(OA_SQL_2!N:N,OA_SQL_2!A:A,RANK!H26,OA_SQL_2!B:B,"AA"),"-")</f>
        <v/>
      </c>
      <c r="L26" s="376">
        <f>IFERROR(SUMIFS(OA_SQL_2!P:P,OA_SQL_2!A:A,RANK!H26,OA_SQL_2!B:B,RANK!L18)/SUMIFS(OA_SQL_2!N:N,OA_SQL_2!A:A,RANK!H26,OA_SQL_2!B:B,RANK!L18),"-")</f>
        <v/>
      </c>
      <c r="M26" s="51">
        <f>RANK(I26,I26:L26,0)</f>
        <v/>
      </c>
      <c r="N26" s="51" t="n"/>
      <c r="O26" s="109" t="inlineStr">
        <is>
          <t>Denver</t>
        </is>
      </c>
      <c r="P26" s="351">
        <f>SUMIFS(UA_HUB_SQL_7!T:T,UA_HUB_SQL_7!O:O,O26)/SUMIFS(UA_HUB_SQL_7!S:S,UA_HUB_SQL_7!O:O,O26)</f>
        <v/>
      </c>
      <c r="Q26" s="376">
        <f>IFERROR(SUMIFS(OA_SQL_2!$L:$L,OA_SQL_2!$A:$A,PAGE_1_old!O18,OA_SQL_2!$B:$B,"DL")/SUMIFS(OA_SQL_2!$J:$J,OA_SQL_2!$A:$A,PAGE_1_old!O18,OA_SQL_2!$B:$B,"DL"),"-")</f>
        <v/>
      </c>
      <c r="R26" s="376" t="n"/>
      <c r="S26" s="376" t="n"/>
      <c r="T26" s="51" t="n"/>
    </row>
    <row r="27">
      <c r="A27" s="211" t="inlineStr">
        <is>
          <t>Line Int</t>
        </is>
      </c>
      <c r="B27" s="374">
        <f>SUMIFS(UA_Line!$G:$G,UA_Line!$B:$B,"Line Int")/SUMIFS(UA_Line!$F:$F,UA_Line!$B:$B,"Line Int")</f>
        <v/>
      </c>
      <c r="C27" s="374">
        <f>1-(SUMIFS(OA_Line!$F:$F,OA_Line!$B:$B,"DL",OA_Line!$A:$A,"Line Int")/SUMIFS(OA_Line!$D:$D,OA_Line!$B:$B,"DL",OA_Line!$A:$A,"Line Int"))</f>
        <v/>
      </c>
      <c r="D27" s="374">
        <f>1-(SUMIFS(OA_Line!$F:$F,OA_Line!$B:$B,"AA",OA_Line!$A:$A,"Line Int")/SUMIFS(OA_Line!$D:$D,OA_Line!$B:$B,"AA",OA_Line!$A:$A,"Line Int"))</f>
        <v/>
      </c>
      <c r="F27">
        <f>RANK(B27,B27:D27,1)</f>
        <v/>
      </c>
    </row>
    <row r="28">
      <c r="A28" s="211" t="inlineStr">
        <is>
          <t>Line Dom</t>
        </is>
      </c>
      <c r="B28" s="374">
        <f>SUMIFS(UA_Line!$G:$G,UA_Line!$B:$B,"Line Dom")/SUMIFS(UA_Line!$F:$F,UA_Line!$B:$B,"Line Dom")</f>
        <v/>
      </c>
      <c r="C28" s="374">
        <f>1-(SUMIFS(OA_Line!$F:$F,OA_Line!$B:$B,"DL",OA_Line!$A:$A,"Line Dom")/SUMIFS(OA_Line!$D:$D,OA_Line!$B:$B,"DL",OA_Line!$A:$A,"Line Dom"))</f>
        <v/>
      </c>
      <c r="D28" s="374">
        <f>1-(SUMIFS(OA_Line!$F:$F,OA_Line!$B:$B,"AA",OA_Line!$A:$A,"Line Dom")/SUMIFS(OA_Line!$D:$D,OA_Line!$B:$B,"AA",OA_Line!$A:$A,"Line Dom"))</f>
        <v/>
      </c>
      <c r="F28">
        <f>RANK(B28,B28:D28,1)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4">
    <tabColor theme="4" tint="0.3999755851924192"/>
    <outlinePr summaryBelow="1" summaryRight="1"/>
    <pageSetUpPr/>
  </sheetPr>
  <dimension ref="A1:O30"/>
  <sheetViews>
    <sheetView workbookViewId="0">
      <selection activeCell="H24" sqref="H24"/>
    </sheetView>
  </sheetViews>
  <sheetFormatPr baseColWidth="8" defaultRowHeight="14.5" outlineLevelCol="0"/>
  <cols>
    <col width="23.1796875" bestFit="1" customWidth="1" style="286" min="11" max="11"/>
  </cols>
  <sheetData>
    <row r="1">
      <c r="A1" s="304" t="inlineStr">
        <is>
          <t>Cancel Detail</t>
        </is>
      </c>
      <c r="B1" s="341" t="n"/>
      <c r="C1" s="341" t="n"/>
      <c r="D1" s="341" t="n"/>
      <c r="E1" s="341" t="n"/>
      <c r="F1" s="341" t="n"/>
      <c r="G1" s="341" t="n"/>
      <c r="H1" s="341" t="n"/>
      <c r="I1" s="341" t="n"/>
      <c r="J1" s="341" t="n"/>
      <c r="K1" s="341" t="n"/>
      <c r="L1" s="341" t="n"/>
      <c r="M1" s="341" t="n"/>
      <c r="N1" s="341" t="n"/>
      <c r="O1" s="341" t="n"/>
    </row>
    <row r="2">
      <c r="B2" t="inlineStr">
        <is>
          <t>EV</t>
        </is>
      </c>
      <c r="C2" t="inlineStr">
        <is>
          <t>OO</t>
        </is>
      </c>
      <c r="D2" t="inlineStr">
        <is>
          <t>AX</t>
        </is>
      </c>
      <c r="E2" t="inlineStr">
        <is>
          <t>YX</t>
        </is>
      </c>
      <c r="F2" t="inlineStr">
        <is>
          <t>G7</t>
        </is>
      </c>
      <c r="G2" t="inlineStr">
        <is>
          <t>C5</t>
        </is>
      </c>
      <c r="H2" t="inlineStr">
        <is>
          <t>YV</t>
        </is>
      </c>
      <c r="I2" t="inlineStr">
        <is>
          <t>ZW</t>
        </is>
      </c>
      <c r="J2" t="inlineStr">
        <is>
          <t>UA</t>
        </is>
      </c>
      <c r="K2" t="inlineStr">
        <is>
          <t>ES Covered for this partner</t>
        </is>
      </c>
      <c r="L2" t="inlineStr">
        <is>
          <t>Total</t>
        </is>
      </c>
    </row>
    <row r="3">
      <c r="A3" t="inlineStr">
        <is>
          <t>EV</t>
        </is>
      </c>
      <c r="B3">
        <f>SUMIFS(CNXL_SQL_2!$F:$F,CNXL_SQL_2!$A:$A,ES_MATRIX!$A3,CNXL_SQL_2!$E:$E,ES_MATRIX!$B$2)</f>
        <v/>
      </c>
      <c r="C3">
        <f>SUMIFS(CNXL_SQL_2!$F:$F,CNXL_SQL_2!$A:$A,ES_MATRIX!$A3,CNXL_SQL_2!$E:$E,ES_MATRIX!$C$2)</f>
        <v/>
      </c>
      <c r="D3">
        <f>SUMIFS(CNXL_SQL_2!$F:$F,CNXL_SQL_2!$A:$A,ES_MATRIX!$A3,CNXL_SQL_2!$E:$E,ES_MATRIX!$D$2)</f>
        <v/>
      </c>
      <c r="E3">
        <f>SUMIFS(CNXL_SQL_2!$F:$F,CNXL_SQL_2!$A:$A,ES_MATRIX!$A3,CNXL_SQL_2!$E:$E,ES_MATRIX!$E$2)</f>
        <v/>
      </c>
      <c r="F3">
        <f>SUMIFS(CNXL_SQL_2!$F:$F,CNXL_SQL_2!$A:$A,ES_MATRIX!$A3,CNXL_SQL_2!$E:$E,ES_MATRIX!$F$2)</f>
        <v/>
      </c>
      <c r="G3">
        <f>SUMIFS(CNXL_SQL_2!$F:$F,CNXL_SQL_2!$A:$A,ES_MATRIX!$A3,CNXL_SQL_2!$E:$E,ES_MATRIX!$G$2)</f>
        <v/>
      </c>
      <c r="H3">
        <f>SUMIFS(CNXL_SQL_2!$F:$F,CNXL_SQL_2!$A:$A,ES_MATRIX!$A3,CNXL_SQL_2!$E:$E,ES_MATRIX!$H$2)</f>
        <v/>
      </c>
      <c r="I3">
        <f>SUMIFS(CNXL_SQL_2!$F:$F,CNXL_SQL_2!$A:$A,ES_MATRIX!$A3,CNXL_SQL_2!$E:$E,ES_MATRIX!$I$2)</f>
        <v/>
      </c>
      <c r="J3">
        <f>SUMIFS(CNXL_SQL_2!$F:$F,CNXL_SQL_2!$A:$A,ES_MATRIX!$A3,CNXL_SQL_2!$E:$E,ES_MATRIX!$J$2)</f>
        <v/>
      </c>
      <c r="K3" s="1">
        <f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>SUM(B3:J3)</f>
        <v/>
      </c>
    </row>
    <row r="4">
      <c r="A4" t="inlineStr">
        <is>
          <t>OO</t>
        </is>
      </c>
      <c r="B4">
        <f>SUMIFS(CNXL_SQL_2!$F:$F,CNXL_SQL_2!$A:$A,ES_MATRIX!$A4,CNXL_SQL_2!$E:$E,ES_MATRIX!$B$2)</f>
        <v/>
      </c>
      <c r="C4">
        <f>SUMIFS(CNXL_SQL_2!$F:$F,CNXL_SQL_2!$A:$A,ES_MATRIX!$A4,CNXL_SQL_2!$E:$E,ES_MATRIX!$C$2)</f>
        <v/>
      </c>
      <c r="D4">
        <f>SUMIFS(CNXL_SQL_2!$F:$F,CNXL_SQL_2!$A:$A,ES_MATRIX!$A4,CNXL_SQL_2!$E:$E,ES_MATRIX!$D$2)</f>
        <v/>
      </c>
      <c r="E4">
        <f>SUMIFS(CNXL_SQL_2!$F:$F,CNXL_SQL_2!$A:$A,ES_MATRIX!$A4,CNXL_SQL_2!$E:$E,ES_MATRIX!$E$2)</f>
        <v/>
      </c>
      <c r="F4">
        <f>SUMIFS(CNXL_SQL_2!$F:$F,CNXL_SQL_2!$A:$A,ES_MATRIX!$A4,CNXL_SQL_2!$E:$E,ES_MATRIX!$F$2)</f>
        <v/>
      </c>
      <c r="G4">
        <f>SUMIFS(CNXL_SQL_2!$F:$F,CNXL_SQL_2!$A:$A,ES_MATRIX!$A4,CNXL_SQL_2!$E:$E,ES_MATRIX!$G$2)</f>
        <v/>
      </c>
      <c r="H4">
        <f>SUMIFS(CNXL_SQL_2!$F:$F,CNXL_SQL_2!$A:$A,ES_MATRIX!$A4,CNXL_SQL_2!$E:$E,ES_MATRIX!$H$2)</f>
        <v/>
      </c>
      <c r="I4">
        <f>SUMIFS(CNXL_SQL_2!$F:$F,CNXL_SQL_2!$A:$A,ES_MATRIX!$A4,CNXL_SQL_2!$E:$E,ES_MATRIX!$I$2)</f>
        <v/>
      </c>
      <c r="J4">
        <f>SUMIFS(CNXL_SQL_2!$F:$F,CNXL_SQL_2!$A:$A,ES_MATRIX!$A4,CNXL_SQL_2!$E:$E,ES_MATRIX!$J$2)</f>
        <v/>
      </c>
      <c r="K4" s="1">
        <f>CONCATENATE(IF(B4&gt;0,CONCATENATE($B$2,"-",B4," "),""),IF(C4&gt;0,CONCATENATE($C$2,"-",C4," "),""),IF(D4&gt;0,CONCATENATE($D$2,"-",D4," "),""),IF(E4&gt;0,CONCATENATE($E$2,"-",E4," "),""),IF(F4&gt;0,CONCATENATE($F$2,"-",F4," "),""),IF(G4&gt;0,CONCATENATE($G$2,"-",G4," "),""),IF(H4&gt;0,CONCATENATE($H$2,"-",H4," "),""),IF(I4&gt;0,CONCATENATE($I$2,"-",I4),""),IF(J4&gt;0,CONCATENATE($J$2,"-",J4),""))</f>
        <v/>
      </c>
      <c r="L4">
        <f>SUM(B4:J4)</f>
        <v/>
      </c>
    </row>
    <row r="5">
      <c r="A5" t="inlineStr">
        <is>
          <t>AX</t>
        </is>
      </c>
      <c r="B5">
        <f>SUMIFS(CNXL_SQL_2!$F:$F,CNXL_SQL_2!$A:$A,ES_MATRIX!$A5,CNXL_SQL_2!$E:$E,ES_MATRIX!$B$2)</f>
        <v/>
      </c>
      <c r="C5">
        <f>SUMIFS(CNXL_SQL_2!$F:$F,CNXL_SQL_2!$A:$A,ES_MATRIX!$A5,CNXL_SQL_2!$E:$E,ES_MATRIX!$C$2)</f>
        <v/>
      </c>
      <c r="D5">
        <f>SUMIFS(CNXL_SQL_2!$F:$F,CNXL_SQL_2!$A:$A,ES_MATRIX!$A5,CNXL_SQL_2!$E:$E,ES_MATRIX!$D$2)</f>
        <v/>
      </c>
      <c r="E5">
        <f>SUMIFS(CNXL_SQL_2!$F:$F,CNXL_SQL_2!$A:$A,ES_MATRIX!$A5,CNXL_SQL_2!$E:$E,ES_MATRIX!$E$2)</f>
        <v/>
      </c>
      <c r="F5">
        <f>SUMIFS(CNXL_SQL_2!$F:$F,CNXL_SQL_2!$A:$A,ES_MATRIX!$A5,CNXL_SQL_2!$E:$E,ES_MATRIX!$F$2)</f>
        <v/>
      </c>
      <c r="G5">
        <f>SUMIFS(CNXL_SQL_2!$F:$F,CNXL_SQL_2!$A:$A,ES_MATRIX!$A5,CNXL_SQL_2!$E:$E,ES_MATRIX!$G$2)</f>
        <v/>
      </c>
      <c r="H5">
        <f>SUMIFS(CNXL_SQL_2!$F:$F,CNXL_SQL_2!$A:$A,ES_MATRIX!$A5,CNXL_SQL_2!$E:$E,ES_MATRIX!$H$2)</f>
        <v/>
      </c>
      <c r="I5">
        <f>SUMIFS(CNXL_SQL_2!$F:$F,CNXL_SQL_2!$A:$A,ES_MATRIX!$A5,CNXL_SQL_2!$E:$E,ES_MATRIX!$I$2)</f>
        <v/>
      </c>
      <c r="J5">
        <f>SUMIFS(CNXL_SQL_2!$F:$F,CNXL_SQL_2!$A:$A,ES_MATRIX!$A5,CNXL_SQL_2!$E:$E,ES_MATRIX!$J$2)</f>
        <v/>
      </c>
      <c r="K5" s="1">
        <f>CONCATENATE(IF(B5&gt;0,CONCATENATE($B$2,"-",B5," "),""),IF(C5&gt;0,CONCATENATE($C$2,"-",C5," "),""),IF(D5&gt;0,CONCATENATE($D$2,"-",D5," "),""),IF(E5&gt;0,CONCATENATE($E$2,"-",E5," "),""),IF(F5&gt;0,CONCATENATE($F$2,"-",F5," "),""),IF(G5&gt;0,CONCATENATE($G$2,"-",G5," "),""),IF(H5&gt;0,CONCATENATE($H$2,"-",H5," "),""),IF(I5&gt;0,CONCATENATE($I$2,"-",I5),""),IF(J5&gt;0,CONCATENATE($J$2,"-",J5),""))</f>
        <v/>
      </c>
      <c r="L5">
        <f>SUM(B5:J5)</f>
        <v/>
      </c>
    </row>
    <row r="6">
      <c r="A6" t="inlineStr">
        <is>
          <t>YX</t>
        </is>
      </c>
      <c r="B6">
        <f>SUMIFS(CNXL_SQL_2!$F:$F,CNXL_SQL_2!$A:$A,ES_MATRIX!$A6,CNXL_SQL_2!$E:$E,ES_MATRIX!$B$2)</f>
        <v/>
      </c>
      <c r="C6">
        <f>SUMIFS(CNXL_SQL_2!$F:$F,CNXL_SQL_2!$A:$A,ES_MATRIX!$A6,CNXL_SQL_2!$E:$E,ES_MATRIX!$C$2)</f>
        <v/>
      </c>
      <c r="D6">
        <f>SUMIFS(CNXL_SQL_2!$F:$F,CNXL_SQL_2!$A:$A,ES_MATRIX!$A6,CNXL_SQL_2!$E:$E,ES_MATRIX!$D$2)</f>
        <v/>
      </c>
      <c r="E6">
        <f>SUMIFS(CNXL_SQL_2!$F:$F,CNXL_SQL_2!$A:$A,ES_MATRIX!$A6,CNXL_SQL_2!$E:$E,ES_MATRIX!$E$2)</f>
        <v/>
      </c>
      <c r="F6">
        <f>SUMIFS(CNXL_SQL_2!$F:$F,CNXL_SQL_2!$A:$A,ES_MATRIX!$A6,CNXL_SQL_2!$E:$E,ES_MATRIX!$F$2)</f>
        <v/>
      </c>
      <c r="G6">
        <f>SUMIFS(CNXL_SQL_2!$F:$F,CNXL_SQL_2!$A:$A,ES_MATRIX!$A6,CNXL_SQL_2!$E:$E,ES_MATRIX!$G$2)</f>
        <v/>
      </c>
      <c r="H6">
        <f>SUMIFS(CNXL_SQL_2!$F:$F,CNXL_SQL_2!$A:$A,ES_MATRIX!$A6,CNXL_SQL_2!$E:$E,ES_MATRIX!$H$2)</f>
        <v/>
      </c>
      <c r="I6">
        <f>SUMIFS(CNXL_SQL_2!$F:$F,CNXL_SQL_2!$A:$A,ES_MATRIX!$A6,CNXL_SQL_2!$E:$E,ES_MATRIX!$I$2)</f>
        <v/>
      </c>
      <c r="J6">
        <f>SUMIFS(CNXL_SQL_2!$F:$F,CNXL_SQL_2!$A:$A,ES_MATRIX!$A6,CNXL_SQL_2!$E:$E,ES_MATRIX!$J$2)</f>
        <v/>
      </c>
      <c r="K6" s="1">
        <f>CONCATENATE(IF(B6&gt;0,CONCATENATE($B$2,"-",B6," "),""),IF(C6&gt;0,CONCATENATE($C$2,"-",C6," "),""),IF(D6&gt;0,CONCATENATE($D$2,"-",D6," "),""),IF(E6&gt;0,CONCATENATE($E$2,"-",E6," "),""),IF(F6&gt;0,CONCATENATE($F$2,"-",F6," "),""),IF(G6&gt;0,CONCATENATE($G$2,"-",G6," "),""),IF(H6&gt;0,CONCATENATE($H$2,"-",H6," "),""),IF(I6&gt;0,CONCATENATE($I$2,"-",I6),""),IF(J6&gt;0,CONCATENATE($J$2,"-",J6),""))</f>
        <v/>
      </c>
      <c r="L6">
        <f>SUM(B6:J6)</f>
        <v/>
      </c>
    </row>
    <row r="7">
      <c r="A7" t="inlineStr">
        <is>
          <t>G7</t>
        </is>
      </c>
      <c r="B7">
        <f>SUMIFS(CNXL_SQL_2!$F:$F,CNXL_SQL_2!$A:$A,ES_MATRIX!$A7,CNXL_SQL_2!$E:$E,ES_MATRIX!$B$2)</f>
        <v/>
      </c>
      <c r="C7">
        <f>SUMIFS(CNXL_SQL_2!$F:$F,CNXL_SQL_2!$A:$A,ES_MATRIX!$A7,CNXL_SQL_2!$E:$E,ES_MATRIX!$C$2)</f>
        <v/>
      </c>
      <c r="D7">
        <f>SUMIFS(CNXL_SQL_2!$F:$F,CNXL_SQL_2!$A:$A,ES_MATRIX!$A7,CNXL_SQL_2!$E:$E,ES_MATRIX!$D$2)</f>
        <v/>
      </c>
      <c r="E7">
        <f>SUMIFS(CNXL_SQL_2!$F:$F,CNXL_SQL_2!$A:$A,ES_MATRIX!$A7,CNXL_SQL_2!$E:$E,ES_MATRIX!$E$2)</f>
        <v/>
      </c>
      <c r="F7">
        <f>SUMIFS(CNXL_SQL_2!$F:$F,CNXL_SQL_2!$A:$A,ES_MATRIX!$A7,CNXL_SQL_2!$E:$E,ES_MATRIX!$F$2)</f>
        <v/>
      </c>
      <c r="G7">
        <f>SUMIFS(CNXL_SQL_2!$F:$F,CNXL_SQL_2!$A:$A,ES_MATRIX!$A7,CNXL_SQL_2!$E:$E,ES_MATRIX!$G$2)</f>
        <v/>
      </c>
      <c r="H7">
        <f>SUMIFS(CNXL_SQL_2!$F:$F,CNXL_SQL_2!$A:$A,ES_MATRIX!$A7,CNXL_SQL_2!$E:$E,ES_MATRIX!$H$2)</f>
        <v/>
      </c>
      <c r="I7">
        <f>SUMIFS(CNXL_SQL_2!$F:$F,CNXL_SQL_2!$A:$A,ES_MATRIX!$A7,CNXL_SQL_2!$E:$E,ES_MATRIX!$I$2)</f>
        <v/>
      </c>
      <c r="J7">
        <f>SUMIFS(CNXL_SQL_2!$F:$F,CNXL_SQL_2!$A:$A,ES_MATRIX!$A7,CNXL_SQL_2!$E:$E,ES_MATRIX!$J$2)</f>
        <v/>
      </c>
      <c r="K7" s="1">
        <f>CONCATENATE(IF(B7&gt;0,CONCATENATE($B$2,"-",B7," "),""),IF(C7&gt;0,CONCATENATE($C$2,"-",C7," "),""),IF(D7&gt;0,CONCATENATE($D$2,"-",D7," "),""),IF(E7&gt;0,CONCATENATE($E$2,"-",E7," "),""),IF(F7&gt;0,CONCATENATE($F$2,"-",F7," "),""),IF(G7&gt;0,CONCATENATE($G$2,"-",G7," "),""),IF(H7&gt;0,CONCATENATE($H$2,"-",H7," "),""),IF(I7&gt;0,CONCATENATE($I$2,"-",I7),""),IF(J7&gt;0,CONCATENATE($J$2,"-",J7),""))</f>
        <v/>
      </c>
      <c r="L7">
        <f>SUM(B7:J7)</f>
        <v/>
      </c>
    </row>
    <row r="8">
      <c r="A8" t="inlineStr">
        <is>
          <t>C5</t>
        </is>
      </c>
      <c r="B8">
        <f>SUMIFS(CNXL_SQL_2!$F:$F,CNXL_SQL_2!$A:$A,ES_MATRIX!$A8,CNXL_SQL_2!$E:$E,ES_MATRIX!$B$2)</f>
        <v/>
      </c>
      <c r="C8">
        <f>SUMIFS(CNXL_SQL_2!$F:$F,CNXL_SQL_2!$A:$A,ES_MATRIX!$A8,CNXL_SQL_2!$E:$E,ES_MATRIX!$C$2)</f>
        <v/>
      </c>
      <c r="D8">
        <f>SUMIFS(CNXL_SQL_2!$F:$F,CNXL_SQL_2!$A:$A,ES_MATRIX!$A8,CNXL_SQL_2!$E:$E,ES_MATRIX!$D$2)</f>
        <v/>
      </c>
      <c r="E8">
        <f>SUMIFS(CNXL_SQL_2!$F:$F,CNXL_SQL_2!$A:$A,ES_MATRIX!$A8,CNXL_SQL_2!$E:$E,ES_MATRIX!$E$2)</f>
        <v/>
      </c>
      <c r="F8">
        <f>SUMIFS(CNXL_SQL_2!$F:$F,CNXL_SQL_2!$A:$A,ES_MATRIX!$A8,CNXL_SQL_2!$E:$E,ES_MATRIX!$F$2)</f>
        <v/>
      </c>
      <c r="G8">
        <f>SUMIFS(CNXL_SQL_2!$F:$F,CNXL_SQL_2!$A:$A,ES_MATRIX!$A8,CNXL_SQL_2!$E:$E,ES_MATRIX!$G$2)</f>
        <v/>
      </c>
      <c r="H8">
        <f>SUMIFS(CNXL_SQL_2!$F:$F,CNXL_SQL_2!$A:$A,ES_MATRIX!$A8,CNXL_SQL_2!$E:$E,ES_MATRIX!$H$2)</f>
        <v/>
      </c>
      <c r="I8">
        <f>SUMIFS(CNXL_SQL_2!$F:$F,CNXL_SQL_2!$A:$A,ES_MATRIX!$A8,CNXL_SQL_2!$E:$E,ES_MATRIX!$I$2)</f>
        <v/>
      </c>
      <c r="J8">
        <f>SUMIFS(CNXL_SQL_2!$F:$F,CNXL_SQL_2!$A:$A,ES_MATRIX!$A8,CNXL_SQL_2!$E:$E,ES_MATRIX!$J$2)</f>
        <v/>
      </c>
      <c r="K8" s="1">
        <f>CONCATENATE(IF(B8&gt;0,CONCATENATE($B$2,"-",B8," "),""),IF(C8&gt;0,CONCATENATE($C$2,"-",C8," "),""),IF(D8&gt;0,CONCATENATE($D$2,"-",D8," "),""),IF(E8&gt;0,CONCATENATE($E$2,"-",E8," "),""),IF(F8&gt;0,CONCATENATE($F$2,"-",F8," "),""),IF(G8&gt;0,CONCATENATE($G$2,"-",G8," "),""),IF(H8&gt;0,CONCATENATE($H$2,"-",H8," "),""),IF(I8&gt;0,CONCATENATE($I$2,"-",I8),""),IF(J8&gt;0,CONCATENATE($J$2,"-",J8),""))</f>
        <v/>
      </c>
      <c r="L8">
        <f>SUM(B8:J8)</f>
        <v/>
      </c>
    </row>
    <row r="9">
      <c r="A9" t="inlineStr">
        <is>
          <t>YV</t>
        </is>
      </c>
      <c r="B9">
        <f>SUMIFS(CNXL_SQL_2!$F:$F,CNXL_SQL_2!$A:$A,ES_MATRIX!$A9,CNXL_SQL_2!$E:$E,ES_MATRIX!$B$2)</f>
        <v/>
      </c>
      <c r="C9">
        <f>SUMIFS(CNXL_SQL_2!$F:$F,CNXL_SQL_2!$A:$A,ES_MATRIX!$A9,CNXL_SQL_2!$E:$E,ES_MATRIX!$C$2)</f>
        <v/>
      </c>
      <c r="D9">
        <f>SUMIFS(CNXL_SQL_2!$F:$F,CNXL_SQL_2!$A:$A,ES_MATRIX!$A9,CNXL_SQL_2!$E:$E,ES_MATRIX!$D$2)</f>
        <v/>
      </c>
      <c r="E9">
        <f>SUMIFS(CNXL_SQL_2!$F:$F,CNXL_SQL_2!$A:$A,ES_MATRIX!$A9,CNXL_SQL_2!$E:$E,ES_MATRIX!$E$2)</f>
        <v/>
      </c>
      <c r="F9">
        <f>SUMIFS(CNXL_SQL_2!$F:$F,CNXL_SQL_2!$A:$A,ES_MATRIX!$A9,CNXL_SQL_2!$E:$E,ES_MATRIX!$F$2)</f>
        <v/>
      </c>
      <c r="G9">
        <f>SUMIFS(CNXL_SQL_2!$F:$F,CNXL_SQL_2!$A:$A,ES_MATRIX!$A9,CNXL_SQL_2!$E:$E,ES_MATRIX!$G$2)</f>
        <v/>
      </c>
      <c r="H9">
        <f>SUMIFS(CNXL_SQL_2!$F:$F,CNXL_SQL_2!$A:$A,ES_MATRIX!$A9,CNXL_SQL_2!$E:$E,ES_MATRIX!$H$2)</f>
        <v/>
      </c>
      <c r="I9">
        <f>SUMIFS(CNXL_SQL_2!$F:$F,CNXL_SQL_2!$A:$A,ES_MATRIX!$A9,CNXL_SQL_2!$E:$E,ES_MATRIX!$I$2)</f>
        <v/>
      </c>
      <c r="J9">
        <f>SUMIFS(CNXL_SQL_2!$F:$F,CNXL_SQL_2!$A:$A,ES_MATRIX!$A9,CNXL_SQL_2!$E:$E,ES_MATRIX!$J$2)</f>
        <v/>
      </c>
      <c r="K9" s="1">
        <f>CONCATENATE(IF(B9&gt;0,CONCATENATE($B$2,"-",B9," "),""),IF(C9&gt;0,CONCATENATE($C$2,"-",C9," "),""),IF(D9&gt;0,CONCATENATE($D$2,"-",D9," "),""),IF(E9&gt;0,CONCATENATE($E$2,"-",E9," "),""),IF(F9&gt;0,CONCATENATE($F$2,"-",F9," "),""),IF(G9&gt;0,CONCATENATE($G$2,"-",G9," "),""),IF(H9&gt;0,CONCATENATE($H$2,"-",H9," "),""),IF(I9&gt;0,CONCATENATE($I$2,"-",I9),""),IF(J9&gt;0,CONCATENATE($J$2,"-",J9),""))</f>
        <v/>
      </c>
      <c r="L9">
        <f>SUM(B9:J9)</f>
        <v/>
      </c>
    </row>
    <row r="10">
      <c r="A10" t="inlineStr">
        <is>
          <t>ZW</t>
        </is>
      </c>
      <c r="B10">
        <f>SUMIFS(CNXL_SQL_2!$F:$F,CNXL_SQL_2!$A:$A,ES_MATRIX!$A10,CNXL_SQL_2!$E:$E,ES_MATRIX!$B$2)</f>
        <v/>
      </c>
      <c r="C10">
        <f>SUMIFS(CNXL_SQL_2!$F:$F,CNXL_SQL_2!$A:$A,ES_MATRIX!$A10,CNXL_SQL_2!$E:$E,ES_MATRIX!$C$2)</f>
        <v/>
      </c>
      <c r="D10">
        <f>SUMIFS(CNXL_SQL_2!$F:$F,CNXL_SQL_2!$A:$A,ES_MATRIX!$A10,CNXL_SQL_2!$E:$E,ES_MATRIX!$D$2)</f>
        <v/>
      </c>
      <c r="E10">
        <f>SUMIFS(CNXL_SQL_2!$F:$F,CNXL_SQL_2!$A:$A,ES_MATRIX!$A10,CNXL_SQL_2!$E:$E,ES_MATRIX!$E$2)</f>
        <v/>
      </c>
      <c r="F10">
        <f>SUMIFS(CNXL_SQL_2!$F:$F,CNXL_SQL_2!$A:$A,ES_MATRIX!$A10,CNXL_SQL_2!$E:$E,ES_MATRIX!$F$2)</f>
        <v/>
      </c>
      <c r="G10">
        <f>SUMIFS(CNXL_SQL_2!$F:$F,CNXL_SQL_2!$A:$A,ES_MATRIX!$A10,CNXL_SQL_2!$E:$E,ES_MATRIX!$G$2)</f>
        <v/>
      </c>
      <c r="H10">
        <f>SUMIFS(CNXL_SQL_2!$F:$F,CNXL_SQL_2!$A:$A,ES_MATRIX!$A10,CNXL_SQL_2!$E:$E,ES_MATRIX!$H$2)</f>
        <v/>
      </c>
      <c r="I10">
        <f>SUMIFS(CNXL_SQL_2!$F:$F,CNXL_SQL_2!$A:$A,ES_MATRIX!$A10,CNXL_SQL_2!$E:$E,ES_MATRIX!$I$2)</f>
        <v/>
      </c>
      <c r="J10">
        <f>SUMIFS(CNXL_SQL_2!$F:$F,CNXL_SQL_2!$A:$A,ES_MATRIX!$A10,CNXL_SQL_2!$E:$E,ES_MATRIX!$J$2)</f>
        <v/>
      </c>
      <c r="K10" s="1">
        <f>CONCATENATE(IF(B10&gt;0,CONCATENATE($B$2,"-",B10," "),""),IF(C10&gt;0,CONCATENATE($C$2,"-",C10," "),""),IF(D10&gt;0,CONCATENATE($D$2,"-",D10," "),""),IF(E10&gt;0,CONCATENATE($E$2,"-",E10," "),""),IF(F10&gt;0,CONCATENATE($F$2,"-",F10," "),""),IF(G10&gt;0,CONCATENATE($G$2,"-",G10," "),""),IF(H10&gt;0,CONCATENATE($H$2,"-",H10," "),""),IF(I10&gt;0,CONCATENATE($I$2,"-",I10),""),IF(J10&gt;0,CONCATENATE($J$2,"-",J10),""))</f>
        <v/>
      </c>
      <c r="L10">
        <f>SUM(B10:J10)</f>
        <v/>
      </c>
    </row>
    <row r="11" ht="15" customHeight="1" s="286" thickBot="1"/>
    <row r="12" ht="15" customHeight="1" s="286" thickBot="1">
      <c r="A12" s="312" t="inlineStr">
        <is>
          <t>Residual Cancel Detail</t>
        </is>
      </c>
      <c r="B12" s="350" t="n"/>
      <c r="C12" s="350" t="n"/>
      <c r="D12" s="350" t="n"/>
      <c r="E12" s="350" t="n"/>
      <c r="F12" s="350" t="n"/>
      <c r="G12" s="350" t="n"/>
      <c r="H12" s="350" t="n"/>
      <c r="I12" s="350" t="n"/>
      <c r="J12" s="350" t="n"/>
      <c r="K12" s="350" t="n"/>
      <c r="L12" s="350" t="n"/>
      <c r="M12" s="350" t="n"/>
      <c r="N12" s="350" t="n"/>
      <c r="O12" s="350" t="n"/>
    </row>
    <row r="13">
      <c r="B13" t="inlineStr">
        <is>
          <t>EV</t>
        </is>
      </c>
      <c r="C13" t="inlineStr">
        <is>
          <t>OO</t>
        </is>
      </c>
      <c r="D13" t="inlineStr">
        <is>
          <t>AX</t>
        </is>
      </c>
      <c r="E13" t="inlineStr">
        <is>
          <t>YX</t>
        </is>
      </c>
      <c r="F13" t="inlineStr">
        <is>
          <t>G7</t>
        </is>
      </c>
      <c r="G13" t="inlineStr">
        <is>
          <t>C5</t>
        </is>
      </c>
      <c r="H13" t="inlineStr">
        <is>
          <t>YV</t>
        </is>
      </c>
      <c r="I13" t="inlineStr">
        <is>
          <t>ZW</t>
        </is>
      </c>
      <c r="J13" t="inlineStr">
        <is>
          <t>UA</t>
        </is>
      </c>
      <c r="K13" t="inlineStr">
        <is>
          <t>ES Covered for this partner</t>
        </is>
      </c>
      <c r="L13" t="inlineStr">
        <is>
          <t>Total</t>
        </is>
      </c>
    </row>
    <row r="14">
      <c r="A14" t="inlineStr">
        <is>
          <t>EV</t>
        </is>
      </c>
      <c r="B14">
        <f>SUMIFS(RES_CNXL_SQL_3!$F:$F,RES_CNXL_SQL_3!$A:$A,ES_MATRIX!$A14,RES_CNXL_SQL_3!$E:$E,ES_MATRIX!$B$2)</f>
        <v/>
      </c>
      <c r="C14">
        <f>SUMIFS(RES_CNXL_SQL_3!$F:$F,RES_CNXL_SQL_3!$A:$A,ES_MATRIX!$A14,RES_CNXL_SQL_3!$E:$E,ES_MATRIX!$C$2)</f>
        <v/>
      </c>
      <c r="D14">
        <f>SUMIFS(RES_CNXL_SQL_3!$F:$F,RES_CNXL_SQL_3!$A:$A,ES_MATRIX!$A14,RES_CNXL_SQL_3!$E:$E,ES_MATRIX!$D$2)</f>
        <v/>
      </c>
      <c r="E14">
        <f>SUMIFS(RES_CNXL_SQL_3!$F:$F,RES_CNXL_SQL_3!$A:$A,ES_MATRIX!$A14,RES_CNXL_SQL_3!$E:$E,ES_MATRIX!$E$2)</f>
        <v/>
      </c>
      <c r="F14">
        <f>SUMIFS(RES_CNXL_SQL_3!$F:$F,RES_CNXL_SQL_3!$A:$A,ES_MATRIX!$A14,RES_CNXL_SQL_3!$E:$E,ES_MATRIX!$F$2)</f>
        <v/>
      </c>
      <c r="G14">
        <f>SUMIFS(RES_CNXL_SQL_3!$F:$F,RES_CNXL_SQL_3!$A:$A,ES_MATRIX!$A14,RES_CNXL_SQL_3!$E:$E,ES_MATRIX!$G$2)</f>
        <v/>
      </c>
      <c r="H14">
        <f>SUMIFS(RES_CNXL_SQL_3!$F:$F,RES_CNXL_SQL_3!$A:$A,ES_MATRIX!$A14,RES_CNXL_SQL_3!$E:$E,ES_MATRIX!$H$2)</f>
        <v/>
      </c>
      <c r="I14">
        <f>SUMIFS(RES_CNXL_SQL_3!$F:$F,RES_CNXL_SQL_3!$A:$A,ES_MATRIX!$A14,RES_CNXL_SQL_3!$E:$E,ES_MATRIX!$I$2)</f>
        <v/>
      </c>
      <c r="J14">
        <f>SUMIFS(RES_CNXL_SQL_3!$F:$F,RES_CNXL_SQL_3!$A:$A,ES_MATRIX!$A14,RES_CNXL_SQL_3!$E:$E,ES_MATRIX!$J$13)</f>
        <v/>
      </c>
      <c r="K14" s="1">
        <f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/>
      </c>
    </row>
    <row r="15">
      <c r="A15" t="inlineStr">
        <is>
          <t>OO</t>
        </is>
      </c>
      <c r="B15">
        <f>SUMIFS(RES_CNXL_SQL_3!$F:$F,RES_CNXL_SQL_3!$A:$A,ES_MATRIX!$A15,RES_CNXL_SQL_3!$E:$E,ES_MATRIX!$B$2)</f>
        <v/>
      </c>
      <c r="C15">
        <f>SUMIFS(RES_CNXL_SQL_3!$F:$F,RES_CNXL_SQL_3!$A:$A,ES_MATRIX!$A15,RES_CNXL_SQL_3!$E:$E,ES_MATRIX!$C$2)</f>
        <v/>
      </c>
      <c r="D15">
        <f>SUMIFS(RES_CNXL_SQL_3!$F:$F,RES_CNXL_SQL_3!$A:$A,ES_MATRIX!$A15,RES_CNXL_SQL_3!$E:$E,ES_MATRIX!$D$2)</f>
        <v/>
      </c>
      <c r="E15">
        <f>SUMIFS(RES_CNXL_SQL_3!$F:$F,RES_CNXL_SQL_3!$A:$A,ES_MATRIX!$A15,RES_CNXL_SQL_3!$E:$E,ES_MATRIX!$E$2)</f>
        <v/>
      </c>
      <c r="F15">
        <f>SUMIFS(RES_CNXL_SQL_3!$F:$F,RES_CNXL_SQL_3!$A:$A,ES_MATRIX!$A15,RES_CNXL_SQL_3!$E:$E,ES_MATRIX!$F$2)</f>
        <v/>
      </c>
      <c r="G15">
        <f>SUMIFS(RES_CNXL_SQL_3!$F:$F,RES_CNXL_SQL_3!$A:$A,ES_MATRIX!$A15,RES_CNXL_SQL_3!$E:$E,ES_MATRIX!$G$2)</f>
        <v/>
      </c>
      <c r="H15">
        <f>SUMIFS(RES_CNXL_SQL_3!$F:$F,RES_CNXL_SQL_3!$A:$A,ES_MATRIX!$A15,RES_CNXL_SQL_3!$E:$E,ES_MATRIX!$H$2)</f>
        <v/>
      </c>
      <c r="I15">
        <f>SUMIFS(RES_CNXL_SQL_3!$F:$F,RES_CNXL_SQL_3!$A:$A,ES_MATRIX!$A15,RES_CNXL_SQL_3!$E:$E,ES_MATRIX!$I$2)</f>
        <v/>
      </c>
      <c r="J15">
        <f>SUMIFS(RES_CNXL_SQL_3!$F:$F,RES_CNXL_SQL_3!$A:$A,ES_MATRIX!$A15,RES_CNXL_SQL_3!$E:$E,ES_MATRIX!$J$13)</f>
        <v/>
      </c>
      <c r="K15" s="1">
        <f>CONCATENATE(IF(B15&gt;0,CONCATENATE($B$2,"-",B15," "),""),IF(C15&gt;0,CONCATENATE($C$2,"-",C15," "),""),IF(D15&gt;0,CONCATENATE($D$2,"-",D15," "),""),IF(E15&gt;0,CONCATENATE($E$2,"-",E15," "),""),IF(F15&gt;0,CONCATENATE($F$2,"-",F15," "),""),IF(G15&gt;0,CONCATENATE($G$2,"-",G15," "),""),IF(H15&gt;0,CONCATENATE($H$2,"-",H15," "),""),IF(I15&gt;0,CONCATENATE($I$2,"-",I15),""),IF(J15&gt;0,CONCATENATE($J$2,"-",J15),""))</f>
        <v/>
      </c>
      <c r="L15">
        <f>SUM(B15:J15)</f>
        <v/>
      </c>
    </row>
    <row r="16">
      <c r="A16" t="inlineStr">
        <is>
          <t>AX</t>
        </is>
      </c>
      <c r="B16">
        <f>SUMIFS(RES_CNXL_SQL_3!$F:$F,RES_CNXL_SQL_3!$A:$A,ES_MATRIX!$A16,RES_CNXL_SQL_3!$E:$E,ES_MATRIX!$B$2)</f>
        <v/>
      </c>
      <c r="C16">
        <f>SUMIFS(RES_CNXL_SQL_3!$F:$F,RES_CNXL_SQL_3!$A:$A,ES_MATRIX!$A16,RES_CNXL_SQL_3!$E:$E,ES_MATRIX!$C$2)</f>
        <v/>
      </c>
      <c r="D16">
        <f>SUMIFS(RES_CNXL_SQL_3!$F:$F,RES_CNXL_SQL_3!$A:$A,ES_MATRIX!$A16,RES_CNXL_SQL_3!$E:$E,ES_MATRIX!$D$2)</f>
        <v/>
      </c>
      <c r="E16">
        <f>SUMIFS(RES_CNXL_SQL_3!$F:$F,RES_CNXL_SQL_3!$A:$A,ES_MATRIX!$A16,RES_CNXL_SQL_3!$E:$E,ES_MATRIX!$E$2)</f>
        <v/>
      </c>
      <c r="F16">
        <f>SUMIFS(RES_CNXL_SQL_3!$F:$F,RES_CNXL_SQL_3!$A:$A,ES_MATRIX!$A16,RES_CNXL_SQL_3!$E:$E,ES_MATRIX!$F$2)</f>
        <v/>
      </c>
      <c r="G16">
        <f>SUMIFS(RES_CNXL_SQL_3!$F:$F,RES_CNXL_SQL_3!$A:$A,ES_MATRIX!$A16,RES_CNXL_SQL_3!$E:$E,ES_MATRIX!$G$2)</f>
        <v/>
      </c>
      <c r="H16">
        <f>SUMIFS(RES_CNXL_SQL_3!$F:$F,RES_CNXL_SQL_3!$A:$A,ES_MATRIX!$A16,RES_CNXL_SQL_3!$E:$E,ES_MATRIX!$H$2)</f>
        <v/>
      </c>
      <c r="I16">
        <f>SUMIFS(RES_CNXL_SQL_3!$F:$F,RES_CNXL_SQL_3!$A:$A,ES_MATRIX!$A16,RES_CNXL_SQL_3!$E:$E,ES_MATRIX!$I$2)</f>
        <v/>
      </c>
      <c r="J16">
        <f>SUMIFS(RES_CNXL_SQL_3!$F:$F,RES_CNXL_SQL_3!$A:$A,ES_MATRIX!$A16,RES_CNXL_SQL_3!$E:$E,ES_MATRIX!$J$13)</f>
        <v/>
      </c>
      <c r="K16" s="1">
        <f>CONCATENATE(IF(B16&gt;0,CONCATENATE($B$2,"-",B16," "),""),IF(C16&gt;0,CONCATENATE($C$2,"-",C16," "),""),IF(D16&gt;0,CONCATENATE($D$2,"-",D16," "),""),IF(E16&gt;0,CONCATENATE($E$2,"-",E16," "),""),IF(F16&gt;0,CONCATENATE($F$2,"-",F16," "),""),IF(G16&gt;0,CONCATENATE($G$2,"-",G16," "),""),IF(H16&gt;0,CONCATENATE($H$2,"-",H16," "),""),IF(I16&gt;0,CONCATENATE($I$2,"-",I16),""),IF(J16&gt;0,CONCATENATE($J$2,"-",J16),""))</f>
        <v/>
      </c>
      <c r="L16">
        <f>SUM(B16:J16)</f>
        <v/>
      </c>
    </row>
    <row r="17">
      <c r="A17" t="inlineStr">
        <is>
          <t>YX</t>
        </is>
      </c>
      <c r="B17">
        <f>SUMIFS(RES_CNXL_SQL_3!$F:$F,RES_CNXL_SQL_3!$A:$A,ES_MATRIX!$A17,RES_CNXL_SQL_3!$E:$E,ES_MATRIX!$B$2)</f>
        <v/>
      </c>
      <c r="C17">
        <f>SUMIFS(RES_CNXL_SQL_3!$F:$F,RES_CNXL_SQL_3!$A:$A,ES_MATRIX!$A17,RES_CNXL_SQL_3!$E:$E,ES_MATRIX!$C$2)</f>
        <v/>
      </c>
      <c r="D17">
        <f>SUMIFS(RES_CNXL_SQL_3!$F:$F,RES_CNXL_SQL_3!$A:$A,ES_MATRIX!$A17,RES_CNXL_SQL_3!$E:$E,ES_MATRIX!$D$2)</f>
        <v/>
      </c>
      <c r="E17">
        <f>SUMIFS(RES_CNXL_SQL_3!$F:$F,RES_CNXL_SQL_3!$A:$A,ES_MATRIX!$A17,RES_CNXL_SQL_3!$E:$E,ES_MATRIX!$E$2)</f>
        <v/>
      </c>
      <c r="F17">
        <f>SUMIFS(RES_CNXL_SQL_3!$F:$F,RES_CNXL_SQL_3!$A:$A,ES_MATRIX!$A17,RES_CNXL_SQL_3!$E:$E,ES_MATRIX!$F$2)</f>
        <v/>
      </c>
      <c r="G17">
        <f>SUMIFS(RES_CNXL_SQL_3!$F:$F,RES_CNXL_SQL_3!$A:$A,ES_MATRIX!$A17,RES_CNXL_SQL_3!$E:$E,ES_MATRIX!$G$2)</f>
        <v/>
      </c>
      <c r="H17">
        <f>SUMIFS(RES_CNXL_SQL_3!$F:$F,RES_CNXL_SQL_3!$A:$A,ES_MATRIX!$A17,RES_CNXL_SQL_3!$E:$E,ES_MATRIX!$H$2)</f>
        <v/>
      </c>
      <c r="I17">
        <f>SUMIFS(RES_CNXL_SQL_3!$F:$F,RES_CNXL_SQL_3!$A:$A,ES_MATRIX!$A17,RES_CNXL_SQL_3!$E:$E,ES_MATRIX!$I$2)</f>
        <v/>
      </c>
      <c r="J17">
        <f>SUMIFS(RES_CNXL_SQL_3!$F:$F,RES_CNXL_SQL_3!$A:$A,ES_MATRIX!$A17,RES_CNXL_SQL_3!$E:$E,ES_MATRIX!$J$13)</f>
        <v/>
      </c>
      <c r="K17" s="1">
        <f>CONCATENATE(IF(B17&gt;0,CONCATENATE($B$2,"-",B17," "),""),IF(C17&gt;0,CONCATENATE($C$2,"-",C17," "),""),IF(D17&gt;0,CONCATENATE($D$2,"-",D17," "),""),IF(E17&gt;0,CONCATENATE($E$2,"-",E17," "),""),IF(F17&gt;0,CONCATENATE($F$2,"-",F17," "),""),IF(G17&gt;0,CONCATENATE($G$2,"-",G17," "),""),IF(H17&gt;0,CONCATENATE($H$2,"-",H17," "),""),IF(I17&gt;0,CONCATENATE($I$2,"-",I17),""),IF(J17&gt;0,CONCATENATE($J$2,"-",J17),""))</f>
        <v/>
      </c>
      <c r="L17">
        <f>SUM(B17:J17)</f>
        <v/>
      </c>
    </row>
    <row r="18">
      <c r="A18" t="inlineStr">
        <is>
          <t>G7</t>
        </is>
      </c>
      <c r="B18">
        <f>SUMIFS(RES_CNXL_SQL_3!$F:$F,RES_CNXL_SQL_3!$A:$A,ES_MATRIX!$A18,RES_CNXL_SQL_3!$E:$E,ES_MATRIX!$B$2)</f>
        <v/>
      </c>
      <c r="C18">
        <f>SUMIFS(RES_CNXL_SQL_3!$F:$F,RES_CNXL_SQL_3!$A:$A,ES_MATRIX!$A18,RES_CNXL_SQL_3!$E:$E,ES_MATRIX!$C$2)</f>
        <v/>
      </c>
      <c r="D18">
        <f>SUMIFS(RES_CNXL_SQL_3!$F:$F,RES_CNXL_SQL_3!$A:$A,ES_MATRIX!$A18,RES_CNXL_SQL_3!$E:$E,ES_MATRIX!$D$2)</f>
        <v/>
      </c>
      <c r="E18">
        <f>SUMIFS(RES_CNXL_SQL_3!$F:$F,RES_CNXL_SQL_3!$A:$A,ES_MATRIX!$A18,RES_CNXL_SQL_3!$E:$E,ES_MATRIX!$E$2)</f>
        <v/>
      </c>
      <c r="F18">
        <f>SUMIFS(RES_CNXL_SQL_3!$F:$F,RES_CNXL_SQL_3!$A:$A,ES_MATRIX!$A18,RES_CNXL_SQL_3!$E:$E,ES_MATRIX!$F$2)</f>
        <v/>
      </c>
      <c r="G18">
        <f>SUMIFS(RES_CNXL_SQL_3!$F:$F,RES_CNXL_SQL_3!$A:$A,ES_MATRIX!$A18,RES_CNXL_SQL_3!$E:$E,ES_MATRIX!$G$2)</f>
        <v/>
      </c>
      <c r="H18">
        <f>SUMIFS(RES_CNXL_SQL_3!$F:$F,RES_CNXL_SQL_3!$A:$A,ES_MATRIX!$A18,RES_CNXL_SQL_3!$E:$E,ES_MATRIX!$H$2)</f>
        <v/>
      </c>
      <c r="I18">
        <f>SUMIFS(RES_CNXL_SQL_3!$F:$F,RES_CNXL_SQL_3!$A:$A,ES_MATRIX!$A18,RES_CNXL_SQL_3!$E:$E,ES_MATRIX!$I$2)</f>
        <v/>
      </c>
      <c r="J18">
        <f>SUMIFS(RES_CNXL_SQL_3!$F:$F,RES_CNXL_SQL_3!$A:$A,ES_MATRIX!$A18,RES_CNXL_SQL_3!$E:$E,ES_MATRIX!$J$13)</f>
        <v/>
      </c>
      <c r="K18" s="1">
        <f>CONCATENATE(IF(B18&gt;0,CONCATENATE($B$2,"-",B18," "),""),IF(C18&gt;0,CONCATENATE($C$2,"-",C18," "),""),IF(D18&gt;0,CONCATENATE($D$2,"-",D18," "),""),IF(E18&gt;0,CONCATENATE($E$2,"-",E18," "),""),IF(F18&gt;0,CONCATENATE($F$2,"-",F18," "),""),IF(G18&gt;0,CONCATENATE($G$2,"-",G18," "),""),IF(H18&gt;0,CONCATENATE($H$2,"-",H18," "),""),IF(I18&gt;0,CONCATENATE($I$2,"-",I18),""),IF(J18&gt;0,CONCATENATE($J$2,"-",J18),""))</f>
        <v/>
      </c>
      <c r="L18">
        <f>SUM(B18:J18)</f>
        <v/>
      </c>
    </row>
    <row r="19">
      <c r="A19" t="inlineStr">
        <is>
          <t>C5</t>
        </is>
      </c>
      <c r="B19">
        <f>SUMIFS(RES_CNXL_SQL_3!$F:$F,RES_CNXL_SQL_3!$A:$A,ES_MATRIX!$A19,RES_CNXL_SQL_3!$E:$E,ES_MATRIX!$B$2)</f>
        <v/>
      </c>
      <c r="C19">
        <f>SUMIFS(RES_CNXL_SQL_3!$F:$F,RES_CNXL_SQL_3!$A:$A,ES_MATRIX!$A19,RES_CNXL_SQL_3!$E:$E,ES_MATRIX!$C$2)</f>
        <v/>
      </c>
      <c r="D19">
        <f>SUMIFS(RES_CNXL_SQL_3!$F:$F,RES_CNXL_SQL_3!$A:$A,ES_MATRIX!$A19,RES_CNXL_SQL_3!$E:$E,ES_MATRIX!$D$2)</f>
        <v/>
      </c>
      <c r="E19">
        <f>SUMIFS(RES_CNXL_SQL_3!$F:$F,RES_CNXL_SQL_3!$A:$A,ES_MATRIX!$A19,RES_CNXL_SQL_3!$E:$E,ES_MATRIX!$E$2)</f>
        <v/>
      </c>
      <c r="F19">
        <f>SUMIFS(RES_CNXL_SQL_3!$F:$F,RES_CNXL_SQL_3!$A:$A,ES_MATRIX!$A19,RES_CNXL_SQL_3!$E:$E,ES_MATRIX!$F$2)</f>
        <v/>
      </c>
      <c r="G19">
        <f>SUMIFS(RES_CNXL_SQL_3!$F:$F,RES_CNXL_SQL_3!$A:$A,ES_MATRIX!$A19,RES_CNXL_SQL_3!$E:$E,ES_MATRIX!$G$2)</f>
        <v/>
      </c>
      <c r="H19">
        <f>SUMIFS(RES_CNXL_SQL_3!$F:$F,RES_CNXL_SQL_3!$A:$A,ES_MATRIX!$A19,RES_CNXL_SQL_3!$E:$E,ES_MATRIX!$H$2)</f>
        <v/>
      </c>
      <c r="I19">
        <f>SUMIFS(RES_CNXL_SQL_3!$F:$F,RES_CNXL_SQL_3!$A:$A,ES_MATRIX!$A19,RES_CNXL_SQL_3!$E:$E,ES_MATRIX!$I$2)</f>
        <v/>
      </c>
      <c r="J19">
        <f>SUMIFS(RES_CNXL_SQL_3!$F:$F,RES_CNXL_SQL_3!$A:$A,ES_MATRIX!$A19,RES_CNXL_SQL_3!$E:$E,ES_MATRIX!$J$13)</f>
        <v/>
      </c>
      <c r="K19" s="1">
        <f>CONCATENATE(IF(B19&gt;0,CONCATENATE($B$2,"-",B19," "),""),IF(C19&gt;0,CONCATENATE($C$2,"-",C19," "),""),IF(D19&gt;0,CONCATENATE($D$2,"-",D19," "),""),IF(E19&gt;0,CONCATENATE($E$2,"-",E19," "),""),IF(F19&gt;0,CONCATENATE($F$2,"-",F19," "),""),IF(G19&gt;0,CONCATENATE($G$2,"-",G19," "),""),IF(H19&gt;0,CONCATENATE($H$2,"-",H19," "),""),IF(I19&gt;0,CONCATENATE($I$2,"-",I19),""),IF(J19&gt;0,CONCATENATE($J$2,"-",J19),""))</f>
        <v/>
      </c>
      <c r="L19">
        <f>SUM(B19:J19)</f>
        <v/>
      </c>
    </row>
    <row r="20">
      <c r="A20" t="inlineStr">
        <is>
          <t>YV</t>
        </is>
      </c>
      <c r="B20">
        <f>SUMIFS(RES_CNXL_SQL_3!$F:$F,RES_CNXL_SQL_3!$A:$A,ES_MATRIX!$A20,RES_CNXL_SQL_3!$E:$E,ES_MATRIX!$B$2)</f>
        <v/>
      </c>
      <c r="C20">
        <f>SUMIFS(RES_CNXL_SQL_3!$F:$F,RES_CNXL_SQL_3!$A:$A,ES_MATRIX!$A20,RES_CNXL_SQL_3!$E:$E,ES_MATRIX!$C$2)</f>
        <v/>
      </c>
      <c r="D20">
        <f>SUMIFS(RES_CNXL_SQL_3!$F:$F,RES_CNXL_SQL_3!$A:$A,ES_MATRIX!$A20,RES_CNXL_SQL_3!$E:$E,ES_MATRIX!$D$2)</f>
        <v/>
      </c>
      <c r="E20">
        <f>SUMIFS(RES_CNXL_SQL_3!$F:$F,RES_CNXL_SQL_3!$A:$A,ES_MATRIX!$A20,RES_CNXL_SQL_3!$E:$E,ES_MATRIX!$E$2)</f>
        <v/>
      </c>
      <c r="F20">
        <f>SUMIFS(RES_CNXL_SQL_3!$F:$F,RES_CNXL_SQL_3!$A:$A,ES_MATRIX!$A20,RES_CNXL_SQL_3!$E:$E,ES_MATRIX!$F$2)</f>
        <v/>
      </c>
      <c r="G20">
        <f>SUMIFS(RES_CNXL_SQL_3!$F:$F,RES_CNXL_SQL_3!$A:$A,ES_MATRIX!$A20,RES_CNXL_SQL_3!$E:$E,ES_MATRIX!$G$2)</f>
        <v/>
      </c>
      <c r="H20">
        <f>SUMIFS(RES_CNXL_SQL_3!$F:$F,RES_CNXL_SQL_3!$A:$A,ES_MATRIX!$A20,RES_CNXL_SQL_3!$E:$E,ES_MATRIX!$H$2)</f>
        <v/>
      </c>
      <c r="I20">
        <f>SUMIFS(RES_CNXL_SQL_3!$F:$F,RES_CNXL_SQL_3!$A:$A,ES_MATRIX!$A20,RES_CNXL_SQL_3!$E:$E,ES_MATRIX!$I$2)</f>
        <v/>
      </c>
      <c r="J20">
        <f>SUMIFS(RES_CNXL_SQL_3!$F:$F,RES_CNXL_SQL_3!$A:$A,ES_MATRIX!$A20,RES_CNXL_SQL_3!$E:$E,ES_MATRIX!$J$13)</f>
        <v/>
      </c>
      <c r="K20" s="1">
        <f>CONCATENATE(IF(B20&gt;0,CONCATENATE($B$2,"-",B20," "),""),IF(C20&gt;0,CONCATENATE($C$2,"-",C20," "),""),IF(D20&gt;0,CONCATENATE($D$2,"-",D20," "),""),IF(E20&gt;0,CONCATENATE($E$2,"-",E20," "),""),IF(F20&gt;0,CONCATENATE($F$2,"-",F20," "),""),IF(G20&gt;0,CONCATENATE($G$2,"-",G20," "),""),IF(H20&gt;0,CONCATENATE($H$2,"-",H20," "),""),IF(I20&gt;0,CONCATENATE($I$2,"-",I20),""),IF(J20&gt;0,CONCATENATE($J$2,"-",J20),""))</f>
        <v/>
      </c>
      <c r="L20">
        <f>SUM(B20:J20)</f>
        <v/>
      </c>
    </row>
    <row r="21">
      <c r="A21" t="inlineStr">
        <is>
          <t>ZW</t>
        </is>
      </c>
      <c r="B21">
        <f>SUMIFS(RES_CNXL_SQL_3!$F:$F,RES_CNXL_SQL_3!$A:$A,ES_MATRIX!$A21,RES_CNXL_SQL_3!$E:$E,ES_MATRIX!$B$2)</f>
        <v/>
      </c>
      <c r="C21">
        <f>SUMIFS(RES_CNXL_SQL_3!$F:$F,RES_CNXL_SQL_3!$A:$A,ES_MATRIX!$A21,RES_CNXL_SQL_3!$E:$E,ES_MATRIX!$C$2)</f>
        <v/>
      </c>
      <c r="D21">
        <f>SUMIFS(RES_CNXL_SQL_3!$F:$F,RES_CNXL_SQL_3!$A:$A,ES_MATRIX!$A21,RES_CNXL_SQL_3!$E:$E,ES_MATRIX!$D$2)</f>
        <v/>
      </c>
      <c r="E21">
        <f>SUMIFS(RES_CNXL_SQL_3!$F:$F,RES_CNXL_SQL_3!$A:$A,ES_MATRIX!$A21,RES_CNXL_SQL_3!$E:$E,ES_MATRIX!$E$2)</f>
        <v/>
      </c>
      <c r="F21">
        <f>SUMIFS(RES_CNXL_SQL_3!$F:$F,RES_CNXL_SQL_3!$A:$A,ES_MATRIX!$A21,RES_CNXL_SQL_3!$E:$E,ES_MATRIX!$F$2)</f>
        <v/>
      </c>
      <c r="G21">
        <f>SUMIFS(RES_CNXL_SQL_3!$F:$F,RES_CNXL_SQL_3!$A:$A,ES_MATRIX!$A21,RES_CNXL_SQL_3!$E:$E,ES_MATRIX!$G$2)</f>
        <v/>
      </c>
      <c r="H21">
        <f>SUMIFS(RES_CNXL_SQL_3!$F:$F,RES_CNXL_SQL_3!$A:$A,ES_MATRIX!$A21,RES_CNXL_SQL_3!$E:$E,ES_MATRIX!$H$2)</f>
        <v/>
      </c>
      <c r="I21">
        <f>SUMIFS(RES_CNXL_SQL_3!$F:$F,RES_CNXL_SQL_3!$A:$A,ES_MATRIX!$A21,RES_CNXL_SQL_3!$E:$E,ES_MATRIX!$I$2)</f>
        <v/>
      </c>
      <c r="J21">
        <f>SUMIFS(RES_CNXL_SQL_3!$F:$F,RES_CNXL_SQL_3!$A:$A,ES_MATRIX!$A21,RES_CNXL_SQL_3!$E:$E,ES_MATRIX!$J$13)</f>
        <v/>
      </c>
      <c r="K21" s="1">
        <f>CONCATENATE(IF(B21&gt;0,CONCATENATE($B$2,"-",B21," "),""),IF(C21&gt;0,CONCATENATE($C$2,"-",C21," "),""),IF(D21&gt;0,CONCATENATE($D$2,"-",D21," "),""),IF(E21&gt;0,CONCATENATE($E$2,"-",E21," "),""),IF(F21&gt;0,CONCATENATE($F$2,"-",F21," "),""),IF(G21&gt;0,CONCATENATE($G$2,"-",G21," "),""),IF(H21&gt;0,CONCATENATE($H$2,"-",H21," "),""),IF(I21&gt;0,CONCATENATE($I$2,"-",I21),""),IF(J21&gt;0,CONCATENATE($J$2,"-",J21),""))</f>
        <v/>
      </c>
      <c r="L21">
        <f>SUM(B21:J21)</f>
        <v/>
      </c>
    </row>
    <row r="24">
      <c r="A24" s="336" t="inlineStr">
        <is>
          <t>Cancel</t>
        </is>
      </c>
      <c r="E24" s="337" t="inlineStr">
        <is>
          <t>Residual Cancel</t>
        </is>
      </c>
    </row>
    <row r="25">
      <c r="A25" t="inlineStr">
        <is>
          <t>OO</t>
        </is>
      </c>
      <c r="B25">
        <f>IF((SUMIFS(CNXL_SQL_2!$F:$F,CNXL_SQL_2!$E:$E,'Pg2'!$T22))=0,"",SUMIFS(CNXL_SQL_2!$F:$F,CNXL_SQL_2!$E:$E,'Pg2'!$T22))</f>
        <v/>
      </c>
      <c r="E25" t="inlineStr">
        <is>
          <t>OO</t>
        </is>
      </c>
      <c r="F25">
        <f>IF((SUMIF(RES_CNXL_SQL_3!$F:$F,RES_CNXL_SQL_3!$E:$E,'Pg2'!$T22))=0,"",SUMIF(RES_CNXL_SQL_3!$F:$F,RES_CNXL_SQL_3!$E:$E,'Pg2'!$T22))</f>
        <v/>
      </c>
    </row>
    <row r="26">
      <c r="A26" t="inlineStr">
        <is>
          <t>YX</t>
        </is>
      </c>
      <c r="B26">
        <f>IF((SUMIFS(CNXL_SQL_2!$F:$F,CNXL_SQL_2!$E:$E,'Pg2'!$T23))=0,"",SUMIFS(CNXL_SQL_2!$F:$F,CNXL_SQL_2!$E:$E,'Pg2'!$T23))</f>
        <v/>
      </c>
      <c r="E26" t="inlineStr">
        <is>
          <t>YX</t>
        </is>
      </c>
      <c r="F26">
        <f>IF((SUMIF(RES_CNXL_SQL_3!$F:$F,RES_CNXL_SQL_3!$E:$E,'Pg2'!$T23))=0,"",SUMIF(RES_CNXL_SQL_3!$F:$F,RES_CNXL_SQL_3!$E:$E,'Pg2'!$T23))</f>
        <v/>
      </c>
    </row>
    <row r="27">
      <c r="A27" t="inlineStr">
        <is>
          <t>G7</t>
        </is>
      </c>
      <c r="B27">
        <f>IF((SUMIFS(CNXL_SQL_2!$F:$F,CNXL_SQL_2!$E:$E,'Pg2'!$T24))=0,"",SUMIFS(CNXL_SQL_2!$F:$F,CNXL_SQL_2!$E:$E,'Pg2'!$T24))</f>
        <v/>
      </c>
      <c r="E27" t="inlineStr">
        <is>
          <t>G7</t>
        </is>
      </c>
      <c r="F27">
        <f>IF((SUMIF(RES_CNXL_SQL_3!$F:$F,RES_CNXL_SQL_3!$E:$E,'Pg2'!$T24))=0,"",SUMIF(RES_CNXL_SQL_3!$F:$F,RES_CNXL_SQL_3!$E:$E,'Pg2'!$T24))</f>
        <v/>
      </c>
    </row>
    <row r="28">
      <c r="A28" t="inlineStr">
        <is>
          <t>C5</t>
        </is>
      </c>
      <c r="B28">
        <f>IF((SUMIFS(CNXL_SQL_2!$F:$F,CNXL_SQL_2!$E:$E,'Pg2'!$T25))=0,"",SUMIFS(CNXL_SQL_2!$F:$F,CNXL_SQL_2!$E:$E,'Pg2'!$T25))</f>
        <v/>
      </c>
      <c r="E28" t="inlineStr">
        <is>
          <t>C5</t>
        </is>
      </c>
      <c r="F28">
        <f>IF((SUMIF(RES_CNXL_SQL_3!$F:$F,RES_CNXL_SQL_3!$E:$E,'Pg2'!$T25))=0,"",SUMIF(RES_CNXL_SQL_3!$F:$F,RES_CNXL_SQL_3!$E:$E,'Pg2'!$T25))</f>
        <v/>
      </c>
    </row>
    <row r="29">
      <c r="A29" t="inlineStr">
        <is>
          <t>YV</t>
        </is>
      </c>
      <c r="B29">
        <f>IF((SUMIFS(CNXL_SQL_2!$F:$F,CNXL_SQL_2!$E:$E,'Pg2'!$T26))=0,"",SUMIFS(CNXL_SQL_2!$F:$F,CNXL_SQL_2!$E:$E,'Pg2'!$T26))</f>
        <v/>
      </c>
      <c r="E29" t="inlineStr">
        <is>
          <t>YV</t>
        </is>
      </c>
      <c r="F29">
        <f>IF((SUMIF(RES_CNXL_SQL_3!$F:$F,RES_CNXL_SQL_3!$E:$E,'Pg2'!$T26))=0,"",SUMIF(RES_CNXL_SQL_3!$F:$F,RES_CNXL_SQL_3!$E:$E,'Pg2'!$T26))</f>
        <v/>
      </c>
    </row>
    <row r="30">
      <c r="A30" t="inlineStr">
        <is>
          <t>ZW</t>
        </is>
      </c>
      <c r="B30">
        <f>IF((SUMIFS(CNXL_SQL_2!$F:$F,CNXL_SQL_2!$E:$E,'Pg2'!$T27))=0,"",SUMIFS(CNXL_SQL_2!$F:$F,CNXL_SQL_2!$E:$E,'Pg2'!$T27))</f>
        <v/>
      </c>
      <c r="E30" t="inlineStr">
        <is>
          <t>ZW</t>
        </is>
      </c>
      <c r="F30">
        <f>IF((SUMIF(RES_CNXL_SQL_3!$F:$F,RES_CNXL_SQL_3!$E:$E,'Pg2'!$T27))=0,"",SUMIF(RES_CNXL_SQL_3!$F:$F,RES_CNXL_SQL_3!$E:$E,'Pg2'!$T27))</f>
        <v/>
      </c>
    </row>
  </sheetData>
  <mergeCells count="4">
    <mergeCell ref="A12:O12"/>
    <mergeCell ref="E24:F24"/>
    <mergeCell ref="A24:B24"/>
    <mergeCell ref="A1:O1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A1:O22"/>
  <sheetViews>
    <sheetView workbookViewId="0">
      <selection activeCell="G5" sqref="G5"/>
    </sheetView>
  </sheetViews>
  <sheetFormatPr baseColWidth="8" defaultRowHeight="14.5" outlineLevelCol="0"/>
  <cols>
    <col width="10.453125" bestFit="1" customWidth="1" style="286" min="5" max="5"/>
    <col width="12" bestFit="1" customWidth="1" style="286" min="6" max="6"/>
    <col width="12" customWidth="1" style="286" min="7" max="7"/>
  </cols>
  <sheetData>
    <row r="1">
      <c r="A1" t="inlineStr">
        <is>
          <t>CARRIER_CD</t>
        </is>
      </c>
      <c r="B1" s="133" t="inlineStr">
        <is>
          <t>REPORT_MONTH</t>
        </is>
      </c>
      <c r="C1" t="inlineStr">
        <is>
          <t>(GT_D0_GL/100)</t>
        </is>
      </c>
      <c r="D1" t="inlineStr">
        <is>
          <t>(A0_GL/100)</t>
        </is>
      </c>
      <c r="E1" t="inlineStr">
        <is>
          <t>(CF_GL/100)</t>
        </is>
      </c>
      <c r="F1" t="inlineStr">
        <is>
          <t>(GT_STAR0_GL/100)</t>
        </is>
      </c>
      <c r="G1" t="inlineStr">
        <is>
          <t>(CCF_GL/100)</t>
        </is>
      </c>
    </row>
    <row r="2">
      <c r="A2" t="inlineStr">
        <is>
          <t xml:space="preserve">XX  </t>
        </is>
      </c>
      <c r="B2" t="n">
        <v>1</v>
      </c>
      <c r="C2" s="132" t="n">
        <v>0.640361211</v>
      </c>
      <c r="D2" s="132" t="n">
        <v>0.591105185</v>
      </c>
      <c r="E2" s="132" t="n">
        <v>0.953816735</v>
      </c>
      <c r="F2" s="132" t="n">
        <v>0.88</v>
      </c>
      <c r="G2" s="132" t="n">
        <v>0.998104725</v>
      </c>
      <c r="H2" s="56" t="n"/>
      <c r="J2" s="376" t="n"/>
      <c r="K2" s="123" t="n"/>
      <c r="L2" t="inlineStr">
        <is>
          <t>To be updated</t>
        </is>
      </c>
      <c r="O2" t="inlineStr">
        <is>
          <t>SEL</t>
        </is>
      </c>
    </row>
    <row r="3">
      <c r="A3" t="inlineStr">
        <is>
          <t xml:space="preserve">XX  </t>
        </is>
      </c>
      <c r="B3" t="n">
        <v>2</v>
      </c>
      <c r="C3" s="132" t="n">
        <v>0.701467157</v>
      </c>
      <c r="D3" s="132" t="n">
        <v>0.629123147</v>
      </c>
      <c r="E3" s="132" t="n">
        <v>0.961970954</v>
      </c>
      <c r="F3" s="132" t="n">
        <v>0.88</v>
      </c>
      <c r="G3" s="132" t="n">
        <v>0.998356222</v>
      </c>
      <c r="H3" s="56" t="n"/>
      <c r="J3" s="376" t="n"/>
      <c r="O3" t="inlineStr">
        <is>
          <t xml:space="preserve">CARRIER_CD, </t>
        </is>
      </c>
    </row>
    <row r="4">
      <c r="A4" t="inlineStr">
        <is>
          <t xml:space="preserve">XX  </t>
        </is>
      </c>
      <c r="B4" t="n">
        <v>3</v>
      </c>
      <c r="C4" s="133" t="n">
        <v>0.7438822</v>
      </c>
      <c r="D4" s="133" t="n">
        <v>0.673921526</v>
      </c>
      <c r="E4" s="133" t="n">
        <v>0.965605129</v>
      </c>
      <c r="F4" s="132" t="n">
        <v>0.88</v>
      </c>
      <c r="G4" s="132" t="n">
        <v>0.997242356</v>
      </c>
      <c r="H4" s="56" t="n"/>
      <c r="J4" s="376" t="n"/>
      <c r="O4" t="inlineStr">
        <is>
          <t>--STA_CD,</t>
        </is>
      </c>
    </row>
    <row r="5">
      <c r="A5" s="123" t="inlineStr">
        <is>
          <t>Express</t>
        </is>
      </c>
      <c r="B5" s="123" t="n">
        <v>4</v>
      </c>
      <c r="C5" s="124" t="n">
        <v>0.7554999999999999</v>
      </c>
      <c r="D5" s="124" t="n">
        <v>0.6506</v>
      </c>
      <c r="E5" s="124" t="n">
        <v>0.9811</v>
      </c>
      <c r="F5" s="379" t="n">
        <v>0.87039804264</v>
      </c>
      <c r="G5" s="379" t="n">
        <v>0.99831964887</v>
      </c>
      <c r="H5" s="126" t="n"/>
      <c r="J5" s="376" t="n"/>
      <c r="O5" t="inlineStr">
        <is>
          <t>REPORT_MONTH</t>
        </is>
      </c>
    </row>
    <row r="6">
      <c r="A6" s="123" t="inlineStr">
        <is>
          <t>Express</t>
        </is>
      </c>
      <c r="B6" s="123" t="n">
        <v>5</v>
      </c>
      <c r="C6" s="124" t="n">
        <v>0.7365</v>
      </c>
      <c r="D6" s="124" t="n">
        <v>0.6504</v>
      </c>
      <c r="E6" s="124" t="n">
        <v>0.9823</v>
      </c>
      <c r="F6" s="379" t="n">
        <v>0.8605451838899999</v>
      </c>
      <c r="G6" s="379" t="n">
        <v>0.99843060722</v>
      </c>
      <c r="H6" s="126" t="n"/>
      <c r="J6" s="376" t="n"/>
    </row>
    <row r="7">
      <c r="A7" s="123" t="inlineStr">
        <is>
          <t>Express</t>
        </is>
      </c>
      <c r="B7" s="123" t="n">
        <v>6</v>
      </c>
      <c r="C7" s="124" t="n">
        <v>0.7102000000000001</v>
      </c>
      <c r="D7" s="124" t="n">
        <v>0.6098</v>
      </c>
      <c r="E7" s="124" t="n">
        <v>0.9781</v>
      </c>
      <c r="F7" s="379" t="n">
        <v>0.8589654862899999</v>
      </c>
      <c r="G7" s="379" t="n">
        <v>0.99805699895</v>
      </c>
      <c r="H7" s="126" t="n"/>
      <c r="J7" s="376" t="n"/>
    </row>
    <row r="8">
      <c r="A8" s="123" t="inlineStr">
        <is>
          <t>Express</t>
        </is>
      </c>
      <c r="B8" s="123" t="n">
        <v>7</v>
      </c>
      <c r="C8" s="124" t="n">
        <v>0.6998</v>
      </c>
      <c r="D8" s="124" t="n">
        <v>0.6216</v>
      </c>
      <c r="E8" s="124" t="n">
        <v>0.9702</v>
      </c>
      <c r="F8" s="379" t="n">
        <v>0.8582418312900001</v>
      </c>
      <c r="G8" s="379" t="n">
        <v>0.99735776297</v>
      </c>
      <c r="H8" s="126" t="n"/>
      <c r="J8" s="376" t="n"/>
      <c r="O8" t="inlineStr">
        <is>
          <t>,GT_D0_GL/100</t>
        </is>
      </c>
    </row>
    <row r="9">
      <c r="A9" s="123" t="inlineStr">
        <is>
          <t>Express</t>
        </is>
      </c>
      <c r="B9" s="123" t="n">
        <v>8</v>
      </c>
      <c r="C9" s="124" t="n">
        <v>0.6768</v>
      </c>
      <c r="D9" s="124" t="n">
        <v>0.6037</v>
      </c>
      <c r="E9" s="124" t="n">
        <v>0.9749</v>
      </c>
      <c r="F9" s="379" t="n">
        <v>0.86700285557</v>
      </c>
      <c r="G9" s="379" t="n">
        <v>0.99777271282</v>
      </c>
      <c r="H9" s="126" t="n"/>
      <c r="J9" s="376" t="n"/>
      <c r="O9" t="inlineStr">
        <is>
          <t>,A0_GL/100</t>
        </is>
      </c>
    </row>
    <row r="10">
      <c r="A10" s="123" t="inlineStr">
        <is>
          <t>Express</t>
        </is>
      </c>
      <c r="B10" s="123" t="n">
        <v>9</v>
      </c>
      <c r="C10" s="124" t="n">
        <v>0.7631</v>
      </c>
      <c r="D10" s="124" t="n">
        <v>0.6612</v>
      </c>
      <c r="E10" s="124" t="n">
        <v>0.9862</v>
      </c>
      <c r="F10" s="379" t="n">
        <v>0.91544995185</v>
      </c>
      <c r="G10" s="127" t="n">
        <v>0.99877524597</v>
      </c>
      <c r="H10" s="126" t="n"/>
      <c r="J10" s="376" t="n"/>
      <c r="O10" t="inlineStr">
        <is>
          <t>,CF_GL/100</t>
        </is>
      </c>
    </row>
    <row r="11">
      <c r="A11" s="123" t="inlineStr">
        <is>
          <t>Express</t>
        </is>
      </c>
      <c r="B11" s="123" t="n">
        <v>10</v>
      </c>
      <c r="C11" s="124" t="n">
        <v>0.7735</v>
      </c>
      <c r="D11" s="124" t="n">
        <v>0.6594</v>
      </c>
      <c r="E11" s="124" t="n">
        <v>0.9887</v>
      </c>
      <c r="F11" s="379" t="n">
        <v>0.9223559296099999</v>
      </c>
      <c r="G11" s="379" t="n">
        <v>0.99899838599</v>
      </c>
      <c r="H11" s="126" t="n"/>
      <c r="J11" s="376" t="n"/>
      <c r="O11" t="inlineStr">
        <is>
          <t>,GT_STAR0_GL/100</t>
        </is>
      </c>
    </row>
    <row r="12">
      <c r="A12" s="123" t="inlineStr">
        <is>
          <t>Express</t>
        </is>
      </c>
      <c r="B12" s="123" t="n">
        <v>11</v>
      </c>
      <c r="C12" s="124" t="n">
        <v>0.7694</v>
      </c>
      <c r="D12" s="124" t="n">
        <v>0.6562</v>
      </c>
      <c r="E12" s="124" t="n">
        <v>0.9921</v>
      </c>
      <c r="F12" s="379" t="n">
        <v>0.8702102198</v>
      </c>
      <c r="G12" s="379" t="n">
        <v>0.99929796031</v>
      </c>
      <c r="H12" s="126" t="n"/>
      <c r="J12" s="376" t="n"/>
      <c r="O12" t="inlineStr">
        <is>
          <t>,CCF_GL/100</t>
        </is>
      </c>
    </row>
    <row r="13">
      <c r="A13" s="123" t="inlineStr">
        <is>
          <t>Express</t>
        </is>
      </c>
      <c r="B13" s="123" t="n">
        <v>12</v>
      </c>
      <c r="C13" s="124" t="n">
        <v>0.6422</v>
      </c>
      <c r="D13" s="124" t="n">
        <v>0.5766</v>
      </c>
      <c r="E13" s="124" t="n">
        <v>0.9701</v>
      </c>
      <c r="F13" s="379" t="n">
        <v>0.7736160581599999</v>
      </c>
      <c r="G13" s="379" t="n">
        <v>0.99734315588</v>
      </c>
      <c r="H13" s="126" t="n"/>
      <c r="J13" s="376" t="n"/>
    </row>
    <row r="14">
      <c r="C14" s="55" t="n"/>
      <c r="D14" s="55" t="n"/>
      <c r="E14" s="55" t="n"/>
      <c r="F14" s="55" t="n"/>
      <c r="G14" s="55" t="n"/>
      <c r="O14" t="inlineStr">
        <is>
          <t xml:space="preserve"> FROM  CO_PROD_VMDB.OPFL_GOAL_OA r</t>
        </is>
      </c>
    </row>
    <row r="15">
      <c r="C15" s="376" t="n"/>
      <c r="D15" s="376" t="n"/>
      <c r="E15" s="132" t="n"/>
      <c r="F15" s="376" t="n"/>
      <c r="G15" s="132" t="n"/>
    </row>
    <row r="16">
      <c r="B16" s="133" t="n"/>
      <c r="C16" s="376" t="n"/>
      <c r="D16" s="376" t="n"/>
      <c r="E16" s="132" t="n"/>
      <c r="F16" s="376" t="n"/>
      <c r="G16" s="132" t="n"/>
      <c r="O16" t="inlineStr">
        <is>
          <t xml:space="preserve"> </t>
        </is>
      </c>
    </row>
    <row r="17">
      <c r="B17" s="133" t="n"/>
      <c r="O17" t="inlineStr">
        <is>
          <t xml:space="preserve"> </t>
        </is>
      </c>
    </row>
    <row r="18">
      <c r="B18" s="133" t="n"/>
      <c r="O18" t="inlineStr">
        <is>
          <t>WHERE REPORT_YEAR  = 2020</t>
        </is>
      </c>
    </row>
    <row r="19">
      <c r="O19" t="inlineStr">
        <is>
          <t>AND CARRIER_CD = 'XX'</t>
        </is>
      </c>
    </row>
    <row r="20">
      <c r="O20" t="inlineStr">
        <is>
          <t>AND STA_CD = 'SYS'</t>
        </is>
      </c>
    </row>
    <row r="22">
      <c r="O22" t="inlineStr">
        <is>
          <t>ORDER BY 1,2</t>
        </is>
      </c>
    </row>
  </sheetData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6">
    <outlinePr summaryBelow="1" summaryRight="1"/>
    <pageSetUpPr/>
  </sheetPr>
  <dimension ref="A1:T8"/>
  <sheetViews>
    <sheetView workbookViewId="0">
      <selection activeCell="Q2" sqref="Q2"/>
    </sheetView>
  </sheetViews>
  <sheetFormatPr baseColWidth="8" defaultRowHeight="14.5" outlineLevelCol="0"/>
  <cols>
    <col width="8.7265625" bestFit="1" customWidth="1" style="286" min="2" max="2"/>
    <col width="12.453125" bestFit="1" customWidth="1" style="286" min="3" max="3"/>
    <col width="9.26953125" bestFit="1" customWidth="1" style="286" min="4" max="4"/>
    <col width="15.453125" bestFit="1" customWidth="1" style="286" min="5" max="5"/>
    <col width="10.26953125" bestFit="1" customWidth="1" style="286" min="6" max="6"/>
    <col width="16.1796875" bestFit="1" customWidth="1" style="286" min="7" max="7"/>
    <col width="10.26953125" bestFit="1" customWidth="1" style="286" min="8" max="8"/>
    <col width="20" bestFit="1" customWidth="1" style="286" min="9" max="9"/>
    <col width="14.81640625" bestFit="1" customWidth="1" style="286" min="10" max="10"/>
    <col width="20.7265625" bestFit="1" customWidth="1" style="286" min="11" max="11"/>
    <col width="14.7265625" bestFit="1" customWidth="1" style="286" min="12" max="12"/>
    <col width="26.54296875" bestFit="1" customWidth="1" style="286" min="13" max="13"/>
    <col width="21.453125" bestFit="1" customWidth="1" style="286" min="14" max="14"/>
    <col width="27.26953125" bestFit="1" customWidth="1" style="286" min="15" max="15"/>
    <col width="13.1796875" customWidth="1" style="286" min="16" max="16"/>
    <col width="17" customWidth="1" style="286" min="17" max="17"/>
    <col width="16.7265625" customWidth="1" style="286" min="19" max="19"/>
  </cols>
  <sheetData>
    <row r="1" ht="15" customHeight="1" s="286" thickBot="1">
      <c r="A1" s="195" t="inlineStr">
        <is>
          <t>carrier</t>
        </is>
      </c>
      <c r="B1" s="195" t="inlineStr">
        <is>
          <t>report_yr</t>
        </is>
      </c>
      <c r="C1" s="195" t="inlineStr">
        <is>
          <t>report_month</t>
        </is>
      </c>
      <c r="D1" s="195" t="inlineStr">
        <is>
          <t>ml_ex_ind</t>
        </is>
      </c>
      <c r="E1" s="195" t="inlineStr">
        <is>
          <t>Scheduled_Flights</t>
        </is>
      </c>
      <c r="F1" s="195" t="inlineStr">
        <is>
          <t>D00_Flights</t>
        </is>
      </c>
      <c r="G1" s="195" t="inlineStr">
        <is>
          <t>Completed_Flights</t>
        </is>
      </c>
      <c r="H1" s="195" t="inlineStr">
        <is>
          <t>A00_Flights</t>
        </is>
      </c>
      <c r="I1" s="195" t="inlineStr">
        <is>
          <t>A14_Flights</t>
        </is>
      </c>
      <c r="J1" s="195" t="inlineStr">
        <is>
          <t>Yest_Scheduled_Flights</t>
        </is>
      </c>
      <c r="K1" s="195" t="inlineStr">
        <is>
          <t>Yest_D00_Flights</t>
        </is>
      </c>
      <c r="L1" s="195" t="inlineStr">
        <is>
          <t>Yest_Completed_Flights</t>
        </is>
      </c>
      <c r="M1" s="195" t="inlineStr">
        <is>
          <t>Yest_A00_Flights</t>
        </is>
      </c>
      <c r="N1" s="195" t="inlineStr">
        <is>
          <t>Yest_A14_Flights</t>
        </is>
      </c>
      <c r="O1" s="195" t="inlineStr">
        <is>
          <t>DateMinus2_Scheduled_Flights</t>
        </is>
      </c>
      <c r="P1" s="195" t="inlineStr">
        <is>
          <t>DateMinus2_D00_Flights</t>
        </is>
      </c>
      <c r="Q1" s="195" t="inlineStr">
        <is>
          <t>DateMinus2_Completed_Flights</t>
        </is>
      </c>
      <c r="R1" s="195" t="inlineStr">
        <is>
          <t>DateMinus2_A00_Flights</t>
        </is>
      </c>
      <c r="S1" s="195" t="inlineStr">
        <is>
          <t>DateMinus2_A14_Flights</t>
        </is>
      </c>
    </row>
    <row r="2" ht="15" customHeight="1" s="286" thickBot="1">
      <c r="A2" s="200" t="inlineStr">
        <is>
          <t>AA</t>
        </is>
      </c>
      <c r="B2" s="200" t="n">
        <v>2025</v>
      </c>
      <c r="C2" s="201" t="n">
        <v>10</v>
      </c>
      <c r="D2" s="200" t="inlineStr">
        <is>
          <t>Express</t>
        </is>
      </c>
      <c r="E2" s="200" t="n">
        <v>86239</v>
      </c>
      <c r="F2" s="200" t="n">
        <v>61642</v>
      </c>
      <c r="G2" s="200" t="n">
        <v>85897</v>
      </c>
      <c r="H2" s="200" t="n">
        <v>56196</v>
      </c>
      <c r="I2" s="200" t="n">
        <v>68883</v>
      </c>
      <c r="J2" s="200" t="n">
        <v>2836</v>
      </c>
      <c r="K2" s="200" t="n">
        <v>2028</v>
      </c>
      <c r="L2" s="200" t="n">
        <v>2832</v>
      </c>
      <c r="M2" s="200" t="n">
        <v>1691</v>
      </c>
      <c r="N2" s="200" t="n">
        <v>2212</v>
      </c>
      <c r="O2" s="200" t="n">
        <v>2724</v>
      </c>
      <c r="P2" s="200" t="n">
        <v>2035</v>
      </c>
      <c r="Q2" s="200" t="n">
        <v>2724</v>
      </c>
      <c r="R2" s="200" t="n">
        <v>1718</v>
      </c>
      <c r="S2" s="200" t="n">
        <v>2193</v>
      </c>
    </row>
    <row r="3" ht="15" customHeight="1" s="286" thickBot="1">
      <c r="A3" s="202" t="inlineStr">
        <is>
          <t>DL</t>
        </is>
      </c>
      <c r="B3" s="202" t="n">
        <v>2025</v>
      </c>
      <c r="C3" s="203" t="n">
        <v>10</v>
      </c>
      <c r="D3" s="202" t="inlineStr">
        <is>
          <t>Express</t>
        </is>
      </c>
      <c r="E3" s="202" t="n">
        <v>51498</v>
      </c>
      <c r="F3" s="202" t="n">
        <v>40213</v>
      </c>
      <c r="G3" s="202" t="n">
        <v>51297</v>
      </c>
      <c r="H3" s="202" t="n">
        <v>38014</v>
      </c>
      <c r="I3" s="202" t="n">
        <v>43861</v>
      </c>
      <c r="J3" s="202" t="n">
        <v>1699</v>
      </c>
      <c r="K3" s="202" t="n">
        <v>1354</v>
      </c>
      <c r="L3" s="202" t="n">
        <v>1699</v>
      </c>
      <c r="M3" s="202" t="n">
        <v>1197</v>
      </c>
      <c r="N3" s="202" t="n">
        <v>1422</v>
      </c>
      <c r="O3" s="202" t="n">
        <v>1694</v>
      </c>
      <c r="P3" s="202" t="n">
        <v>1343</v>
      </c>
      <c r="Q3" s="202" t="n">
        <v>1693</v>
      </c>
      <c r="R3" s="202" t="n">
        <v>1220</v>
      </c>
      <c r="S3" s="202" t="n">
        <v>1428</v>
      </c>
    </row>
    <row r="6">
      <c r="T6" s="194" t="n"/>
    </row>
    <row r="7" ht="15" customHeight="1" s="286" thickBot="1">
      <c r="T7" s="196" t="n"/>
    </row>
    <row r="8" ht="15" customHeight="1" s="286" thickBot="1">
      <c r="A8" s="197" t="n"/>
      <c r="B8" s="198" t="n"/>
      <c r="C8" s="198" t="n"/>
      <c r="D8" s="199" t="n"/>
      <c r="E8" s="198" t="n"/>
      <c r="F8" s="198" t="n"/>
      <c r="G8" s="198" t="n"/>
      <c r="H8" s="198" t="n"/>
      <c r="I8" s="198" t="n"/>
      <c r="J8" s="198" t="n"/>
      <c r="K8" s="198" t="n"/>
      <c r="L8" s="198" t="n"/>
      <c r="M8" s="198" t="n"/>
      <c r="N8" s="198" t="n"/>
      <c r="O8" s="198" t="n"/>
      <c r="P8" s="198" t="n"/>
      <c r="Q8" s="198" t="n"/>
      <c r="R8" s="198" t="n"/>
      <c r="S8" s="198" t="n"/>
      <c r="T8" s="198" t="n"/>
    </row>
  </sheetData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11">
    <outlinePr summaryBelow="1" summaryRight="1"/>
    <pageSetUpPr/>
  </sheetPr>
  <dimension ref="A1:B3"/>
  <sheetViews>
    <sheetView workbookViewId="0">
      <selection activeCell="B4" sqref="B4"/>
    </sheetView>
  </sheetViews>
  <sheetFormatPr baseColWidth="8" defaultRowHeight="14.5" outlineLevelCol="0"/>
  <cols>
    <col width="11.26953125" bestFit="1" customWidth="1" style="286" min="1" max="1"/>
    <col width="11.7265625" bestFit="1" customWidth="1" style="286" min="2" max="2"/>
  </cols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MTD</t>
        </is>
      </c>
      <c r="B2" t="n">
        <v>60</v>
      </c>
    </row>
    <row r="3">
      <c r="A3" t="inlineStr">
        <is>
          <t>YEST</t>
        </is>
      </c>
      <c r="B3" t="n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3">
    <outlinePr summaryBelow="1" summaryRight="1"/>
    <pageSetUpPr/>
  </sheetPr>
  <dimension ref="A1:Q31"/>
  <sheetViews>
    <sheetView workbookViewId="0">
      <selection activeCell="J2" sqref="J2"/>
    </sheetView>
  </sheetViews>
  <sheetFormatPr baseColWidth="8" defaultRowHeight="14.5" outlineLevelCol="0"/>
  <cols>
    <col width="13.54296875" bestFit="1" customWidth="1" style="286" min="1" max="1"/>
    <col width="12.453125" bestFit="1" customWidth="1" style="286" min="4" max="4"/>
    <col width="17.453125" bestFit="1" customWidth="1" style="286" min="6" max="6"/>
    <col width="11.1796875" bestFit="1" customWidth="1" style="286" min="7" max="7"/>
    <col width="16.1796875" customWidth="1" style="286" min="8" max="8"/>
    <col width="10.26953125" customWidth="1" style="286" min="9" max="9"/>
    <col width="20" bestFit="1" customWidth="1" style="286" min="10" max="10"/>
    <col width="14.81640625" bestFit="1" customWidth="1" style="286" min="11" max="11"/>
    <col width="20.7265625" bestFit="1" customWidth="1" style="286" min="12" max="12"/>
    <col width="14.7265625" bestFit="1" customWidth="1" style="286" min="13" max="13"/>
    <col width="26.54296875" bestFit="1" customWidth="1" style="286" min="14" max="14"/>
    <col width="21.453125" bestFit="1" customWidth="1" style="286" min="15" max="15"/>
    <col width="27.26953125" bestFit="1" customWidth="1" style="286" min="16" max="16"/>
    <col width="21.26953125" bestFit="1" customWidth="1" style="286" min="17" max="17"/>
  </cols>
  <sheetData>
    <row r="1">
      <c r="A1" t="inlineStr">
        <is>
          <t>CITY</t>
        </is>
      </c>
      <c r="B1" t="inlineStr">
        <is>
          <t>CARRIER</t>
        </is>
      </c>
      <c r="C1" t="inlineStr">
        <is>
          <t>report_yr</t>
        </is>
      </c>
      <c r="D1" t="inlineStr">
        <is>
          <t>report_month</t>
        </is>
      </c>
      <c r="E1" t="inlineStr">
        <is>
          <t>ML_EX_IND</t>
        </is>
      </c>
      <c r="F1" t="inlineStr">
        <is>
          <t>Scheduled_Flights</t>
        </is>
      </c>
      <c r="G1" t="inlineStr">
        <is>
          <t>D00_Flights</t>
        </is>
      </c>
      <c r="H1" t="inlineStr">
        <is>
          <t>Completed_Flights</t>
        </is>
      </c>
      <c r="I1" t="inlineStr">
        <is>
          <t>A00_Flights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DateMinus2_Scheduled_Flights</t>
        </is>
      </c>
      <c r="O1" t="inlineStr">
        <is>
          <t>DateMinus2_D00_Flights</t>
        </is>
      </c>
      <c r="P1" t="inlineStr">
        <is>
          <t>DateMinus2_Completed_Flights</t>
        </is>
      </c>
      <c r="Q1" t="inlineStr">
        <is>
          <t>DateMinus2_A00_Flights</t>
        </is>
      </c>
    </row>
    <row r="2">
      <c r="A2" t="inlineStr">
        <is>
          <t>Washington DC</t>
        </is>
      </c>
      <c r="B2" t="inlineStr">
        <is>
          <t>DL</t>
        </is>
      </c>
      <c r="C2" t="n">
        <v>2025</v>
      </c>
      <c r="D2" t="n">
        <v>10</v>
      </c>
      <c r="E2" t="inlineStr">
        <is>
          <t>Express</t>
        </is>
      </c>
      <c r="F2" t="n">
        <v>1209</v>
      </c>
      <c r="G2" t="n">
        <v>859</v>
      </c>
      <c r="H2" t="n">
        <v>1198</v>
      </c>
      <c r="I2" t="n">
        <v>794</v>
      </c>
      <c r="J2" t="n">
        <v>42</v>
      </c>
      <c r="K2" t="n">
        <v>24</v>
      </c>
      <c r="L2" t="n">
        <v>42</v>
      </c>
      <c r="M2" t="n">
        <v>20</v>
      </c>
      <c r="N2" t="n">
        <v>42</v>
      </c>
      <c r="O2" t="n">
        <v>32</v>
      </c>
      <c r="P2" t="n">
        <v>42</v>
      </c>
      <c r="Q2" t="n">
        <v>29</v>
      </c>
    </row>
    <row r="3">
      <c r="A3" t="inlineStr">
        <is>
          <t>Los Angeles</t>
        </is>
      </c>
      <c r="B3" t="inlineStr">
        <is>
          <t>DL</t>
        </is>
      </c>
      <c r="C3" t="n">
        <v>2025</v>
      </c>
      <c r="D3" t="n">
        <v>10</v>
      </c>
      <c r="E3" t="inlineStr">
        <is>
          <t>Express</t>
        </is>
      </c>
      <c r="F3" t="n">
        <v>979</v>
      </c>
      <c r="G3" t="n">
        <v>760</v>
      </c>
      <c r="H3" t="n">
        <v>979</v>
      </c>
      <c r="I3" t="n">
        <v>744</v>
      </c>
      <c r="J3" t="n">
        <v>29</v>
      </c>
      <c r="K3" t="n">
        <v>27</v>
      </c>
      <c r="L3" t="n">
        <v>29</v>
      </c>
      <c r="M3" t="n">
        <v>25</v>
      </c>
      <c r="N3" t="n">
        <v>29</v>
      </c>
      <c r="O3" t="n">
        <v>28</v>
      </c>
      <c r="P3" t="n">
        <v>29</v>
      </c>
      <c r="Q3" t="n">
        <v>27</v>
      </c>
    </row>
    <row r="4">
      <c r="A4" t="inlineStr">
        <is>
          <t>San Francisco</t>
        </is>
      </c>
      <c r="B4" t="inlineStr">
        <is>
          <t>AS</t>
        </is>
      </c>
      <c r="C4" t="n">
        <v>2025</v>
      </c>
      <c r="D4" t="n">
        <v>10</v>
      </c>
      <c r="E4" t="inlineStr">
        <is>
          <t>Express</t>
        </is>
      </c>
      <c r="F4" t="n">
        <v>961</v>
      </c>
      <c r="G4" t="n">
        <v>589</v>
      </c>
      <c r="H4" t="n">
        <v>948</v>
      </c>
      <c r="I4" t="n">
        <v>554</v>
      </c>
      <c r="J4" t="n">
        <v>61</v>
      </c>
      <c r="K4" t="n">
        <v>42</v>
      </c>
      <c r="L4" t="n">
        <v>60</v>
      </c>
      <c r="M4" t="n">
        <v>40</v>
      </c>
      <c r="N4" t="n">
        <v>34</v>
      </c>
      <c r="O4" t="n">
        <v>28</v>
      </c>
      <c r="P4" t="n">
        <v>34</v>
      </c>
      <c r="Q4" t="n">
        <v>23</v>
      </c>
    </row>
    <row r="5">
      <c r="A5" t="inlineStr">
        <is>
          <t>Texas</t>
        </is>
      </c>
      <c r="B5" t="inlineStr">
        <is>
          <t>AS</t>
        </is>
      </c>
      <c r="C5" t="n">
        <v>2025</v>
      </c>
      <c r="D5" t="n">
        <v>10</v>
      </c>
      <c r="E5" t="inlineStr">
        <is>
          <t>Express</t>
        </is>
      </c>
      <c r="F5" t="n">
        <v>6</v>
      </c>
      <c r="G5" t="n">
        <v>4</v>
      </c>
      <c r="H5" t="n">
        <v>6</v>
      </c>
      <c r="I5" t="n">
        <v>5</v>
      </c>
      <c r="J5" t="n">
        <v>6</v>
      </c>
      <c r="K5" t="n">
        <v>4</v>
      </c>
      <c r="L5" t="n">
        <v>6</v>
      </c>
      <c r="M5" t="n">
        <v>5</v>
      </c>
      <c r="N5" t="n">
        <v>0</v>
      </c>
      <c r="O5" t="n">
        <v>0</v>
      </c>
      <c r="P5" t="n">
        <v>0</v>
      </c>
      <c r="Q5" t="n">
        <v>0</v>
      </c>
    </row>
    <row r="6">
      <c r="A6" t="inlineStr">
        <is>
          <t>Los Angeles</t>
        </is>
      </c>
      <c r="B6" t="inlineStr">
        <is>
          <t>AA</t>
        </is>
      </c>
      <c r="C6" t="n">
        <v>2025</v>
      </c>
      <c r="D6" t="n">
        <v>10</v>
      </c>
      <c r="E6" t="inlineStr">
        <is>
          <t>Express</t>
        </is>
      </c>
      <c r="F6" t="n">
        <v>1074</v>
      </c>
      <c r="G6" t="n">
        <v>812</v>
      </c>
      <c r="H6" t="n">
        <v>1074</v>
      </c>
      <c r="I6" t="n">
        <v>777</v>
      </c>
      <c r="J6" t="n">
        <v>38</v>
      </c>
      <c r="K6" t="n">
        <v>32</v>
      </c>
      <c r="L6" t="n">
        <v>38</v>
      </c>
      <c r="M6" t="n">
        <v>30</v>
      </c>
      <c r="N6" t="n">
        <v>33</v>
      </c>
      <c r="O6" t="n">
        <v>26</v>
      </c>
      <c r="P6" t="n">
        <v>33</v>
      </c>
      <c r="Q6" t="n">
        <v>27</v>
      </c>
    </row>
    <row r="7">
      <c r="A7" t="inlineStr">
        <is>
          <t>OTHER</t>
        </is>
      </c>
      <c r="B7" t="inlineStr">
        <is>
          <t>DL</t>
        </is>
      </c>
      <c r="C7" t="n">
        <v>2025</v>
      </c>
      <c r="D7" t="n">
        <v>10</v>
      </c>
      <c r="E7" t="inlineStr">
        <is>
          <t>Express</t>
        </is>
      </c>
      <c r="F7" t="n">
        <v>42105</v>
      </c>
      <c r="G7" t="n">
        <v>33446</v>
      </c>
      <c r="H7" t="n">
        <v>41994</v>
      </c>
      <c r="I7" t="n">
        <v>32073</v>
      </c>
      <c r="J7" t="n">
        <v>1368</v>
      </c>
      <c r="K7" t="n">
        <v>1125</v>
      </c>
      <c r="L7" t="n">
        <v>1368</v>
      </c>
      <c r="M7" t="n">
        <v>1071</v>
      </c>
      <c r="N7" t="n">
        <v>1363</v>
      </c>
      <c r="O7" t="n">
        <v>1104</v>
      </c>
      <c r="P7" t="n">
        <v>1362</v>
      </c>
      <c r="Q7" t="n">
        <v>1040</v>
      </c>
    </row>
    <row r="8">
      <c r="A8" t="inlineStr">
        <is>
          <t>San Francisco</t>
        </is>
      </c>
      <c r="B8" t="inlineStr">
        <is>
          <t>AA</t>
        </is>
      </c>
      <c r="C8" t="n">
        <v>2025</v>
      </c>
      <c r="D8" t="n">
        <v>10</v>
      </c>
      <c r="E8" t="inlineStr">
        <is>
          <t>Express</t>
        </is>
      </c>
      <c r="F8" t="n">
        <v>173</v>
      </c>
      <c r="G8" t="n">
        <v>120</v>
      </c>
      <c r="H8" t="n">
        <v>173</v>
      </c>
      <c r="I8" t="n">
        <v>101</v>
      </c>
      <c r="J8" t="n">
        <v>7</v>
      </c>
      <c r="K8" t="n">
        <v>6</v>
      </c>
      <c r="L8" t="n">
        <v>7</v>
      </c>
      <c r="M8" t="n">
        <v>6</v>
      </c>
      <c r="N8" t="n">
        <v>6</v>
      </c>
      <c r="O8" t="n">
        <v>5</v>
      </c>
      <c r="P8" t="n">
        <v>6</v>
      </c>
      <c r="Q8" t="n">
        <v>6</v>
      </c>
    </row>
    <row r="9">
      <c r="A9" t="inlineStr">
        <is>
          <t>Texas</t>
        </is>
      </c>
      <c r="B9" t="inlineStr">
        <is>
          <t>DL</t>
        </is>
      </c>
      <c r="C9" t="n">
        <v>2025</v>
      </c>
      <c r="D9" t="n">
        <v>10</v>
      </c>
      <c r="E9" t="inlineStr">
        <is>
          <t>Express</t>
        </is>
      </c>
      <c r="F9" t="n">
        <v>0</v>
      </c>
      <c r="G9" t="n">
        <v>0</v>
      </c>
      <c r="H9" t="n">
        <v>0</v>
      </c>
      <c r="I9" t="n">
        <v>0</v>
      </c>
      <c r="J9" t="n">
        <v>0</v>
      </c>
      <c r="K9" t="n">
        <v>0</v>
      </c>
      <c r="L9" t="n">
        <v>0</v>
      </c>
      <c r="M9" t="n">
        <v>0</v>
      </c>
      <c r="N9" t="n">
        <v>0</v>
      </c>
      <c r="O9" t="n">
        <v>0</v>
      </c>
      <c r="P9" t="n">
        <v>0</v>
      </c>
      <c r="Q9" t="n">
        <v>0</v>
      </c>
    </row>
    <row r="10">
      <c r="A10" t="inlineStr">
        <is>
          <t>Denver</t>
        </is>
      </c>
      <c r="B10" t="inlineStr">
        <is>
          <t>AA</t>
        </is>
      </c>
      <c r="C10" t="n">
        <v>2025</v>
      </c>
      <c r="D10" t="n">
        <v>10</v>
      </c>
      <c r="E10" t="inlineStr">
        <is>
          <t>Express</t>
        </is>
      </c>
      <c r="F10" t="n">
        <v>85</v>
      </c>
      <c r="G10" t="n">
        <v>67</v>
      </c>
      <c r="H10" t="n">
        <v>85</v>
      </c>
      <c r="I10" t="n">
        <v>63</v>
      </c>
      <c r="J10" t="n">
        <v>3</v>
      </c>
      <c r="K10" t="n">
        <v>2</v>
      </c>
      <c r="L10" t="n">
        <v>3</v>
      </c>
      <c r="M10" t="n">
        <v>3</v>
      </c>
      <c r="N10" t="n">
        <v>2</v>
      </c>
      <c r="O10" t="n">
        <v>2</v>
      </c>
      <c r="P10" t="n">
        <v>2</v>
      </c>
      <c r="Q10" t="n">
        <v>2</v>
      </c>
    </row>
    <row r="11">
      <c r="A11" t="inlineStr">
        <is>
          <t>New York</t>
        </is>
      </c>
      <c r="B11" t="inlineStr">
        <is>
          <t>AA</t>
        </is>
      </c>
      <c r="C11" t="n">
        <v>2025</v>
      </c>
      <c r="D11" t="n">
        <v>10</v>
      </c>
      <c r="E11" t="inlineStr">
        <is>
          <t>Express</t>
        </is>
      </c>
      <c r="F11" t="n">
        <v>3797</v>
      </c>
      <c r="G11" t="n">
        <v>2741</v>
      </c>
      <c r="H11" t="n">
        <v>3770</v>
      </c>
      <c r="I11" t="n">
        <v>1904</v>
      </c>
      <c r="J11" t="n">
        <v>140</v>
      </c>
      <c r="K11" t="n">
        <v>95</v>
      </c>
      <c r="L11" t="n">
        <v>140</v>
      </c>
      <c r="M11" t="n">
        <v>26</v>
      </c>
      <c r="N11" t="n">
        <v>139</v>
      </c>
      <c r="O11" t="n">
        <v>101</v>
      </c>
      <c r="P11" t="n">
        <v>139</v>
      </c>
      <c r="Q11" t="n">
        <v>44</v>
      </c>
    </row>
    <row r="12">
      <c r="A12" t="inlineStr">
        <is>
          <t>Denver</t>
        </is>
      </c>
      <c r="B12" t="inlineStr">
        <is>
          <t>AS</t>
        </is>
      </c>
      <c r="C12" t="n">
        <v>2025</v>
      </c>
      <c r="D12" t="n">
        <v>10</v>
      </c>
      <c r="E12" t="inlineStr">
        <is>
          <t>Express</t>
        </is>
      </c>
      <c r="F12" t="n">
        <v>40</v>
      </c>
      <c r="G12" t="n">
        <v>19</v>
      </c>
      <c r="H12" t="n">
        <v>39</v>
      </c>
      <c r="I12" t="n">
        <v>7</v>
      </c>
      <c r="J12" t="n">
        <v>8</v>
      </c>
      <c r="K12" t="n">
        <v>3</v>
      </c>
      <c r="L12" t="n">
        <v>7</v>
      </c>
      <c r="M12" t="n">
        <v>3</v>
      </c>
      <c r="N12" t="n">
        <v>1</v>
      </c>
      <c r="O12" t="n">
        <v>1</v>
      </c>
      <c r="P12" t="n">
        <v>1</v>
      </c>
      <c r="Q12" t="n">
        <v>0</v>
      </c>
    </row>
    <row r="13">
      <c r="A13" t="inlineStr">
        <is>
          <t>Denver</t>
        </is>
      </c>
      <c r="B13" t="inlineStr">
        <is>
          <t>DL</t>
        </is>
      </c>
      <c r="C13" t="n">
        <v>2025</v>
      </c>
      <c r="D13" t="n">
        <v>10</v>
      </c>
      <c r="E13" t="inlineStr">
        <is>
          <t>Express</t>
        </is>
      </c>
      <c r="F13" t="n">
        <v>0</v>
      </c>
      <c r="G13" t="n">
        <v>0</v>
      </c>
      <c r="H13" t="n">
        <v>0</v>
      </c>
      <c r="I13" t="n">
        <v>0</v>
      </c>
      <c r="J13" t="n">
        <v>0</v>
      </c>
      <c r="K13" t="n">
        <v>0</v>
      </c>
      <c r="L13" t="n">
        <v>0</v>
      </c>
      <c r="M13" t="n">
        <v>0</v>
      </c>
      <c r="N13" t="n">
        <v>0</v>
      </c>
      <c r="O13" t="n">
        <v>0</v>
      </c>
      <c r="P13" t="n">
        <v>0</v>
      </c>
      <c r="Q13" t="n">
        <v>0</v>
      </c>
    </row>
    <row r="14">
      <c r="A14" t="inlineStr">
        <is>
          <t>Texas</t>
        </is>
      </c>
      <c r="B14" t="inlineStr">
        <is>
          <t>AA</t>
        </is>
      </c>
      <c r="C14" t="n">
        <v>2025</v>
      </c>
      <c r="D14" t="n">
        <v>10</v>
      </c>
      <c r="E14" t="inlineStr">
        <is>
          <t>Express</t>
        </is>
      </c>
      <c r="F14" t="n">
        <v>9796</v>
      </c>
      <c r="G14" t="n">
        <v>6955</v>
      </c>
      <c r="H14" t="n">
        <v>9677</v>
      </c>
      <c r="I14" t="n">
        <v>6567</v>
      </c>
      <c r="J14" t="n">
        <v>328</v>
      </c>
      <c r="K14" t="n">
        <v>246</v>
      </c>
      <c r="L14" t="n">
        <v>328</v>
      </c>
      <c r="M14" t="n">
        <v>218</v>
      </c>
      <c r="N14" t="n">
        <v>302</v>
      </c>
      <c r="O14" t="n">
        <v>229</v>
      </c>
      <c r="P14" t="n">
        <v>302</v>
      </c>
      <c r="Q14" t="n">
        <v>197</v>
      </c>
    </row>
    <row r="15">
      <c r="A15" t="inlineStr">
        <is>
          <t>OTHER</t>
        </is>
      </c>
      <c r="B15" t="inlineStr">
        <is>
          <t>AS</t>
        </is>
      </c>
      <c r="C15" t="n">
        <v>2025</v>
      </c>
      <c r="D15" t="n">
        <v>10</v>
      </c>
      <c r="E15" t="inlineStr">
        <is>
          <t>Express</t>
        </is>
      </c>
      <c r="F15" t="n">
        <v>13511</v>
      </c>
      <c r="G15" t="n">
        <v>9222</v>
      </c>
      <c r="H15" t="n">
        <v>13307</v>
      </c>
      <c r="I15" t="n">
        <v>8546</v>
      </c>
      <c r="J15" t="n">
        <v>1005</v>
      </c>
      <c r="K15" t="n">
        <v>571</v>
      </c>
      <c r="L15" t="n">
        <v>978</v>
      </c>
      <c r="M15" t="n">
        <v>572</v>
      </c>
      <c r="N15" t="n">
        <v>430</v>
      </c>
      <c r="O15" t="n">
        <v>326</v>
      </c>
      <c r="P15" t="n">
        <v>421</v>
      </c>
      <c r="Q15" t="n">
        <v>291</v>
      </c>
    </row>
    <row r="16">
      <c r="A16" t="inlineStr">
        <is>
          <t>Chicago</t>
        </is>
      </c>
      <c r="B16" t="inlineStr">
        <is>
          <t>DL</t>
        </is>
      </c>
      <c r="C16" t="n">
        <v>2025</v>
      </c>
      <c r="D16" t="n">
        <v>10</v>
      </c>
      <c r="E16" t="inlineStr">
        <is>
          <t>Express</t>
        </is>
      </c>
      <c r="F16" t="n">
        <v>145</v>
      </c>
      <c r="G16" t="n">
        <v>107</v>
      </c>
      <c r="H16" t="n">
        <v>145</v>
      </c>
      <c r="I16" t="n">
        <v>107</v>
      </c>
      <c r="J16" t="n">
        <v>4</v>
      </c>
      <c r="K16" t="n">
        <v>4</v>
      </c>
      <c r="L16" t="n">
        <v>4</v>
      </c>
      <c r="M16" t="n">
        <v>3</v>
      </c>
      <c r="N16" t="n">
        <v>4</v>
      </c>
      <c r="O16" t="n">
        <v>2</v>
      </c>
      <c r="P16" t="n">
        <v>4</v>
      </c>
      <c r="Q16" t="n">
        <v>3</v>
      </c>
    </row>
    <row r="17">
      <c r="A17" t="inlineStr">
        <is>
          <t>OTHER</t>
        </is>
      </c>
      <c r="B17" t="inlineStr">
        <is>
          <t>AA</t>
        </is>
      </c>
      <c r="C17" t="n">
        <v>2025</v>
      </c>
      <c r="D17" t="n">
        <v>10</v>
      </c>
      <c r="E17" t="inlineStr">
        <is>
          <t>Express</t>
        </is>
      </c>
      <c r="F17" t="n">
        <v>58527</v>
      </c>
      <c r="G17" t="n">
        <v>43014</v>
      </c>
      <c r="H17" t="n">
        <v>58345</v>
      </c>
      <c r="I17" t="n">
        <v>39528</v>
      </c>
      <c r="J17" t="n">
        <v>1903</v>
      </c>
      <c r="K17" t="n">
        <v>1391</v>
      </c>
      <c r="L17" t="n">
        <v>1899</v>
      </c>
      <c r="M17" t="n">
        <v>1201</v>
      </c>
      <c r="N17" t="n">
        <v>1832</v>
      </c>
      <c r="O17" t="n">
        <v>1403</v>
      </c>
      <c r="P17" t="n">
        <v>1832</v>
      </c>
      <c r="Q17" t="n">
        <v>1201</v>
      </c>
    </row>
    <row r="18">
      <c r="A18" t="inlineStr">
        <is>
          <t>Washington DC</t>
        </is>
      </c>
      <c r="B18" t="inlineStr">
        <is>
          <t>AS</t>
        </is>
      </c>
      <c r="C18" t="n">
        <v>2025</v>
      </c>
      <c r="D18" t="n">
        <v>10</v>
      </c>
      <c r="E18" t="inlineStr">
        <is>
          <t>Express</t>
        </is>
      </c>
      <c r="F18" t="n">
        <v>10</v>
      </c>
      <c r="G18" t="n">
        <v>4</v>
      </c>
      <c r="H18" t="n">
        <v>10</v>
      </c>
      <c r="I18" t="n">
        <v>4</v>
      </c>
      <c r="J18" t="n">
        <v>10</v>
      </c>
      <c r="K18" t="n">
        <v>4</v>
      </c>
      <c r="L18" t="n">
        <v>10</v>
      </c>
      <c r="M18" t="n">
        <v>4</v>
      </c>
      <c r="N18" t="n">
        <v>0</v>
      </c>
      <c r="O18" t="n">
        <v>0</v>
      </c>
      <c r="P18" t="n">
        <v>0</v>
      </c>
      <c r="Q18" t="n">
        <v>0</v>
      </c>
    </row>
    <row r="19">
      <c r="A19" t="inlineStr">
        <is>
          <t>San Francisco</t>
        </is>
      </c>
      <c r="B19" t="inlineStr">
        <is>
          <t>DL</t>
        </is>
      </c>
      <c r="C19" t="n">
        <v>2025</v>
      </c>
      <c r="D19" t="n">
        <v>10</v>
      </c>
      <c r="E19" t="inlineStr">
        <is>
          <t>Express</t>
        </is>
      </c>
      <c r="F19" t="n">
        <v>76</v>
      </c>
      <c r="G19" t="n">
        <v>53</v>
      </c>
      <c r="H19" t="n">
        <v>76</v>
      </c>
      <c r="I19" t="n">
        <v>34</v>
      </c>
      <c r="J19" t="n">
        <v>2</v>
      </c>
      <c r="K19" t="n">
        <v>2</v>
      </c>
      <c r="L19" t="n">
        <v>2</v>
      </c>
      <c r="M19" t="n">
        <v>1</v>
      </c>
      <c r="N19" t="n">
        <v>2</v>
      </c>
      <c r="O19" t="n">
        <v>1</v>
      </c>
      <c r="P19" t="n">
        <v>2</v>
      </c>
      <c r="Q19" t="n">
        <v>1</v>
      </c>
    </row>
    <row r="20">
      <c r="A20" t="inlineStr">
        <is>
          <t>New York</t>
        </is>
      </c>
      <c r="B20" t="inlineStr">
        <is>
          <t>DL</t>
        </is>
      </c>
      <c r="C20" t="n">
        <v>2025</v>
      </c>
      <c r="D20" t="n">
        <v>10</v>
      </c>
      <c r="E20" t="inlineStr">
        <is>
          <t>Express</t>
        </is>
      </c>
      <c r="F20" t="n">
        <v>6984</v>
      </c>
      <c r="G20" t="n">
        <v>4988</v>
      </c>
      <c r="H20" t="n">
        <v>6905</v>
      </c>
      <c r="I20" t="n">
        <v>4262</v>
      </c>
      <c r="J20" t="n">
        <v>254</v>
      </c>
      <c r="K20" t="n">
        <v>172</v>
      </c>
      <c r="L20" t="n">
        <v>254</v>
      </c>
      <c r="M20" t="n">
        <v>77</v>
      </c>
      <c r="N20" t="n">
        <v>254</v>
      </c>
      <c r="O20" t="n">
        <v>176</v>
      </c>
      <c r="P20" t="n">
        <v>254</v>
      </c>
      <c r="Q20" t="n">
        <v>120</v>
      </c>
    </row>
    <row r="21">
      <c r="A21" t="inlineStr">
        <is>
          <t>Chicago</t>
        </is>
      </c>
      <c r="B21" t="inlineStr">
        <is>
          <t>AA</t>
        </is>
      </c>
      <c r="C21" t="n">
        <v>2025</v>
      </c>
      <c r="D21" t="n">
        <v>10</v>
      </c>
      <c r="E21" t="inlineStr">
        <is>
          <t>Express</t>
        </is>
      </c>
      <c r="F21" t="n">
        <v>7654</v>
      </c>
      <c r="G21" t="n">
        <v>4464</v>
      </c>
      <c r="H21" t="n">
        <v>7646</v>
      </c>
      <c r="I21" t="n">
        <v>4120</v>
      </c>
      <c r="J21" t="n">
        <v>230</v>
      </c>
      <c r="K21" t="n">
        <v>146</v>
      </c>
      <c r="L21" t="n">
        <v>230</v>
      </c>
      <c r="M21" t="n">
        <v>134</v>
      </c>
      <c r="N21" t="n">
        <v>223</v>
      </c>
      <c r="O21" t="n">
        <v>166</v>
      </c>
      <c r="P21" t="n">
        <v>223</v>
      </c>
      <c r="Q21" t="n">
        <v>152</v>
      </c>
    </row>
    <row r="22">
      <c r="A22" t="inlineStr">
        <is>
          <t>Washington DC</t>
        </is>
      </c>
      <c r="B22" t="inlineStr">
        <is>
          <t>AA</t>
        </is>
      </c>
      <c r="C22" t="n">
        <v>2025</v>
      </c>
      <c r="D22" t="n">
        <v>10</v>
      </c>
      <c r="E22" t="inlineStr">
        <is>
          <t>Express</t>
        </is>
      </c>
      <c r="F22" t="n">
        <v>5133</v>
      </c>
      <c r="G22" t="n">
        <v>3469</v>
      </c>
      <c r="H22" t="n">
        <v>5127</v>
      </c>
      <c r="I22" t="n">
        <v>3136</v>
      </c>
      <c r="J22" t="n">
        <v>187</v>
      </c>
      <c r="K22" t="n">
        <v>110</v>
      </c>
      <c r="L22" t="n">
        <v>187</v>
      </c>
      <c r="M22" t="n">
        <v>73</v>
      </c>
      <c r="N22" t="n">
        <v>187</v>
      </c>
      <c r="O22" t="n">
        <v>103</v>
      </c>
      <c r="P22" t="n">
        <v>187</v>
      </c>
      <c r="Q22" t="n">
        <v>89</v>
      </c>
    </row>
    <row r="23">
      <c r="A23" t="inlineStr">
        <is>
          <t>Los Angeles</t>
        </is>
      </c>
      <c r="B23" t="inlineStr">
        <is>
          <t>AS</t>
        </is>
      </c>
      <c r="C23" t="n">
        <v>2025</v>
      </c>
      <c r="D23" t="n">
        <v>10</v>
      </c>
      <c r="E23" t="inlineStr">
        <is>
          <t>Express</t>
        </is>
      </c>
      <c r="F23" t="n">
        <v>882</v>
      </c>
      <c r="G23" t="n">
        <v>585</v>
      </c>
      <c r="H23" t="n">
        <v>863</v>
      </c>
      <c r="I23" t="n">
        <v>589</v>
      </c>
      <c r="J23" t="n">
        <v>55</v>
      </c>
      <c r="K23" t="n">
        <v>34</v>
      </c>
      <c r="L23" t="n">
        <v>55</v>
      </c>
      <c r="M23" t="n">
        <v>34</v>
      </c>
      <c r="N23" t="n">
        <v>27</v>
      </c>
      <c r="O23" t="n">
        <v>21</v>
      </c>
      <c r="P23" t="n">
        <v>27</v>
      </c>
      <c r="Q23" t="n">
        <v>22</v>
      </c>
    </row>
    <row r="24">
      <c r="A24" t="inlineStr">
        <is>
          <t>New York</t>
        </is>
      </c>
      <c r="B24" t="inlineStr">
        <is>
          <t>AS</t>
        </is>
      </c>
      <c r="C24" t="n">
        <v>2025</v>
      </c>
      <c r="D24" t="n">
        <v>10</v>
      </c>
      <c r="E24" t="inlineStr">
        <is>
          <t>Express</t>
        </is>
      </c>
      <c r="F24" t="n">
        <v>21</v>
      </c>
      <c r="G24" t="n">
        <v>15</v>
      </c>
      <c r="H24" t="n">
        <v>21</v>
      </c>
      <c r="I24" t="n">
        <v>17</v>
      </c>
      <c r="J24" t="n">
        <v>21</v>
      </c>
      <c r="K24" t="n">
        <v>15</v>
      </c>
      <c r="L24" t="n">
        <v>21</v>
      </c>
      <c r="M24" t="n">
        <v>17</v>
      </c>
      <c r="N24" t="n">
        <v>0</v>
      </c>
      <c r="O24" t="n">
        <v>0</v>
      </c>
      <c r="P24" t="n">
        <v>0</v>
      </c>
      <c r="Q24" t="n">
        <v>0</v>
      </c>
    </row>
    <row r="25">
      <c r="A25" t="inlineStr">
        <is>
          <t>Chicago</t>
        </is>
      </c>
      <c r="B25" t="inlineStr">
        <is>
          <t>AS</t>
        </is>
      </c>
      <c r="C25" t="n">
        <v>2025</v>
      </c>
      <c r="D25" t="n">
        <v>10</v>
      </c>
      <c r="E25" t="inlineStr">
        <is>
          <t>Express</t>
        </is>
      </c>
      <c r="F25" t="n">
        <v>7</v>
      </c>
      <c r="G25" t="n">
        <v>3</v>
      </c>
      <c r="H25" t="n">
        <v>7</v>
      </c>
      <c r="I25" t="n">
        <v>0</v>
      </c>
      <c r="J25" t="n">
        <v>7</v>
      </c>
      <c r="K25" t="n">
        <v>3</v>
      </c>
      <c r="L25" t="n">
        <v>7</v>
      </c>
      <c r="M25" t="n">
        <v>0</v>
      </c>
      <c r="N25" t="n">
        <v>0</v>
      </c>
      <c r="O25" t="n">
        <v>0</v>
      </c>
      <c r="P25" t="n">
        <v>0</v>
      </c>
      <c r="Q25" t="n">
        <v>0</v>
      </c>
    </row>
    <row r="26">
      <c r="B26" t="inlineStr">
        <is>
          <t>AA</t>
        </is>
      </c>
      <c r="C26" t="n">
        <v>2025</v>
      </c>
      <c r="D26" t="n">
        <v>10</v>
      </c>
      <c r="E26" t="inlineStr">
        <is>
          <t>Express</t>
        </is>
      </c>
      <c r="F26" t="n">
        <v>38159</v>
      </c>
      <c r="G26" t="n">
        <v>26946</v>
      </c>
      <c r="H26" t="n">
        <v>38020</v>
      </c>
      <c r="I26" t="n">
        <v>25422</v>
      </c>
      <c r="J26" t="n">
        <v>1238</v>
      </c>
      <c r="K26" t="n">
        <v>893</v>
      </c>
      <c r="L26" t="n">
        <v>1236</v>
      </c>
      <c r="M26" t="n">
        <v>790</v>
      </c>
      <c r="N26" t="n">
        <v>1183</v>
      </c>
      <c r="O26" t="n">
        <v>885</v>
      </c>
      <c r="P26" t="n">
        <v>1183</v>
      </c>
      <c r="Q26" t="n">
        <v>805</v>
      </c>
    </row>
    <row r="27">
      <c r="B27" t="inlineStr">
        <is>
          <t>AS</t>
        </is>
      </c>
      <c r="C27" t="n">
        <v>2025</v>
      </c>
      <c r="D27" t="n">
        <v>10</v>
      </c>
      <c r="E27" t="inlineStr">
        <is>
          <t>Express</t>
        </is>
      </c>
      <c r="F27" t="n">
        <v>6666</v>
      </c>
      <c r="G27" t="n">
        <v>4441</v>
      </c>
      <c r="H27" t="n">
        <v>6581</v>
      </c>
      <c r="I27" t="n">
        <v>4185</v>
      </c>
      <c r="J27" t="n">
        <v>544</v>
      </c>
      <c r="K27" t="n">
        <v>321</v>
      </c>
      <c r="L27" t="n">
        <v>537</v>
      </c>
      <c r="M27" t="n">
        <v>325</v>
      </c>
      <c r="N27" t="n">
        <v>200</v>
      </c>
      <c r="O27" t="n">
        <v>161</v>
      </c>
      <c r="P27" t="n">
        <v>200</v>
      </c>
      <c r="Q27" t="n">
        <v>141</v>
      </c>
    </row>
    <row r="28">
      <c r="B28" t="inlineStr">
        <is>
          <t>DL</t>
        </is>
      </c>
      <c r="C28" t="n">
        <v>2025</v>
      </c>
      <c r="D28" t="n">
        <v>10</v>
      </c>
      <c r="E28" t="inlineStr">
        <is>
          <t>Express</t>
        </is>
      </c>
      <c r="F28" t="n">
        <v>22936</v>
      </c>
      <c r="G28" t="n">
        <v>17857</v>
      </c>
      <c r="H28" t="n">
        <v>22856</v>
      </c>
      <c r="I28" t="n">
        <v>16613</v>
      </c>
      <c r="J28" t="n">
        <v>756</v>
      </c>
      <c r="K28" t="n">
        <v>606</v>
      </c>
      <c r="L28" t="n">
        <v>756</v>
      </c>
      <c r="M28" t="n">
        <v>500</v>
      </c>
      <c r="N28" t="n">
        <v>754</v>
      </c>
      <c r="O28" t="n">
        <v>616</v>
      </c>
      <c r="P28" t="n">
        <v>754</v>
      </c>
      <c r="Q28" t="n">
        <v>545</v>
      </c>
    </row>
    <row r="29">
      <c r="A29" t="inlineStr">
        <is>
          <t>LINE</t>
        </is>
      </c>
      <c r="B29" t="inlineStr">
        <is>
          <t>AA</t>
        </is>
      </c>
      <c r="C29" t="n">
        <v>2025</v>
      </c>
      <c r="D29" t="n">
        <v>10</v>
      </c>
      <c r="E29" t="inlineStr">
        <is>
          <t>Express</t>
        </is>
      </c>
      <c r="F29" t="n">
        <v>48080</v>
      </c>
      <c r="G29" t="n">
        <v>34696</v>
      </c>
      <c r="H29" t="n">
        <v>47877</v>
      </c>
      <c r="I29" t="n">
        <v>30774</v>
      </c>
      <c r="J29" t="n">
        <v>1598</v>
      </c>
      <c r="K29" t="n">
        <v>1135</v>
      </c>
      <c r="L29" t="n">
        <v>1596</v>
      </c>
      <c r="M29" t="n">
        <v>901</v>
      </c>
      <c r="N29" t="n">
        <v>1541</v>
      </c>
      <c r="O29" t="n">
        <v>1150</v>
      </c>
      <c r="P29" t="n">
        <v>1541</v>
      </c>
      <c r="Q29" t="n">
        <v>913</v>
      </c>
    </row>
    <row r="30">
      <c r="A30" t="inlineStr">
        <is>
          <t>LINE</t>
        </is>
      </c>
      <c r="B30" t="inlineStr">
        <is>
          <t>AS</t>
        </is>
      </c>
      <c r="C30" t="n">
        <v>2025</v>
      </c>
      <c r="D30" t="n">
        <v>10</v>
      </c>
      <c r="E30" t="inlineStr">
        <is>
          <t>Express</t>
        </is>
      </c>
      <c r="F30" t="n">
        <v>8772</v>
      </c>
      <c r="G30" t="n">
        <v>6000</v>
      </c>
      <c r="H30" t="n">
        <v>8620</v>
      </c>
      <c r="I30" t="n">
        <v>5537</v>
      </c>
      <c r="J30" t="n">
        <v>629</v>
      </c>
      <c r="K30" t="n">
        <v>355</v>
      </c>
      <c r="L30" t="n">
        <v>607</v>
      </c>
      <c r="M30" t="n">
        <v>350</v>
      </c>
      <c r="N30" t="n">
        <v>292</v>
      </c>
      <c r="O30" t="n">
        <v>215</v>
      </c>
      <c r="P30" t="n">
        <v>283</v>
      </c>
      <c r="Q30" t="n">
        <v>195</v>
      </c>
    </row>
    <row r="31">
      <c r="A31" t="inlineStr">
        <is>
          <t>LINE</t>
        </is>
      </c>
      <c r="B31" t="inlineStr">
        <is>
          <t>DL</t>
        </is>
      </c>
      <c r="C31" t="n">
        <v>2025</v>
      </c>
      <c r="D31" t="n">
        <v>10</v>
      </c>
      <c r="E31" t="inlineStr">
        <is>
          <t>Express</t>
        </is>
      </c>
      <c r="F31" t="n">
        <v>28562</v>
      </c>
      <c r="G31" t="n">
        <v>22356</v>
      </c>
      <c r="H31" t="n">
        <v>28441</v>
      </c>
      <c r="I31" t="n">
        <v>21401</v>
      </c>
      <c r="J31" t="n">
        <v>943</v>
      </c>
      <c r="K31" t="n">
        <v>748</v>
      </c>
      <c r="L31" t="n">
        <v>943</v>
      </c>
      <c r="M31" t="n">
        <v>697</v>
      </c>
      <c r="N31" t="n">
        <v>940</v>
      </c>
      <c r="O31" t="n">
        <v>727</v>
      </c>
      <c r="P31" t="n">
        <v>939</v>
      </c>
      <c r="Q31" t="n">
        <v>675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B2" sqref="B2"/>
    </sheetView>
  </sheetViews>
  <sheetFormatPr baseColWidth="8" defaultRowHeight="14.5" outlineLevelCol="0"/>
  <cols>
    <col width="13.26953125" customWidth="1" style="286" min="2" max="2"/>
  </cols>
  <sheetData>
    <row r="1">
      <c r="A1" s="288" t="inlineStr">
        <is>
          <t>CARRIER</t>
        </is>
      </c>
      <c r="B1" s="288" t="inlineStr">
        <is>
          <t>Seat_CNXL_Rate</t>
        </is>
      </c>
    </row>
    <row r="2">
      <c r="A2" s="289" t="inlineStr">
        <is>
          <t>American</t>
        </is>
      </c>
      <c r="B2" s="299" t="n">
        <v>0.00411404457836604</v>
      </c>
      <c r="C2" s="132" t="n"/>
    </row>
    <row r="3">
      <c r="A3" s="289" t="inlineStr">
        <is>
          <t>Delta</t>
        </is>
      </c>
      <c r="B3" s="298" t="n">
        <v>0.003971327315379</v>
      </c>
      <c r="C3" s="132" t="n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Sheet14">
    <outlinePr summaryBelow="1" summaryRight="1"/>
    <pageSetUpPr/>
  </sheetPr>
  <dimension ref="A1:C3"/>
  <sheetViews>
    <sheetView workbookViewId="0">
      <selection activeCell="E18" sqref="E18"/>
    </sheetView>
  </sheetViews>
  <sheetFormatPr baseColWidth="8" defaultRowHeight="14.5" outlineLevelCol="0"/>
  <cols>
    <col width="11.26953125" bestFit="1" customWidth="1" style="286" min="1" max="1"/>
    <col width="17" bestFit="1" customWidth="1" style="286" min="2" max="2"/>
    <col width="15" bestFit="1" customWidth="1" style="286" min="3" max="3"/>
  </cols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YEST</t>
        </is>
      </c>
      <c r="B2" t="n">
        <v>0</v>
      </c>
      <c r="C2" t="n">
        <v>1</v>
      </c>
    </row>
    <row r="3">
      <c r="A3" t="inlineStr">
        <is>
          <t>MTD</t>
        </is>
      </c>
      <c r="B3" t="n">
        <v>2</v>
      </c>
      <c r="C3" t="n">
        <v>58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Sheet27">
    <outlinePr summaryBelow="1" summaryRight="1"/>
    <pageSetUpPr/>
  </sheetPr>
  <dimension ref="A1:A2"/>
  <sheetViews>
    <sheetView workbookViewId="0">
      <selection activeCell="B4" sqref="B4"/>
    </sheetView>
  </sheetViews>
  <sheetFormatPr baseColWidth="8" defaultRowHeight="14.5"/>
  <sheetData>
    <row r="1">
      <c r="A1" t="inlineStr">
        <is>
          <t>count</t>
        </is>
      </c>
    </row>
    <row r="2">
      <c r="A2" t="n">
        <v>19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Sheet29">
    <outlinePr summaryBelow="1" summaryRight="1"/>
    <pageSetUpPr/>
  </sheetPr>
  <dimension ref="A1:R5"/>
  <sheetViews>
    <sheetView workbookViewId="0">
      <selection activeCell="A2" sqref="A2:R5"/>
    </sheetView>
  </sheetViews>
  <sheetFormatPr baseColWidth="8" defaultRowHeight="14.5"/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sked</t>
        </is>
      </c>
      <c r="N1" t="inlineStr">
        <is>
          <t>short_dly_rate</t>
        </is>
      </c>
      <c r="O1" t="inlineStr">
        <is>
          <t>long_dly_rate</t>
        </is>
      </c>
      <c r="P1" t="inlineStr">
        <is>
          <t>total_dprt_dly_rate</t>
        </is>
      </c>
      <c r="Q1" t="inlineStr">
        <is>
          <t>fo_dly_rate</t>
        </is>
      </c>
      <c r="R1" t="inlineStr">
        <is>
          <t>if_dly_rate</t>
        </is>
      </c>
    </row>
    <row r="2">
      <c r="A2" t="inlineStr">
        <is>
          <t>Yest</t>
        </is>
      </c>
      <c r="B2" t="n">
        <v>153</v>
      </c>
      <c r="C2" t="n">
        <v>194</v>
      </c>
      <c r="D2" t="n">
        <v>347</v>
      </c>
      <c r="E2" t="n">
        <v>33</v>
      </c>
      <c r="F2" t="n">
        <v>13</v>
      </c>
      <c r="G2" t="n">
        <v>8</v>
      </c>
      <c r="H2" t="n">
        <v>6</v>
      </c>
      <c r="I2" t="n">
        <v>12</v>
      </c>
      <c r="J2" t="n">
        <v>4</v>
      </c>
      <c r="K2" t="n">
        <v>4</v>
      </c>
      <c r="L2" t="n">
        <v>5</v>
      </c>
      <c r="M2" s="287" t="n">
        <v>1969</v>
      </c>
      <c r="N2" t="n">
        <v>7.77044184865413</v>
      </c>
      <c r="O2" t="n">
        <v>9.852717115286939</v>
      </c>
      <c r="P2" t="n">
        <v>17.623158963941</v>
      </c>
      <c r="Q2" t="n">
        <v>1.67597765363128</v>
      </c>
      <c r="R2" t="n">
        <v>0.660233621127475</v>
      </c>
    </row>
    <row r="3">
      <c r="A3" t="inlineStr">
        <is>
          <t>MTD</t>
        </is>
      </c>
      <c r="B3" s="287" t="n">
        <v>5965</v>
      </c>
      <c r="C3" s="287" t="n">
        <v>8002</v>
      </c>
      <c r="D3" s="287" t="n">
        <v>13967</v>
      </c>
      <c r="E3" t="n">
        <v>1162</v>
      </c>
      <c r="F3" t="n">
        <v>512</v>
      </c>
      <c r="G3" t="n">
        <v>422</v>
      </c>
      <c r="H3" t="n">
        <v>157</v>
      </c>
      <c r="I3" t="n">
        <v>398</v>
      </c>
      <c r="J3" t="n">
        <v>192</v>
      </c>
      <c r="K3" t="n">
        <v>132</v>
      </c>
      <c r="L3" t="n">
        <v>188</v>
      </c>
      <c r="M3" s="287" t="n">
        <v>57304</v>
      </c>
      <c r="N3" t="n">
        <v>10.4093955046768</v>
      </c>
      <c r="O3" t="n">
        <v>13.9641211782772</v>
      </c>
      <c r="P3" t="n">
        <v>24.373516682954</v>
      </c>
      <c r="Q3" t="n">
        <v>2.02778165573083</v>
      </c>
      <c r="R3" t="n">
        <v>0.893480385313416</v>
      </c>
    </row>
    <row r="4">
      <c r="A4" t="inlineStr">
        <is>
          <t>L7D</t>
        </is>
      </c>
      <c r="B4" s="287" t="n">
        <v>1446</v>
      </c>
      <c r="C4" s="287" t="n">
        <v>2102</v>
      </c>
      <c r="D4" s="287" t="n">
        <v>3548</v>
      </c>
      <c r="E4" t="n">
        <v>314</v>
      </c>
      <c r="F4" t="n">
        <v>142</v>
      </c>
      <c r="G4" t="n">
        <v>115</v>
      </c>
      <c r="H4" t="n">
        <v>43</v>
      </c>
      <c r="I4" t="n">
        <v>112</v>
      </c>
      <c r="J4" t="n">
        <v>48</v>
      </c>
      <c r="K4" t="n">
        <v>44</v>
      </c>
      <c r="L4" t="n">
        <v>50</v>
      </c>
      <c r="M4" s="287" t="n">
        <v>13807</v>
      </c>
      <c r="N4" t="n">
        <v>10.4729485043818</v>
      </c>
      <c r="O4" t="n">
        <v>15.2241616571304</v>
      </c>
      <c r="P4" t="n">
        <v>25.6971101615122</v>
      </c>
      <c r="Q4" t="n">
        <v>2.27420873469978</v>
      </c>
      <c r="R4" t="n">
        <v>1.02846382269863</v>
      </c>
    </row>
    <row r="5">
      <c r="A5" t="n">
        <v>2019</v>
      </c>
      <c r="B5" s="287" t="n">
        <v>7140</v>
      </c>
      <c r="C5" s="287" t="n">
        <v>14052</v>
      </c>
      <c r="D5" s="287" t="n">
        <v>21192</v>
      </c>
      <c r="E5" s="287" t="n">
        <v>3062</v>
      </c>
      <c r="F5" t="n">
        <v>1024</v>
      </c>
      <c r="G5" t="n">
        <v>925</v>
      </c>
      <c r="H5" t="n">
        <v>281</v>
      </c>
      <c r="I5" t="n">
        <v>848</v>
      </c>
      <c r="J5" t="n">
        <v>331</v>
      </c>
      <c r="K5" t="n">
        <v>81</v>
      </c>
      <c r="L5" t="n">
        <v>612</v>
      </c>
      <c r="M5" s="287" t="n">
        <v>80780</v>
      </c>
      <c r="N5" t="n">
        <v>8.838821490467931</v>
      </c>
      <c r="O5" t="n">
        <v>17.3953948997276</v>
      </c>
      <c r="P5" t="n">
        <v>26.2342163901955</v>
      </c>
      <c r="Q5" t="n">
        <v>3.79054221341916</v>
      </c>
      <c r="R5" t="n">
        <v>1.26764050507551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Sheet30">
    <outlinePr summaryBelow="1" summaryRight="1"/>
    <pageSetUpPr/>
  </sheetPr>
  <dimension ref="A1:G9"/>
  <sheetViews>
    <sheetView workbookViewId="0">
      <selection activeCell="E12" sqref="E12"/>
    </sheetView>
  </sheetViews>
  <sheetFormatPr baseColWidth="8" defaultRowHeight="14.5"/>
  <sheetData>
    <row r="1" ht="15" customHeight="1" s="286" thickBot="1">
      <c r="A1" s="195" t="inlineStr">
        <is>
          <t>CITY</t>
        </is>
      </c>
      <c r="B1" s="195" t="inlineStr">
        <is>
          <t>CARRIER</t>
        </is>
      </c>
      <c r="C1" s="195" t="inlineStr">
        <is>
          <t>ML_EX_IND</t>
        </is>
      </c>
      <c r="D1" s="195" t="inlineStr">
        <is>
          <t>Yest_Scheduled_Flights</t>
        </is>
      </c>
      <c r="E1" s="195" t="inlineStr">
        <is>
          <t>Yest_D00_Flights</t>
        </is>
      </c>
      <c r="F1" s="195" t="inlineStr">
        <is>
          <t>Yest_Completed_Flights</t>
        </is>
      </c>
    </row>
    <row r="2" ht="15" customHeight="1" s="286" thickBot="1">
      <c r="A2" s="207" t="inlineStr">
        <is>
          <t>OTHER</t>
        </is>
      </c>
      <c r="B2" s="207" t="inlineStr">
        <is>
          <t>AA</t>
        </is>
      </c>
      <c r="C2" s="207" t="inlineStr">
        <is>
          <t>Mainline</t>
        </is>
      </c>
      <c r="D2" s="207" t="n">
        <v>1414</v>
      </c>
      <c r="E2" s="207" t="n">
        <v>1019</v>
      </c>
      <c r="F2" s="207" t="n">
        <v>1412</v>
      </c>
      <c r="G2" s="207" t="n"/>
    </row>
    <row r="3" ht="15" customHeight="1" s="286" thickBot="1">
      <c r="A3" s="208" t="inlineStr">
        <is>
          <t>Line Int</t>
        </is>
      </c>
      <c r="B3" s="208" t="inlineStr">
        <is>
          <t>AA</t>
        </is>
      </c>
      <c r="C3" s="208" t="inlineStr">
        <is>
          <t>Mainline</t>
        </is>
      </c>
      <c r="D3" s="208" t="n">
        <v>57</v>
      </c>
      <c r="E3" s="208" t="n">
        <v>44</v>
      </c>
      <c r="F3" s="208" t="n">
        <v>55</v>
      </c>
      <c r="G3" s="208" t="n"/>
    </row>
    <row r="4" ht="15" customHeight="1" s="286" thickBot="1">
      <c r="A4" s="209" t="inlineStr">
        <is>
          <t>OTHER</t>
        </is>
      </c>
      <c r="B4" s="209" t="inlineStr">
        <is>
          <t>AS</t>
        </is>
      </c>
      <c r="C4" s="209" t="inlineStr">
        <is>
          <t>Mainline</t>
        </is>
      </c>
      <c r="D4" s="209" t="n">
        <v>1173</v>
      </c>
      <c r="E4" s="209" t="n">
        <v>676</v>
      </c>
      <c r="F4" s="209" t="n">
        <v>1144</v>
      </c>
      <c r="G4" s="209" t="n"/>
    </row>
    <row r="5" ht="15" customHeight="1" s="286" thickBot="1">
      <c r="A5" s="208" t="inlineStr">
        <is>
          <t>Line Dom</t>
        </is>
      </c>
      <c r="B5" s="208" t="inlineStr">
        <is>
          <t>DL</t>
        </is>
      </c>
      <c r="C5" s="208" t="inlineStr">
        <is>
          <t>Mainline</t>
        </is>
      </c>
      <c r="D5" s="208" t="n">
        <v>838</v>
      </c>
      <c r="E5" s="208" t="n">
        <v>672</v>
      </c>
      <c r="F5" s="208" t="n">
        <v>838</v>
      </c>
      <c r="G5" s="208" t="n"/>
    </row>
    <row r="6" ht="15" customHeight="1" s="286" thickBot="1">
      <c r="A6" s="209" t="inlineStr">
        <is>
          <t>Line Dom</t>
        </is>
      </c>
      <c r="B6" s="209" t="inlineStr">
        <is>
          <t>AA</t>
        </is>
      </c>
      <c r="C6" s="209" t="inlineStr">
        <is>
          <t>Mainline</t>
        </is>
      </c>
      <c r="D6" s="209" t="n">
        <v>1365</v>
      </c>
      <c r="E6" s="209" t="n">
        <v>965</v>
      </c>
      <c r="F6" s="209" t="n">
        <v>1365</v>
      </c>
      <c r="G6" s="209" t="n"/>
    </row>
    <row r="7" ht="15" customHeight="1" s="286" thickBot="1">
      <c r="A7" s="208" t="inlineStr">
        <is>
          <t>OTHER</t>
        </is>
      </c>
      <c r="B7" s="208" t="inlineStr">
        <is>
          <t>DL</t>
        </is>
      </c>
      <c r="C7" s="208" t="inlineStr">
        <is>
          <t>Mainline</t>
        </is>
      </c>
      <c r="D7" s="208" t="n">
        <v>826</v>
      </c>
      <c r="E7" s="208" t="n">
        <v>654</v>
      </c>
      <c r="F7" s="208" t="n">
        <v>826</v>
      </c>
      <c r="G7" s="208" t="n"/>
    </row>
    <row r="8" ht="15" customHeight="1" s="286" thickBot="1">
      <c r="A8" s="209" t="inlineStr">
        <is>
          <t>Line Int</t>
        </is>
      </c>
      <c r="B8" s="209" t="inlineStr">
        <is>
          <t>DL</t>
        </is>
      </c>
      <c r="C8" s="209" t="inlineStr">
        <is>
          <t>Mainline</t>
        </is>
      </c>
      <c r="D8" s="209" t="n">
        <v>35</v>
      </c>
      <c r="E8" s="209" t="n">
        <v>28</v>
      </c>
      <c r="F8" s="209" t="n">
        <v>35</v>
      </c>
      <c r="G8" s="209" t="n"/>
    </row>
    <row r="9" ht="15" customHeight="1" s="286" thickBot="1">
      <c r="A9" s="210" t="n"/>
      <c r="B9" s="195" t="n"/>
    </row>
  </sheetData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AF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arr0_cnt.1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  <c r="N1" t="inlineStr">
        <is>
          <t>scheduled_flights_yest</t>
        </is>
      </c>
      <c r="O1" t="inlineStr">
        <is>
          <t>cnxl_flt_yest</t>
        </is>
      </c>
      <c r="P1" t="inlineStr">
        <is>
          <t>dep0_cnt_yest</t>
        </is>
      </c>
      <c r="Q1" t="inlineStr">
        <is>
          <t>new_dep0_cnt_yest</t>
        </is>
      </c>
      <c r="R1" t="inlineStr">
        <is>
          <t>arr0_cnt_yest</t>
        </is>
      </c>
      <c r="S1" t="inlineStr">
        <is>
          <t>arr0_cnt_yest.1</t>
        </is>
      </c>
      <c r="T1" t="inlineStr">
        <is>
          <t>star_sch_flt_count_yest</t>
        </is>
      </c>
      <c r="U1" t="inlineStr">
        <is>
          <t>star_d00_count_yest</t>
        </is>
      </c>
      <c r="V1" t="inlineStr">
        <is>
          <t>controllable_cancels_yest</t>
        </is>
      </c>
      <c r="W1" t="inlineStr">
        <is>
          <t>scheduled_flights_dateminus2</t>
        </is>
      </c>
      <c r="X1" t="inlineStr">
        <is>
          <t>completed_flights_dateminus2</t>
        </is>
      </c>
      <c r="Y1" t="inlineStr">
        <is>
          <t>dep0_cnt_dateminus2</t>
        </is>
      </c>
      <c r="Z1" t="inlineStr">
        <is>
          <t>new_dep0_cnt_dateminus2</t>
        </is>
      </c>
      <c r="AA1" t="inlineStr">
        <is>
          <t>arr0_cnt_dateminus2</t>
        </is>
      </c>
      <c r="AB1" t="inlineStr">
        <is>
          <t>arr0_cnt_dateminus2.1</t>
        </is>
      </c>
      <c r="AC1" t="inlineStr">
        <is>
          <t>dep_cnt</t>
        </is>
      </c>
      <c r="AD1" t="inlineStr">
        <is>
          <t>arr_cnt</t>
        </is>
      </c>
      <c r="AE1" t="inlineStr">
        <is>
          <t>dep_cnt_yest</t>
        </is>
      </c>
      <c r="AF1" t="inlineStr">
        <is>
          <t>arr_cnt_yest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3906</v>
      </c>
      <c r="F2" t="n">
        <v>74</v>
      </c>
      <c r="G2" t="n">
        <v>2771</v>
      </c>
      <c r="H2" t="n">
        <v>2896</v>
      </c>
      <c r="I2" t="n">
        <v>2524</v>
      </c>
      <c r="J2" t="n">
        <v>3116</v>
      </c>
      <c r="K2" t="n">
        <v>647</v>
      </c>
      <c r="L2" t="n">
        <v>554</v>
      </c>
      <c r="M2" t="n">
        <v>1</v>
      </c>
      <c r="N2" t="n">
        <v>0</v>
      </c>
      <c r="O2" t="n">
        <v>0</v>
      </c>
      <c r="P2" t="n">
        <v>0</v>
      </c>
      <c r="Q2" t="n">
        <v>0</v>
      </c>
      <c r="R2" t="n">
        <v>0</v>
      </c>
      <c r="S2" t="n">
        <v>0</v>
      </c>
      <c r="T2" t="n">
        <v>0</v>
      </c>
      <c r="U2" t="n">
        <v>0</v>
      </c>
      <c r="V2" t="n">
        <v>0</v>
      </c>
      <c r="W2" t="n">
        <v>2054</v>
      </c>
      <c r="X2" t="n">
        <v>1980</v>
      </c>
      <c r="Y2" t="n">
        <v>1374</v>
      </c>
      <c r="Z2" t="n">
        <v>1441</v>
      </c>
      <c r="AA2" t="n">
        <v>1268</v>
      </c>
      <c r="AB2" t="n">
        <v>1268</v>
      </c>
      <c r="AC2" t="n">
        <v>3906</v>
      </c>
      <c r="AD2" t="n">
        <v>3905</v>
      </c>
      <c r="AE2" t="n">
        <v>0</v>
      </c>
      <c r="AF2" t="n">
        <v>0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F1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F1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E1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MTD</t>
        </is>
      </c>
      <c r="B2" t="n">
        <v>4</v>
      </c>
    </row>
    <row r="3">
      <c r="A3" t="inlineStr">
        <is>
          <t>YEST</t>
        </is>
      </c>
      <c r="B3" t="n">
        <v>1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YEST</t>
        </is>
      </c>
      <c r="B2" t="n">
        <v/>
      </c>
      <c r="C2" t="n">
        <v/>
      </c>
    </row>
    <row r="3">
      <c r="A3" t="inlineStr">
        <is>
          <t>MTD</t>
        </is>
      </c>
      <c r="B3" t="n">
        <v>0</v>
      </c>
      <c r="C3" t="n">
        <v>3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Y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sched_flt_dateminus2</t>
        </is>
      </c>
      <c r="M1" t="inlineStr">
        <is>
          <t>cnxl_flt_dateminus2</t>
        </is>
      </c>
      <c r="N1" t="inlineStr">
        <is>
          <t>a0_flt_dateminus2</t>
        </is>
      </c>
      <c r="O1" t="inlineStr">
        <is>
          <t>a14_flt_dateminus2</t>
        </is>
      </c>
      <c r="P1" t="inlineStr">
        <is>
          <t>d0_flt_dateminus2_o</t>
        </is>
      </c>
      <c r="Q1" t="inlineStr">
        <is>
          <t>d0_flt_dateminus2</t>
        </is>
      </c>
      <c r="R1" t="inlineStr">
        <is>
          <t>sched_flt_mtd</t>
        </is>
      </c>
      <c r="S1" t="inlineStr">
        <is>
          <t>cnxl_flt_mtd</t>
        </is>
      </c>
      <c r="T1" t="inlineStr">
        <is>
          <t>a0_flt_mtd</t>
        </is>
      </c>
      <c r="U1" t="inlineStr">
        <is>
          <t>a14_flt_mtd</t>
        </is>
      </c>
      <c r="V1" t="inlineStr">
        <is>
          <t>d0_flt_mtd_o</t>
        </is>
      </c>
      <c r="W1" t="inlineStr">
        <is>
          <t>d0_flt_mtd</t>
        </is>
      </c>
      <c r="X1" t="inlineStr">
        <is>
          <t>in_sched_flt_now</t>
        </is>
      </c>
      <c r="Y1" t="inlineStr">
        <is>
          <t>in_sched_flt_mtd</t>
        </is>
      </c>
    </row>
    <row r="2">
      <c r="A2" t="inlineStr">
        <is>
          <t>2025-11-04 06:48:19.638475+00:00</t>
        </is>
      </c>
      <c r="B2" t="inlineStr">
        <is>
          <t>Washington DC</t>
        </is>
      </c>
      <c r="C2" t="inlineStr">
        <is>
          <t>BWI</t>
        </is>
      </c>
      <c r="D2" t="inlineStr">
        <is>
          <t>UA</t>
        </is>
      </c>
      <c r="E2" t="inlineStr">
        <is>
          <t>Express</t>
        </is>
      </c>
      <c r="F2" t="n">
        <v>0</v>
      </c>
      <c r="G2" t="n">
        <v>0</v>
      </c>
      <c r="H2" t="n">
        <v>0</v>
      </c>
      <c r="I2" t="n">
        <v>0</v>
      </c>
      <c r="J2" t="n">
        <v>0</v>
      </c>
      <c r="K2" t="n">
        <v>0</v>
      </c>
      <c r="L2" t="n">
        <v>0</v>
      </c>
      <c r="M2" t="n">
        <v>0</v>
      </c>
      <c r="N2" t="n">
        <v>0</v>
      </c>
      <c r="O2" t="n">
        <v>0</v>
      </c>
      <c r="P2" t="n">
        <v>0</v>
      </c>
      <c r="Q2" t="n">
        <v>0</v>
      </c>
      <c r="R2" t="n">
        <v>0</v>
      </c>
      <c r="S2" t="n">
        <v>0</v>
      </c>
      <c r="T2" t="n">
        <v>0</v>
      </c>
      <c r="U2" t="n">
        <v>0</v>
      </c>
      <c r="V2" t="n">
        <v>0</v>
      </c>
      <c r="W2" t="n">
        <v>0</v>
      </c>
      <c r="X2" t="n">
        <v>0</v>
      </c>
      <c r="Y2" t="n">
        <v>0</v>
      </c>
    </row>
    <row r="3">
      <c r="A3" t="inlineStr">
        <is>
          <t>2025-11-04 06:48:19.638475+00:00</t>
        </is>
      </c>
      <c r="B3" t="inlineStr">
        <is>
          <t>Texas</t>
        </is>
      </c>
      <c r="C3" t="inlineStr">
        <is>
          <t>IAH</t>
        </is>
      </c>
      <c r="D3" t="inlineStr">
        <is>
          <t>UA</t>
        </is>
      </c>
      <c r="E3" t="inlineStr">
        <is>
          <t>Express</t>
        </is>
      </c>
      <c r="F3" t="n">
        <v>0</v>
      </c>
      <c r="G3" t="n">
        <v>0</v>
      </c>
      <c r="H3" t="n">
        <v>0</v>
      </c>
      <c r="I3" t="n">
        <v>0</v>
      </c>
      <c r="J3" t="n">
        <v>0</v>
      </c>
      <c r="K3" t="n">
        <v>0</v>
      </c>
      <c r="L3" t="n">
        <v>216</v>
      </c>
      <c r="M3" t="n">
        <v>0</v>
      </c>
      <c r="N3" t="n">
        <v>164</v>
      </c>
      <c r="O3" t="n">
        <v>192</v>
      </c>
      <c r="P3" t="n">
        <v>119</v>
      </c>
      <c r="Q3" t="n">
        <v>138</v>
      </c>
      <c r="R3" t="n">
        <v>406</v>
      </c>
      <c r="S3" t="n">
        <v>0</v>
      </c>
      <c r="T3" t="n">
        <v>274</v>
      </c>
      <c r="U3" t="n">
        <v>331</v>
      </c>
      <c r="V3" t="n">
        <v>243</v>
      </c>
      <c r="W3" t="n">
        <v>280</v>
      </c>
      <c r="X3" t="n">
        <v>0</v>
      </c>
      <c r="Y3" t="n">
        <v>405</v>
      </c>
    </row>
    <row r="4">
      <c r="A4" t="inlineStr">
        <is>
          <t>2025-11-04 06:48:19.638475+00:00</t>
        </is>
      </c>
      <c r="B4" t="inlineStr">
        <is>
          <t>San Francisco</t>
        </is>
      </c>
      <c r="C4" t="inlineStr">
        <is>
          <t>SFO</t>
        </is>
      </c>
      <c r="D4" t="inlineStr">
        <is>
          <t>UA</t>
        </is>
      </c>
      <c r="E4" t="inlineStr">
        <is>
          <t>Express</t>
        </is>
      </c>
      <c r="F4" t="n">
        <v>0</v>
      </c>
      <c r="G4" t="n">
        <v>0</v>
      </c>
      <c r="H4" t="n">
        <v>0</v>
      </c>
      <c r="I4" t="n">
        <v>0</v>
      </c>
      <c r="J4" t="n">
        <v>0</v>
      </c>
      <c r="K4" t="n">
        <v>0</v>
      </c>
      <c r="L4" t="n">
        <v>63</v>
      </c>
      <c r="M4" t="n">
        <v>0</v>
      </c>
      <c r="N4" t="n">
        <v>30</v>
      </c>
      <c r="O4" t="n">
        <v>37</v>
      </c>
      <c r="P4" t="n">
        <v>26</v>
      </c>
      <c r="Q4" t="n">
        <v>31</v>
      </c>
      <c r="R4" t="n">
        <v>124</v>
      </c>
      <c r="S4" t="n">
        <v>0</v>
      </c>
      <c r="T4" t="n">
        <v>69</v>
      </c>
      <c r="U4" t="n">
        <v>86</v>
      </c>
      <c r="V4" t="n">
        <v>66</v>
      </c>
      <c r="W4" t="n">
        <v>75</v>
      </c>
      <c r="X4" t="n">
        <v>0</v>
      </c>
      <c r="Y4" t="n">
        <v>124</v>
      </c>
    </row>
    <row r="5">
      <c r="A5" t="inlineStr">
        <is>
          <t>2025-11-04 06:48:19.638475+00:00</t>
        </is>
      </c>
      <c r="B5" t="inlineStr">
        <is>
          <t>Chicago</t>
        </is>
      </c>
      <c r="C5" t="inlineStr">
        <is>
          <t>ORD</t>
        </is>
      </c>
      <c r="D5" t="inlineStr">
        <is>
          <t>UA</t>
        </is>
      </c>
      <c r="E5" t="inlineStr">
        <is>
          <t>Express</t>
        </is>
      </c>
      <c r="F5" t="n">
        <v>0</v>
      </c>
      <c r="G5" t="n">
        <v>0</v>
      </c>
      <c r="H5" t="n">
        <v>0</v>
      </c>
      <c r="I5" t="n">
        <v>0</v>
      </c>
      <c r="J5" t="n">
        <v>0</v>
      </c>
      <c r="K5" t="n">
        <v>0</v>
      </c>
      <c r="L5" t="n">
        <v>278</v>
      </c>
      <c r="M5" t="n">
        <v>0</v>
      </c>
      <c r="N5" t="n">
        <v>165</v>
      </c>
      <c r="O5" t="n">
        <v>208</v>
      </c>
      <c r="P5" t="n">
        <v>158</v>
      </c>
      <c r="Q5" t="n">
        <v>181</v>
      </c>
      <c r="R5" t="n">
        <v>543</v>
      </c>
      <c r="S5" t="n">
        <v>0</v>
      </c>
      <c r="T5" t="n">
        <v>346</v>
      </c>
      <c r="U5" t="n">
        <v>430</v>
      </c>
      <c r="V5" t="n">
        <v>346</v>
      </c>
      <c r="W5" t="n">
        <v>390</v>
      </c>
      <c r="X5" t="n">
        <v>0</v>
      </c>
      <c r="Y5" t="n">
        <v>543</v>
      </c>
    </row>
    <row r="6">
      <c r="A6" t="inlineStr">
        <is>
          <t>2025-11-04 06:48:19.638475+00:00</t>
        </is>
      </c>
      <c r="B6" t="inlineStr">
        <is>
          <t>Los Angeles</t>
        </is>
      </c>
      <c r="C6" t="inlineStr">
        <is>
          <t>LAX</t>
        </is>
      </c>
      <c r="D6" t="inlineStr">
        <is>
          <t>UA</t>
        </is>
      </c>
      <c r="E6" t="inlineStr">
        <is>
          <t>Express</t>
        </is>
      </c>
      <c r="F6" t="n">
        <v>0</v>
      </c>
      <c r="G6" t="n">
        <v>0</v>
      </c>
      <c r="H6" t="n">
        <v>0</v>
      </c>
      <c r="I6" t="n">
        <v>0</v>
      </c>
      <c r="J6" t="n">
        <v>0</v>
      </c>
      <c r="K6" t="n">
        <v>0</v>
      </c>
      <c r="L6" t="n">
        <v>32</v>
      </c>
      <c r="M6" t="n">
        <v>0</v>
      </c>
      <c r="N6" t="n">
        <v>16</v>
      </c>
      <c r="O6" t="n">
        <v>17</v>
      </c>
      <c r="P6" t="n">
        <v>21</v>
      </c>
      <c r="Q6" t="n">
        <v>21</v>
      </c>
      <c r="R6" t="n">
        <v>62</v>
      </c>
      <c r="S6" t="n">
        <v>0</v>
      </c>
      <c r="T6" t="n">
        <v>34</v>
      </c>
      <c r="U6" t="n">
        <v>43</v>
      </c>
      <c r="V6" t="n">
        <v>44</v>
      </c>
      <c r="W6" t="n">
        <v>44</v>
      </c>
      <c r="X6" t="n">
        <v>0</v>
      </c>
      <c r="Y6" t="n">
        <v>62</v>
      </c>
    </row>
    <row r="7">
      <c r="A7" t="inlineStr">
        <is>
          <t>2025-11-04 06:48:19.638475+00:00</t>
        </is>
      </c>
      <c r="B7" t="inlineStr">
        <is>
          <t>Denver</t>
        </is>
      </c>
      <c r="C7" t="inlineStr">
        <is>
          <t>DEN</t>
        </is>
      </c>
      <c r="D7" t="inlineStr">
        <is>
          <t>UA</t>
        </is>
      </c>
      <c r="E7" t="inlineStr">
        <is>
          <t>Express</t>
        </is>
      </c>
      <c r="F7" t="n">
        <v>0</v>
      </c>
      <c r="G7" t="n">
        <v>0</v>
      </c>
      <c r="H7" t="n">
        <v>0</v>
      </c>
      <c r="I7" t="n">
        <v>0</v>
      </c>
      <c r="J7" t="n">
        <v>0</v>
      </c>
      <c r="K7" t="n">
        <v>0</v>
      </c>
      <c r="L7" t="n">
        <v>206</v>
      </c>
      <c r="M7" t="n">
        <v>0</v>
      </c>
      <c r="N7" t="n">
        <v>161</v>
      </c>
      <c r="O7" t="n">
        <v>185</v>
      </c>
      <c r="P7" t="n">
        <v>167</v>
      </c>
      <c r="Q7" t="n">
        <v>178</v>
      </c>
      <c r="R7" t="n">
        <v>387</v>
      </c>
      <c r="S7" t="n">
        <v>0</v>
      </c>
      <c r="T7" t="n">
        <v>307</v>
      </c>
      <c r="U7" t="n">
        <v>357</v>
      </c>
      <c r="V7" t="n">
        <v>317</v>
      </c>
      <c r="W7" t="n">
        <v>330</v>
      </c>
      <c r="X7" t="n">
        <v>0</v>
      </c>
      <c r="Y7" t="n">
        <v>387</v>
      </c>
    </row>
    <row r="8">
      <c r="A8" t="inlineStr">
        <is>
          <t>2025-11-04 06:48:19.638475+00:00</t>
        </is>
      </c>
      <c r="B8" t="inlineStr">
        <is>
          <t>New York</t>
        </is>
      </c>
      <c r="C8" t="inlineStr">
        <is>
          <t>LGA</t>
        </is>
      </c>
      <c r="D8" t="inlineStr">
        <is>
          <t>UA</t>
        </is>
      </c>
      <c r="E8" t="inlineStr">
        <is>
          <t>Express</t>
        </is>
      </c>
      <c r="F8" t="n">
        <v>0</v>
      </c>
      <c r="G8" t="n">
        <v>0</v>
      </c>
      <c r="H8" t="n">
        <v>0</v>
      </c>
      <c r="I8" t="n">
        <v>0</v>
      </c>
      <c r="J8" t="n">
        <v>0</v>
      </c>
      <c r="K8" t="n">
        <v>0</v>
      </c>
      <c r="L8" t="n">
        <v>4</v>
      </c>
      <c r="M8" t="n">
        <v>0</v>
      </c>
      <c r="N8" t="n">
        <v>2</v>
      </c>
      <c r="O8" t="n">
        <v>3</v>
      </c>
      <c r="P8" t="n">
        <v>2</v>
      </c>
      <c r="Q8" t="n">
        <v>2</v>
      </c>
      <c r="R8" t="n">
        <v>8</v>
      </c>
      <c r="S8" t="n">
        <v>0</v>
      </c>
      <c r="T8" t="n">
        <v>5</v>
      </c>
      <c r="U8" t="n">
        <v>6</v>
      </c>
      <c r="V8" t="n">
        <v>5</v>
      </c>
      <c r="W8" t="n">
        <v>5</v>
      </c>
      <c r="X8" t="n">
        <v>0</v>
      </c>
      <c r="Y8" t="n">
        <v>8</v>
      </c>
    </row>
    <row r="9">
      <c r="A9" t="inlineStr">
        <is>
          <t>2025-11-04 06:48:19.638475+00:00</t>
        </is>
      </c>
      <c r="B9" t="inlineStr">
        <is>
          <t>Washington DC</t>
        </is>
      </c>
      <c r="C9" t="inlineStr">
        <is>
          <t>IAD</t>
        </is>
      </c>
      <c r="D9" t="inlineStr">
        <is>
          <t>UA</t>
        </is>
      </c>
      <c r="E9" t="inlineStr">
        <is>
          <t>Express</t>
        </is>
      </c>
      <c r="F9" t="n">
        <v>0</v>
      </c>
      <c r="G9" t="n">
        <v>0</v>
      </c>
      <c r="H9" t="n">
        <v>0</v>
      </c>
      <c r="I9" t="n">
        <v>0</v>
      </c>
      <c r="J9" t="n">
        <v>0</v>
      </c>
      <c r="K9" t="n">
        <v>0</v>
      </c>
      <c r="L9" t="n">
        <v>128</v>
      </c>
      <c r="M9" t="n">
        <v>0</v>
      </c>
      <c r="N9" t="n">
        <v>99</v>
      </c>
      <c r="O9" t="n">
        <v>112</v>
      </c>
      <c r="P9" t="n">
        <v>94</v>
      </c>
      <c r="Q9" t="n">
        <v>102</v>
      </c>
      <c r="R9" t="n">
        <v>248</v>
      </c>
      <c r="S9" t="n">
        <v>0</v>
      </c>
      <c r="T9" t="n">
        <v>192</v>
      </c>
      <c r="U9" t="n">
        <v>216</v>
      </c>
      <c r="V9" t="n">
        <v>172</v>
      </c>
      <c r="W9" t="n">
        <v>191</v>
      </c>
      <c r="X9" t="n">
        <v>0</v>
      </c>
      <c r="Y9" t="n">
        <v>248</v>
      </c>
    </row>
    <row r="10">
      <c r="A10" t="inlineStr">
        <is>
          <t>2025-11-04 06:48:19.638475+00:00</t>
        </is>
      </c>
      <c r="B10" t="inlineStr">
        <is>
          <t>Washington DC</t>
        </is>
      </c>
      <c r="C10" t="inlineStr">
        <is>
          <t>DCA</t>
        </is>
      </c>
      <c r="D10" t="inlineStr">
        <is>
          <t>UA</t>
        </is>
      </c>
      <c r="E10" t="inlineStr">
        <is>
          <t>Express</t>
        </is>
      </c>
      <c r="F10" t="n">
        <v>0</v>
      </c>
      <c r="G10" t="n">
        <v>0</v>
      </c>
      <c r="H10" t="n">
        <v>0</v>
      </c>
      <c r="I10" t="n">
        <v>0</v>
      </c>
      <c r="J10" t="n">
        <v>0</v>
      </c>
      <c r="K10" t="n">
        <v>0</v>
      </c>
      <c r="L10" t="n">
        <v>13</v>
      </c>
      <c r="M10" t="n">
        <v>4</v>
      </c>
      <c r="N10" t="n">
        <v>4</v>
      </c>
      <c r="O10" t="n">
        <v>7</v>
      </c>
      <c r="P10" t="n">
        <v>6</v>
      </c>
      <c r="Q10" t="n">
        <v>6</v>
      </c>
      <c r="R10" t="n">
        <v>21</v>
      </c>
      <c r="S10" t="n">
        <v>4</v>
      </c>
      <c r="T10" t="n">
        <v>7</v>
      </c>
      <c r="U10" t="n">
        <v>12</v>
      </c>
      <c r="V10" t="n">
        <v>9</v>
      </c>
      <c r="W10" t="n">
        <v>9</v>
      </c>
      <c r="X10" t="n">
        <v>0</v>
      </c>
      <c r="Y10" t="n">
        <v>21</v>
      </c>
    </row>
    <row r="11">
      <c r="A11" t="inlineStr">
        <is>
          <t>2025-11-04 06:48:19.638475+00:00</t>
        </is>
      </c>
      <c r="B11" t="inlineStr">
        <is>
          <t>New York</t>
        </is>
      </c>
      <c r="C11" t="inlineStr">
        <is>
          <t>EWR</t>
        </is>
      </c>
      <c r="D11" t="inlineStr">
        <is>
          <t>UA</t>
        </is>
      </c>
      <c r="E11" t="inlineStr">
        <is>
          <t>Express</t>
        </is>
      </c>
      <c r="F11" t="n">
        <v>0</v>
      </c>
      <c r="G11" t="n">
        <v>0</v>
      </c>
      <c r="H11" t="n">
        <v>0</v>
      </c>
      <c r="I11" t="n">
        <v>0</v>
      </c>
      <c r="J11" t="n">
        <v>0</v>
      </c>
      <c r="K11" t="n">
        <v>0</v>
      </c>
      <c r="L11" t="n">
        <v>106</v>
      </c>
      <c r="M11" t="n">
        <v>36</v>
      </c>
      <c r="N11" t="n">
        <v>32</v>
      </c>
      <c r="O11" t="n">
        <v>41</v>
      </c>
      <c r="P11" t="n">
        <v>43</v>
      </c>
      <c r="Q11" t="n">
        <v>44</v>
      </c>
      <c r="R11" t="n">
        <v>185</v>
      </c>
      <c r="S11" t="n">
        <v>36</v>
      </c>
      <c r="T11" t="n">
        <v>89</v>
      </c>
      <c r="U11" t="n">
        <v>104</v>
      </c>
      <c r="V11" t="n">
        <v>101</v>
      </c>
      <c r="W11" t="n">
        <v>104</v>
      </c>
      <c r="X11" t="n">
        <v>0</v>
      </c>
      <c r="Y11" t="n">
        <v>184</v>
      </c>
    </row>
    <row r="12">
      <c r="A12" t="inlineStr">
        <is>
          <t>2025-11-04 06:48:19.638475+00:00</t>
        </is>
      </c>
      <c r="B12" t="inlineStr">
        <is>
          <t>LINE</t>
        </is>
      </c>
      <c r="C12" t="inlineStr">
        <is>
          <t>LINE</t>
        </is>
      </c>
      <c r="D12" t="inlineStr">
        <is>
          <t>UA</t>
        </is>
      </c>
      <c r="E12" t="inlineStr">
        <is>
          <t>Express</t>
        </is>
      </c>
      <c r="F12" t="n">
        <v>0</v>
      </c>
      <c r="G12" t="n">
        <v>0</v>
      </c>
      <c r="H12" t="n">
        <v>0</v>
      </c>
      <c r="I12" t="n">
        <v>0</v>
      </c>
      <c r="J12" t="n">
        <v>0</v>
      </c>
      <c r="K12" t="n">
        <v>0</v>
      </c>
      <c r="L12" t="n">
        <v>1025</v>
      </c>
      <c r="M12" t="n">
        <v>0</v>
      </c>
      <c r="N12" t="n">
        <v>667</v>
      </c>
      <c r="O12" t="n">
        <v>792</v>
      </c>
      <c r="P12" t="n">
        <v>746</v>
      </c>
      <c r="Q12" t="n">
        <v>746</v>
      </c>
      <c r="R12" t="n">
        <v>1951</v>
      </c>
      <c r="S12" t="n">
        <v>38</v>
      </c>
      <c r="T12" t="n">
        <v>1311</v>
      </c>
      <c r="U12" t="n">
        <v>1567</v>
      </c>
      <c r="V12" t="n">
        <v>1482</v>
      </c>
      <c r="W12" t="n">
        <v>1482</v>
      </c>
      <c r="X12" t="n">
        <v>0</v>
      </c>
      <c r="Y12" t="n">
        <v>1953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count_flights</t>
        </is>
      </c>
    </row>
    <row r="2">
      <c r="A2" t="n">
        <v>3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L1"/>
  <sheetViews>
    <sheetView workbookViewId="0">
      <selection activeCell="A1" sqref="A1"/>
    </sheetView>
  </sheetViews>
  <sheetFormatPr baseColWidth="8" defaultRowHeight="15"/>
  <sheetData>
    <row r="1">
      <c r="A1" t="inlineStr">
        <is>
          <t>express partner</t>
        </is>
      </c>
      <c r="B1" t="inlineStr">
        <is>
          <t>flight num</t>
        </is>
      </c>
      <c r="C1" t="inlineStr">
        <is>
          <t>dep stn</t>
        </is>
      </c>
      <c r="D1" t="inlineStr">
        <is>
          <t>arrv stn</t>
        </is>
      </c>
      <c r="E1" t="inlineStr">
        <is>
          <t>cancel description</t>
        </is>
      </c>
      <c r="F1" t="inlineStr">
        <is>
          <t>a/c type</t>
        </is>
      </c>
      <c r="G1" t="inlineStr">
        <is>
          <t>nose</t>
        </is>
      </c>
      <c r="H1" t="inlineStr">
        <is>
          <t>pbt</t>
        </is>
      </c>
      <c r="I1" t="inlineStr">
        <is>
          <t>sch dep time (local)</t>
        </is>
      </c>
      <c r="J1" t="inlineStr">
        <is>
          <t>time cancel (local)</t>
        </is>
      </c>
      <c r="K1" t="inlineStr">
        <is>
          <t>hh:mm cnxl (before)/after sch dep time</t>
        </is>
      </c>
      <c r="L1" t="inlineStr">
        <is>
          <t>ex sec</t>
        </is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J5"/>
  <sheetViews>
    <sheetView workbookViewId="0">
      <selection activeCell="A1" sqref="A1"/>
    </sheetView>
  </sheetViews>
  <sheetFormatPr baseColWidth="8" defaultRowHeight="15"/>
  <sheetData>
    <row r="1">
      <c r="A1" t="inlineStr">
        <is>
          <t>express partner</t>
        </is>
      </c>
      <c r="B1" t="inlineStr">
        <is>
          <t>flight num</t>
        </is>
      </c>
      <c r="C1" t="inlineStr">
        <is>
          <t>dep stn</t>
        </is>
      </c>
      <c r="D1" t="inlineStr">
        <is>
          <t>arrv stn</t>
        </is>
      </c>
      <c r="E1" t="inlineStr">
        <is>
          <t>date</t>
        </is>
      </c>
      <c r="F1" t="inlineStr">
        <is>
          <t>nose</t>
        </is>
      </c>
      <c r="G1" t="inlineStr">
        <is>
          <t>sch dep time (local)</t>
        </is>
      </c>
      <c r="H1" t="inlineStr">
        <is>
          <t>est dep time (local)</t>
        </is>
      </c>
      <c r="I1" t="inlineStr">
        <is>
          <t>sch arrv time (local)</t>
        </is>
      </c>
      <c r="J1" t="inlineStr">
        <is>
          <t>est arrv time (local)</t>
        </is>
      </c>
    </row>
    <row r="2">
      <c r="A2" t="inlineStr">
        <is>
          <t>G7-GoJet</t>
        </is>
      </c>
      <c r="B2" t="n">
        <v>4191</v>
      </c>
      <c r="C2" t="inlineStr">
        <is>
          <t xml:space="preserve">EWR </t>
        </is>
      </c>
      <c r="D2" t="inlineStr">
        <is>
          <t xml:space="preserve">RIC </t>
        </is>
      </c>
      <c r="E2" t="inlineStr">
        <is>
          <t>2025-11-03</t>
        </is>
      </c>
      <c r="F2" t="n">
        <v>541</v>
      </c>
      <c r="G2" t="inlineStr">
        <is>
          <t>2025-11-03 20:44:00</t>
        </is>
      </c>
      <c r="H2" t="inlineStr">
        <is>
          <t>2025-11-04 17:26:00</t>
        </is>
      </c>
      <c r="I2" t="inlineStr">
        <is>
          <t>2025-11-03 22:30:00</t>
        </is>
      </c>
      <c r="J2" t="inlineStr">
        <is>
          <t>2025-11-04 19:12:00</t>
        </is>
      </c>
    </row>
    <row r="3">
      <c r="A3" t="inlineStr">
        <is>
          <t>G7-GoJet</t>
        </is>
      </c>
      <c r="B3" t="n">
        <v>4191</v>
      </c>
      <c r="C3" t="inlineStr">
        <is>
          <t xml:space="preserve">EWR </t>
        </is>
      </c>
      <c r="D3" t="inlineStr">
        <is>
          <t xml:space="preserve">RIC </t>
        </is>
      </c>
      <c r="E3" t="inlineStr">
        <is>
          <t>2025-11-03</t>
        </is>
      </c>
      <c r="F3" t="n">
        <v>541</v>
      </c>
      <c r="G3" t="inlineStr">
        <is>
          <t>2025-11-03 20:44:00</t>
        </is>
      </c>
      <c r="H3" t="inlineStr">
        <is>
          <t>2025-11-04 17:26:00</t>
        </is>
      </c>
      <c r="I3" t="inlineStr">
        <is>
          <t>2025-11-03 22:30:00</t>
        </is>
      </c>
      <c r="J3" t="inlineStr">
        <is>
          <t>2025-11-04 19:12:00</t>
        </is>
      </c>
    </row>
    <row r="4">
      <c r="A4" t="inlineStr">
        <is>
          <t>G7-GoJet</t>
        </is>
      </c>
      <c r="B4" t="n">
        <v>4420</v>
      </c>
      <c r="C4" t="inlineStr">
        <is>
          <t xml:space="preserve">TYS </t>
        </is>
      </c>
      <c r="D4" t="inlineStr">
        <is>
          <t xml:space="preserve">ORD </t>
        </is>
      </c>
      <c r="E4" t="inlineStr">
        <is>
          <t>2025-11-03</t>
        </is>
      </c>
      <c r="F4" t="n">
        <v>561</v>
      </c>
      <c r="G4" t="inlineStr">
        <is>
          <t>2025-11-03 17:52:00</t>
        </is>
      </c>
      <c r="H4" t="inlineStr">
        <is>
          <t>2025-11-04 16:00:00</t>
        </is>
      </c>
      <c r="I4" t="inlineStr">
        <is>
          <t>2025-11-03 18:53:00</t>
        </is>
      </c>
      <c r="J4" t="inlineStr">
        <is>
          <t>2025-11-04 18:01:00</t>
        </is>
      </c>
    </row>
    <row r="5">
      <c r="A5" t="inlineStr">
        <is>
          <t>OO-Skywest</t>
        </is>
      </c>
      <c r="B5" t="n">
        <v>5724</v>
      </c>
      <c r="C5" t="inlineStr">
        <is>
          <t xml:space="preserve">SFO </t>
        </is>
      </c>
      <c r="D5" t="inlineStr">
        <is>
          <t xml:space="preserve">RDD </t>
        </is>
      </c>
      <c r="E5" t="inlineStr">
        <is>
          <t>2025-11-03</t>
        </is>
      </c>
      <c r="F5" t="n">
        <v>623</v>
      </c>
      <c r="G5" t="inlineStr">
        <is>
          <t>2025-11-03 22:35:00</t>
        </is>
      </c>
      <c r="H5" t="inlineStr">
        <is>
          <t>2025-11-04 07:05:00</t>
        </is>
      </c>
      <c r="I5" t="inlineStr">
        <is>
          <t>2025-11-03 23:43:00</t>
        </is>
      </c>
      <c r="J5" t="inlineStr">
        <is>
          <t>2025-11-04 08:13:00</t>
        </is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K1"/>
  <sheetViews>
    <sheetView workbookViewId="0">
      <selection activeCell="A1" sqref="A1"/>
    </sheetView>
  </sheetViews>
  <sheetFormatPr baseColWidth="8" defaultRowHeight="15"/>
  <sheetData>
    <row r="1">
      <c r="A1" t="inlineStr">
        <is>
          <t>express partner</t>
        </is>
      </c>
      <c r="B1" t="inlineStr">
        <is>
          <t>flight num</t>
        </is>
      </c>
      <c r="C1" t="inlineStr">
        <is>
          <t>dep stn</t>
        </is>
      </c>
      <c r="D1" t="inlineStr">
        <is>
          <t>arrv stn</t>
        </is>
      </c>
      <c r="E1" t="inlineStr">
        <is>
          <t>cancel description</t>
        </is>
      </c>
      <c r="F1" t="inlineStr">
        <is>
          <t>nose</t>
        </is>
      </c>
      <c r="G1" t="inlineStr">
        <is>
          <t>pbt</t>
        </is>
      </c>
      <c r="H1" t="inlineStr">
        <is>
          <t>sch dep time (local)</t>
        </is>
      </c>
      <c r="I1" t="inlineStr">
        <is>
          <t>time cancel (local)</t>
        </is>
      </c>
      <c r="J1" t="inlineStr">
        <is>
          <t>hh:mm cnxl (before)/after sch dep time</t>
        </is>
      </c>
      <c r="K1" t="inlineStr">
        <is>
          <t>ex sec</t>
        </is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J1"/>
  <sheetViews>
    <sheetView workbookViewId="0">
      <selection activeCell="A1" sqref="A1"/>
    </sheetView>
  </sheetViews>
  <sheetFormatPr baseColWidth="8" defaultRowHeight="15"/>
  <sheetData>
    <row r="1">
      <c r="A1" t="inlineStr">
        <is>
          <t>express partner</t>
        </is>
      </c>
      <c r="B1" t="inlineStr">
        <is>
          <t>flight num</t>
        </is>
      </c>
      <c r="C1" t="inlineStr">
        <is>
          <t>dep stn</t>
        </is>
      </c>
      <c r="D1" t="inlineStr">
        <is>
          <t>arrv stn</t>
        </is>
      </c>
      <c r="E1" t="inlineStr">
        <is>
          <t>date</t>
        </is>
      </c>
      <c r="F1" t="inlineStr">
        <is>
          <t>nose</t>
        </is>
      </c>
      <c r="G1" t="inlineStr">
        <is>
          <t>sch dep time (local)</t>
        </is>
      </c>
      <c r="H1" t="inlineStr">
        <is>
          <t>sch arrv time (local)</t>
        </is>
      </c>
      <c r="I1" t="inlineStr">
        <is>
          <t>act dep time (local)</t>
        </is>
      </c>
      <c r="J1" t="inlineStr">
        <is>
          <t>act arrv time (local)</t>
        </is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</t>
        </is>
      </c>
    </row>
    <row r="2">
      <c r="A2" t="n">
        <v>0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O2"/>
  <sheetViews>
    <sheetView workbookViewId="0">
      <selection activeCell="A1" sqref="A1"/>
    </sheetView>
  </sheetViews>
  <sheetFormatPr baseColWidth="8" defaultRowHeight="15"/>
  <sheetData>
    <row r="1">
      <c r="A1" t="inlineStr">
        <is>
          <t>express partner</t>
        </is>
      </c>
      <c r="B1" t="inlineStr">
        <is>
          <t>flight num</t>
        </is>
      </c>
      <c r="C1" t="inlineStr">
        <is>
          <t>original segment</t>
        </is>
      </c>
      <c r="D1" t="inlineStr">
        <is>
          <t>dep stn</t>
        </is>
      </c>
      <c r="E1" t="inlineStr">
        <is>
          <t>divert stn</t>
        </is>
      </c>
      <c r="F1" t="inlineStr">
        <is>
          <t>act arrv stn</t>
        </is>
      </c>
      <c r="G1" t="inlineStr">
        <is>
          <t>divert description</t>
        </is>
      </c>
      <c r="H1" t="inlineStr">
        <is>
          <t>a/c type</t>
        </is>
      </c>
      <c r="I1" t="inlineStr">
        <is>
          <t>nose</t>
        </is>
      </c>
      <c r="J1" t="inlineStr">
        <is>
          <t>sch arrv time (local)</t>
        </is>
      </c>
      <c r="K1" t="inlineStr">
        <is>
          <t>divert time (divert sta local)</t>
        </is>
      </c>
      <c r="L1" t="inlineStr">
        <is>
          <t>act arrv time (local)</t>
        </is>
      </c>
      <c r="M1" t="inlineStr">
        <is>
          <t>arrv diff mins</t>
        </is>
      </c>
      <c r="N1" t="inlineStr">
        <is>
          <t>status</t>
        </is>
      </c>
      <c r="O1" t="inlineStr">
        <is>
          <t>divert recovered</t>
        </is>
      </c>
    </row>
    <row r="2">
      <c r="A2" t="inlineStr">
        <is>
          <t>OO-Skywest</t>
        </is>
      </c>
      <c r="B2" t="n">
        <v>4644</v>
      </c>
      <c r="C2" t="inlineStr">
        <is>
          <t>CRW- ORD</t>
        </is>
      </c>
      <c r="D2" t="inlineStr">
        <is>
          <t xml:space="preserve">CRW </t>
        </is>
      </c>
      <c r="E2" t="inlineStr">
        <is>
          <t xml:space="preserve">SBN </t>
        </is>
      </c>
      <c r="F2" t="inlineStr">
        <is>
          <t xml:space="preserve">ORD </t>
        </is>
      </c>
      <c r="G2" t="inlineStr">
        <is>
          <t>ZN - IRREGULAR OPERATIONS</t>
        </is>
      </c>
      <c r="H2" t="inlineStr">
        <is>
          <t>CRJ-550</t>
        </is>
      </c>
      <c r="I2" t="n">
        <v>530</v>
      </c>
      <c r="J2" t="inlineStr">
        <is>
          <t>2025-11-03 18:41:00</t>
        </is>
      </c>
      <c r="K2" t="inlineStr">
        <is>
          <t>19:58</t>
        </is>
      </c>
      <c r="L2" t="inlineStr">
        <is>
          <t>22:32</t>
        </is>
      </c>
      <c r="M2" t="n">
        <v>231</v>
      </c>
      <c r="N2" t="inlineStr">
        <is>
          <t>AT GATE IN ORD</t>
        </is>
      </c>
      <c r="O2" t="inlineStr">
        <is>
          <t>Yes</t>
        </is>
      </c>
    </row>
  </sheetData>
  <pageMargins left="0.75" right="0.75" top="1" bottom="1" header="0.5" footer="0.5"/>
</worksheet>
</file>

<file path=xl/worksheets/sheet35.xml><?xml version="1.0" encoding="utf-8"?>
<worksheet xmlns="http://schemas.openxmlformats.org/spreadsheetml/2006/main">
  <sheetPr>
    <outlinePr summaryBelow="1" summaryRight="1"/>
    <pageSetUpPr/>
  </sheetPr>
  <dimension ref="A1:R5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sked</t>
        </is>
      </c>
      <c r="N1" t="inlineStr">
        <is>
          <t>short_dly_rate</t>
        </is>
      </c>
      <c r="O1" t="inlineStr">
        <is>
          <t>long_dly_rate</t>
        </is>
      </c>
      <c r="P1" t="inlineStr">
        <is>
          <t>total_dprt_dly_rate</t>
        </is>
      </c>
      <c r="Q1" t="inlineStr">
        <is>
          <t>fo_dly_rate</t>
        </is>
      </c>
      <c r="R1" t="inlineStr">
        <is>
          <t>if_dly_rate</t>
        </is>
      </c>
    </row>
    <row r="2">
      <c r="A2" t="inlineStr">
        <is>
          <t>Yest</t>
        </is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</row>
    <row r="3">
      <c r="A3" t="inlineStr">
        <is>
          <t>MTD</t>
        </is>
      </c>
      <c r="B3" t="n">
        <v>451</v>
      </c>
      <c r="C3" t="n">
        <v>610</v>
      </c>
      <c r="D3" t="n">
        <v>1061</v>
      </c>
      <c r="E3" t="n">
        <v>122</v>
      </c>
      <c r="F3" t="n">
        <v>42</v>
      </c>
      <c r="G3" t="n">
        <v>32</v>
      </c>
      <c r="H3" t="n">
        <v>29</v>
      </c>
      <c r="I3" t="n">
        <v>43</v>
      </c>
      <c r="J3" t="n">
        <v>17</v>
      </c>
      <c r="K3" t="n">
        <v>15</v>
      </c>
      <c r="L3" t="n">
        <v>10</v>
      </c>
      <c r="M3" t="n">
        <v>3906</v>
      </c>
      <c r="N3" t="n">
        <v>11.5463389656938</v>
      </c>
      <c r="O3" t="n">
        <v>15.61699948796723</v>
      </c>
      <c r="P3" t="n">
        <v>27.16333845366104</v>
      </c>
      <c r="Q3" t="n">
        <v>3.123399897593445</v>
      </c>
      <c r="R3" t="n">
        <v>1.075268817204301</v>
      </c>
    </row>
    <row r="4">
      <c r="A4" t="inlineStr">
        <is>
          <t>L7D</t>
        </is>
      </c>
      <c r="B4" t="n">
        <v>1214</v>
      </c>
      <c r="C4" t="n">
        <v>1845</v>
      </c>
      <c r="D4" t="n">
        <v>3059</v>
      </c>
      <c r="E4" t="n">
        <v>298</v>
      </c>
      <c r="F4" t="n">
        <v>141</v>
      </c>
      <c r="G4" t="n">
        <v>94</v>
      </c>
      <c r="H4" t="n">
        <v>55</v>
      </c>
      <c r="I4" t="n">
        <v>106</v>
      </c>
      <c r="J4" t="n">
        <v>47</v>
      </c>
      <c r="K4" t="n">
        <v>51</v>
      </c>
      <c r="L4" t="n">
        <v>43</v>
      </c>
      <c r="M4" t="n">
        <v>11852</v>
      </c>
      <c r="N4" t="n">
        <v>10.24299696253797</v>
      </c>
      <c r="O4" t="n">
        <v>15.56699291258859</v>
      </c>
      <c r="P4" t="n">
        <v>25.80998987512656</v>
      </c>
      <c r="Q4" t="n">
        <v>2.514343570705366</v>
      </c>
      <c r="R4" t="n">
        <v>1.189672629092136</v>
      </c>
    </row>
    <row r="5">
      <c r="A5" t="inlineStr">
        <is>
          <t>2019</t>
        </is>
      </c>
      <c r="B5" t="n">
        <v>732</v>
      </c>
      <c r="C5" t="n">
        <v>1285</v>
      </c>
      <c r="D5" t="n">
        <v>2017</v>
      </c>
      <c r="E5" t="n">
        <v>386</v>
      </c>
      <c r="F5" t="n">
        <v>124</v>
      </c>
      <c r="G5" t="n">
        <v>92</v>
      </c>
      <c r="H5" t="n">
        <v>59</v>
      </c>
      <c r="I5" t="n">
        <v>95</v>
      </c>
      <c r="J5" t="n">
        <v>47</v>
      </c>
      <c r="K5" t="n">
        <v>14</v>
      </c>
      <c r="L5" t="n">
        <v>63</v>
      </c>
      <c r="M5" t="n">
        <v>8215</v>
      </c>
      <c r="N5" t="n">
        <v>8.910529519172245</v>
      </c>
      <c r="O5" t="n">
        <v>15.64211807668898</v>
      </c>
      <c r="P5" t="n">
        <v>24.55264759586123</v>
      </c>
      <c r="Q5" t="n">
        <v>4.698721850273889</v>
      </c>
      <c r="R5" t="n">
        <v>1.50943396226415</v>
      </c>
    </row>
  </sheetData>
  <pageMargins left="0.75" right="0.75" top="1" bottom="1" header="0.5" footer="0.5"/>
</worksheet>
</file>

<file path=xl/worksheets/sheet36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2019</v>
      </c>
      <c r="C2" t="n">
        <v>11</v>
      </c>
      <c r="D2" t="inlineStr">
        <is>
          <t>Express</t>
        </is>
      </c>
      <c r="E2" t="n">
        <v>82782</v>
      </c>
      <c r="F2" t="n">
        <v>1789</v>
      </c>
      <c r="G2" t="n">
        <v>60156</v>
      </c>
      <c r="H2" t="n">
        <v>60557</v>
      </c>
      <c r="I2" t="n">
        <v>55299</v>
      </c>
      <c r="J2" t="n">
        <v>65688</v>
      </c>
      <c r="K2" t="n">
        <v>13712</v>
      </c>
      <c r="L2" t="n">
        <v>11767</v>
      </c>
      <c r="M2" t="n">
        <v>173</v>
      </c>
    </row>
  </sheetData>
  <pageMargins left="0.75" right="0.75" top="1" bottom="1" header="0.5" footer="0.5"/>
</worksheet>
</file>

<file path=xl/worksheets/sheet37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2019</t>
        </is>
      </c>
      <c r="B2" t="n">
        <v>7</v>
      </c>
    </row>
    <row r="3">
      <c r="A3" t="inlineStr">
        <is>
          <t>L7D</t>
        </is>
      </c>
      <c r="B3" t="n">
        <v>17</v>
      </c>
    </row>
  </sheetData>
  <pageMargins left="0.75" right="0.75" top="1" bottom="1" header="0.5" footer="0.5"/>
</worksheet>
</file>

<file path=xl/worksheets/sheet38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2019</t>
        </is>
      </c>
      <c r="B2" t="n">
        <v>1</v>
      </c>
      <c r="C2" t="n">
        <v>6</v>
      </c>
    </row>
    <row r="3">
      <c r="A3" t="inlineStr">
        <is>
          <t>L7D</t>
        </is>
      </c>
      <c r="B3" t="n">
        <v>1</v>
      </c>
      <c r="C3" t="n">
        <v>15</v>
      </c>
    </row>
  </sheetData>
  <pageMargins left="0.75" right="0.75" top="1" bottom="1" header="0.5" footer="0.5"/>
</worksheet>
</file>

<file path=xl/worksheets/sheet39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11852</v>
      </c>
      <c r="F2" t="n">
        <v>181</v>
      </c>
      <c r="G2" t="n">
        <v>8610</v>
      </c>
      <c r="H2" t="n">
        <v>8951</v>
      </c>
      <c r="I2" t="n">
        <v>7600</v>
      </c>
      <c r="J2" t="n">
        <v>9399</v>
      </c>
      <c r="K2" t="n">
        <v>647</v>
      </c>
      <c r="L2" t="n">
        <v>554</v>
      </c>
      <c r="M2" t="n">
        <v>1</v>
      </c>
    </row>
  </sheetData>
  <pageMargins left="0.75" right="0.75" top="1" bottom="1" header="0.5" footer="0.5"/>
</worksheet>
</file>

<file path=xl/worksheets/sheet40.xml><?xml version="1.0" encoding="utf-8"?>
<worksheet xmlns="http://schemas.openxmlformats.org/spreadsheetml/2006/main">
  <sheetPr>
    <outlinePr summaryBelow="1" summaryRight="1"/>
    <pageSetUpPr/>
  </sheetPr>
  <dimension ref="A1:Z2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sched_flt_mtd</t>
        </is>
      </c>
      <c r="M1" t="inlineStr">
        <is>
          <t>cnxl_flt_mtd</t>
        </is>
      </c>
      <c r="N1" t="inlineStr">
        <is>
          <t>a0_flt_mtd</t>
        </is>
      </c>
      <c r="O1" t="inlineStr">
        <is>
          <t>a14_flt_mtd</t>
        </is>
      </c>
      <c r="P1" t="inlineStr">
        <is>
          <t>d0_flt_mtd_o</t>
        </is>
      </c>
      <c r="Q1" t="inlineStr">
        <is>
          <t>d0_flt_mtd</t>
        </is>
      </c>
      <c r="R1" t="inlineStr">
        <is>
          <t>sched_flt_ytd</t>
        </is>
      </c>
      <c r="S1" t="inlineStr">
        <is>
          <t>comp_flt_ytd</t>
        </is>
      </c>
      <c r="T1" t="inlineStr">
        <is>
          <t>a0_flt_ytd</t>
        </is>
      </c>
      <c r="U1" t="inlineStr">
        <is>
          <t>a14_flt_ytd</t>
        </is>
      </c>
      <c r="V1" t="inlineStr">
        <is>
          <t>d0_flt_ytd_o</t>
        </is>
      </c>
      <c r="W1" t="inlineStr">
        <is>
          <t>d0_flt_ytd</t>
        </is>
      </c>
      <c r="X1" t="inlineStr">
        <is>
          <t>in_sched_flt_now</t>
        </is>
      </c>
      <c r="Y1" t="inlineStr">
        <is>
          <t>in_sched_flt_mtd</t>
        </is>
      </c>
      <c r="Z1" t="inlineStr">
        <is>
          <t>in_sched_flt_ytd</t>
        </is>
      </c>
    </row>
    <row r="2">
      <c r="A2" t="inlineStr">
        <is>
          <t>2025-11-04 06:48:19.638475+00:00</t>
        </is>
      </c>
      <c r="B2" t="inlineStr">
        <is>
          <t>Line Dom</t>
        </is>
      </c>
      <c r="C2" t="inlineStr">
        <is>
          <t>RDD</t>
        </is>
      </c>
      <c r="D2" t="inlineStr">
        <is>
          <t>UA</t>
        </is>
      </c>
      <c r="E2" t="inlineStr">
        <is>
          <t>Express</t>
        </is>
      </c>
      <c r="F2" t="n">
        <v>0</v>
      </c>
      <c r="G2" t="n">
        <v>0</v>
      </c>
      <c r="H2" t="n">
        <v>0</v>
      </c>
      <c r="I2" t="n">
        <v>0</v>
      </c>
      <c r="J2" t="n">
        <v>0</v>
      </c>
      <c r="K2" t="n">
        <v>0</v>
      </c>
      <c r="L2" t="n">
        <v>10</v>
      </c>
      <c r="M2" t="n">
        <v>0</v>
      </c>
      <c r="N2" t="n">
        <v>5</v>
      </c>
      <c r="O2" t="n">
        <v>8</v>
      </c>
      <c r="P2" t="n">
        <v>8</v>
      </c>
      <c r="Q2" t="n">
        <v>8</v>
      </c>
      <c r="R2" t="n">
        <v>1198</v>
      </c>
      <c r="S2" t="n">
        <v>1192</v>
      </c>
      <c r="T2" t="n">
        <v>791</v>
      </c>
      <c r="U2" t="n">
        <v>992</v>
      </c>
      <c r="V2" t="n">
        <v>941</v>
      </c>
      <c r="W2" t="n">
        <v>941</v>
      </c>
      <c r="X2" t="n">
        <v>0</v>
      </c>
      <c r="Y2" t="n">
        <v>10</v>
      </c>
      <c r="Z2" t="n">
        <v>1198</v>
      </c>
    </row>
    <row r="3">
      <c r="A3" t="inlineStr">
        <is>
          <t>2025-11-04 06:48:19.638475+00:00</t>
        </is>
      </c>
      <c r="B3" t="inlineStr">
        <is>
          <t>Line Dom</t>
        </is>
      </c>
      <c r="C3" t="inlineStr">
        <is>
          <t>LAF</t>
        </is>
      </c>
      <c r="D3" t="inlineStr">
        <is>
          <t>UA</t>
        </is>
      </c>
      <c r="E3" t="inlineStr">
        <is>
          <t>Express</t>
        </is>
      </c>
      <c r="F3" t="n">
        <v>0</v>
      </c>
      <c r="G3" t="n">
        <v>0</v>
      </c>
      <c r="H3" t="n">
        <v>0</v>
      </c>
      <c r="I3" t="n">
        <v>0</v>
      </c>
      <c r="J3" t="n">
        <v>0</v>
      </c>
      <c r="K3" t="n">
        <v>0</v>
      </c>
      <c r="L3" t="n">
        <v>3</v>
      </c>
      <c r="M3" t="n">
        <v>0</v>
      </c>
      <c r="N3" t="n">
        <v>1</v>
      </c>
      <c r="O3" t="n">
        <v>1</v>
      </c>
      <c r="P3" t="n">
        <v>2</v>
      </c>
      <c r="Q3" t="n">
        <v>2</v>
      </c>
      <c r="R3" t="n">
        <v>141</v>
      </c>
      <c r="S3" t="n">
        <v>141</v>
      </c>
      <c r="T3" t="n">
        <v>73</v>
      </c>
      <c r="U3" t="n">
        <v>95</v>
      </c>
      <c r="V3" t="n">
        <v>104</v>
      </c>
      <c r="W3" t="n">
        <v>104</v>
      </c>
      <c r="X3" t="n">
        <v>0</v>
      </c>
      <c r="Y3" t="n">
        <v>3</v>
      </c>
      <c r="Z3" t="n">
        <v>142</v>
      </c>
    </row>
    <row r="4">
      <c r="A4" t="inlineStr">
        <is>
          <t>2025-11-04 06:48:19.638475+00:00</t>
        </is>
      </c>
      <c r="B4" t="inlineStr">
        <is>
          <t>Line Dom</t>
        </is>
      </c>
      <c r="C4" t="inlineStr">
        <is>
          <t>DLH</t>
        </is>
      </c>
      <c r="D4" t="inlineStr">
        <is>
          <t>UA</t>
        </is>
      </c>
      <c r="E4" t="inlineStr">
        <is>
          <t>Express</t>
        </is>
      </c>
      <c r="F4" t="n">
        <v>0</v>
      </c>
      <c r="G4" t="n">
        <v>0</v>
      </c>
      <c r="H4" t="n">
        <v>0</v>
      </c>
      <c r="I4" t="n">
        <v>0</v>
      </c>
      <c r="J4" t="n">
        <v>0</v>
      </c>
      <c r="K4" t="n">
        <v>0</v>
      </c>
      <c r="L4" t="n">
        <v>6</v>
      </c>
      <c r="M4" t="n">
        <v>0</v>
      </c>
      <c r="N4" t="n">
        <v>6</v>
      </c>
      <c r="O4" t="n">
        <v>6</v>
      </c>
      <c r="P4" t="n">
        <v>5</v>
      </c>
      <c r="Q4" t="n">
        <v>5</v>
      </c>
      <c r="R4" t="n">
        <v>953</v>
      </c>
      <c r="S4" t="n">
        <v>941</v>
      </c>
      <c r="T4" t="n">
        <v>519</v>
      </c>
      <c r="U4" t="n">
        <v>657</v>
      </c>
      <c r="V4" t="n">
        <v>632</v>
      </c>
      <c r="W4" t="n">
        <v>632</v>
      </c>
      <c r="X4" t="n">
        <v>0</v>
      </c>
      <c r="Y4" t="n">
        <v>6</v>
      </c>
      <c r="Z4" t="n">
        <v>953</v>
      </c>
    </row>
    <row r="5">
      <c r="A5" t="inlineStr">
        <is>
          <t>2025-11-04 06:48:19.638475+00:00</t>
        </is>
      </c>
      <c r="B5" t="inlineStr">
        <is>
          <t>Line Int</t>
        </is>
      </c>
      <c r="C5" t="inlineStr">
        <is>
          <t>NAS</t>
        </is>
      </c>
      <c r="D5" t="inlineStr">
        <is>
          <t>UA</t>
        </is>
      </c>
      <c r="E5" t="inlineStr">
        <is>
          <t>Express</t>
        </is>
      </c>
      <c r="F5" t="n">
        <v>0</v>
      </c>
      <c r="G5" t="n">
        <v>0</v>
      </c>
      <c r="H5" t="n">
        <v>0</v>
      </c>
      <c r="I5" t="n">
        <v>0</v>
      </c>
      <c r="J5" t="n">
        <v>0</v>
      </c>
      <c r="K5" t="n">
        <v>0</v>
      </c>
      <c r="L5" t="n">
        <v>1</v>
      </c>
      <c r="M5" t="n">
        <v>0</v>
      </c>
      <c r="N5" t="n">
        <v>1</v>
      </c>
      <c r="O5" t="n">
        <v>1</v>
      </c>
      <c r="P5" t="n">
        <v>1</v>
      </c>
      <c r="Q5" t="n">
        <v>1</v>
      </c>
      <c r="R5" t="n">
        <v>21</v>
      </c>
      <c r="S5" t="n">
        <v>21</v>
      </c>
      <c r="T5" t="n">
        <v>11</v>
      </c>
      <c r="U5" t="n">
        <v>16</v>
      </c>
      <c r="V5" t="n">
        <v>18</v>
      </c>
      <c r="W5" t="n">
        <v>18</v>
      </c>
      <c r="X5" t="n">
        <v>0</v>
      </c>
      <c r="Y5" t="n">
        <v>1</v>
      </c>
      <c r="Z5" t="n">
        <v>21</v>
      </c>
    </row>
    <row r="6">
      <c r="A6" t="inlineStr">
        <is>
          <t>2025-11-04 06:48:19.638475+00:00</t>
        </is>
      </c>
      <c r="B6" t="inlineStr">
        <is>
          <t>Line Dom</t>
        </is>
      </c>
      <c r="C6" t="inlineStr">
        <is>
          <t>BUF</t>
        </is>
      </c>
      <c r="D6" t="inlineStr">
        <is>
          <t>UA</t>
        </is>
      </c>
      <c r="E6" t="inlineStr">
        <is>
          <t>Express</t>
        </is>
      </c>
      <c r="F6" t="n">
        <v>0</v>
      </c>
      <c r="G6" t="n">
        <v>0</v>
      </c>
      <c r="H6" t="n">
        <v>0</v>
      </c>
      <c r="I6" t="n">
        <v>0</v>
      </c>
      <c r="J6" t="n">
        <v>0</v>
      </c>
      <c r="K6" t="n">
        <v>0</v>
      </c>
      <c r="L6" t="n">
        <v>18</v>
      </c>
      <c r="M6" t="n">
        <v>1</v>
      </c>
      <c r="N6" t="n">
        <v>12</v>
      </c>
      <c r="O6" t="n">
        <v>13</v>
      </c>
      <c r="P6" t="n">
        <v>11</v>
      </c>
      <c r="Q6" t="n">
        <v>11</v>
      </c>
      <c r="R6" t="n">
        <v>2126</v>
      </c>
      <c r="S6" t="n">
        <v>2067</v>
      </c>
      <c r="T6" t="n">
        <v>1288</v>
      </c>
      <c r="U6" t="n">
        <v>1586</v>
      </c>
      <c r="V6" t="n">
        <v>1411</v>
      </c>
      <c r="W6" t="n">
        <v>1411</v>
      </c>
      <c r="X6" t="n">
        <v>0</v>
      </c>
      <c r="Y6" t="n">
        <v>18</v>
      </c>
      <c r="Z6" t="n">
        <v>2128</v>
      </c>
    </row>
    <row r="7">
      <c r="A7" t="inlineStr">
        <is>
          <t>2025-11-04 06:48:19.638475+00:00</t>
        </is>
      </c>
      <c r="B7" t="inlineStr">
        <is>
          <t>Line Dom</t>
        </is>
      </c>
      <c r="C7" t="inlineStr">
        <is>
          <t>MLI</t>
        </is>
      </c>
      <c r="D7" t="inlineStr">
        <is>
          <t>UA</t>
        </is>
      </c>
      <c r="E7" t="inlineStr">
        <is>
          <t>Express</t>
        </is>
      </c>
      <c r="F7" t="n">
        <v>0</v>
      </c>
      <c r="G7" t="n">
        <v>0</v>
      </c>
      <c r="H7" t="n">
        <v>0</v>
      </c>
      <c r="I7" t="n">
        <v>0</v>
      </c>
      <c r="J7" t="n">
        <v>0</v>
      </c>
      <c r="K7" t="n">
        <v>0</v>
      </c>
      <c r="L7" t="n">
        <v>12</v>
      </c>
      <c r="M7" t="n">
        <v>0</v>
      </c>
      <c r="N7" t="n">
        <v>6</v>
      </c>
      <c r="O7" t="n">
        <v>11</v>
      </c>
      <c r="P7" t="n">
        <v>11</v>
      </c>
      <c r="Q7" t="n">
        <v>11</v>
      </c>
      <c r="R7" t="n">
        <v>1594</v>
      </c>
      <c r="S7" t="n">
        <v>1577</v>
      </c>
      <c r="T7" t="n">
        <v>927</v>
      </c>
      <c r="U7" t="n">
        <v>1150</v>
      </c>
      <c r="V7" t="n">
        <v>1116</v>
      </c>
      <c r="W7" t="n">
        <v>1116</v>
      </c>
      <c r="X7" t="n">
        <v>0</v>
      </c>
      <c r="Y7" t="n">
        <v>12</v>
      </c>
      <c r="Z7" t="n">
        <v>1594</v>
      </c>
    </row>
    <row r="8">
      <c r="A8" t="inlineStr">
        <is>
          <t>2025-11-04 06:48:19.638475+00:00</t>
        </is>
      </c>
      <c r="B8" t="inlineStr">
        <is>
          <t>Line Dom</t>
        </is>
      </c>
      <c r="C8" t="inlineStr">
        <is>
          <t>CAK</t>
        </is>
      </c>
      <c r="D8" t="inlineStr">
        <is>
          <t>UA</t>
        </is>
      </c>
      <c r="E8" t="inlineStr">
        <is>
          <t>Express</t>
        </is>
      </c>
      <c r="F8" t="n">
        <v>0</v>
      </c>
      <c r="G8" t="n">
        <v>0</v>
      </c>
      <c r="H8" t="n">
        <v>0</v>
      </c>
      <c r="I8" t="n">
        <v>0</v>
      </c>
      <c r="J8" t="n">
        <v>0</v>
      </c>
      <c r="K8" t="n">
        <v>0</v>
      </c>
      <c r="L8" t="n">
        <v>8</v>
      </c>
      <c r="M8" t="n">
        <v>0</v>
      </c>
      <c r="N8" t="n">
        <v>4</v>
      </c>
      <c r="O8" t="n">
        <v>7</v>
      </c>
      <c r="P8" t="n">
        <v>6</v>
      </c>
      <c r="Q8" t="n">
        <v>6</v>
      </c>
      <c r="R8" t="n">
        <v>1112</v>
      </c>
      <c r="S8" t="n">
        <v>1097</v>
      </c>
      <c r="T8" t="n">
        <v>630</v>
      </c>
      <c r="U8" t="n">
        <v>806</v>
      </c>
      <c r="V8" t="n">
        <v>822</v>
      </c>
      <c r="W8" t="n">
        <v>822</v>
      </c>
      <c r="X8" t="n">
        <v>0</v>
      </c>
      <c r="Y8" t="n">
        <v>8</v>
      </c>
      <c r="Z8" t="n">
        <v>1113</v>
      </c>
    </row>
    <row r="9">
      <c r="A9" t="inlineStr">
        <is>
          <t>2025-11-04 06:48:19.638475+00:00</t>
        </is>
      </c>
      <c r="B9" t="inlineStr">
        <is>
          <t>Line Dom</t>
        </is>
      </c>
      <c r="C9" t="inlineStr">
        <is>
          <t>CYS</t>
        </is>
      </c>
      <c r="D9" t="inlineStr">
        <is>
          <t>UA</t>
        </is>
      </c>
      <c r="E9" t="inlineStr">
        <is>
          <t>Express</t>
        </is>
      </c>
      <c r="F9" t="n">
        <v>0</v>
      </c>
      <c r="G9" t="n">
        <v>0</v>
      </c>
      <c r="H9" t="n">
        <v>0</v>
      </c>
      <c r="I9" t="n">
        <v>0</v>
      </c>
      <c r="J9" t="n">
        <v>0</v>
      </c>
      <c r="K9" t="n">
        <v>0</v>
      </c>
      <c r="L9" t="n">
        <v>4</v>
      </c>
      <c r="M9" t="n">
        <v>0</v>
      </c>
      <c r="N9" t="n">
        <v>4</v>
      </c>
      <c r="O9" t="n">
        <v>4</v>
      </c>
      <c r="P9" t="n">
        <v>4</v>
      </c>
      <c r="Q9" t="n">
        <v>4</v>
      </c>
      <c r="R9" t="n">
        <v>618</v>
      </c>
      <c r="S9" t="n">
        <v>610</v>
      </c>
      <c r="T9" t="n">
        <v>348</v>
      </c>
      <c r="U9" t="n">
        <v>429</v>
      </c>
      <c r="V9" t="n">
        <v>458</v>
      </c>
      <c r="W9" t="n">
        <v>458</v>
      </c>
      <c r="X9" t="n">
        <v>0</v>
      </c>
      <c r="Y9" t="n">
        <v>4</v>
      </c>
      <c r="Z9" t="n">
        <v>618</v>
      </c>
    </row>
    <row r="10">
      <c r="A10" t="inlineStr">
        <is>
          <t>2025-11-04 06:48:19.638475+00:00</t>
        </is>
      </c>
      <c r="B10" t="inlineStr">
        <is>
          <t>Line Dom</t>
        </is>
      </c>
      <c r="C10" t="inlineStr">
        <is>
          <t>DSM</t>
        </is>
      </c>
      <c r="D10" t="inlineStr">
        <is>
          <t>UA</t>
        </is>
      </c>
      <c r="E10" t="inlineStr">
        <is>
          <t>Express</t>
        </is>
      </c>
      <c r="F10" t="n">
        <v>0</v>
      </c>
      <c r="G10" t="n">
        <v>0</v>
      </c>
      <c r="H10" t="n">
        <v>0</v>
      </c>
      <c r="I10" t="n">
        <v>0</v>
      </c>
      <c r="J10" t="n">
        <v>0</v>
      </c>
      <c r="K10" t="n">
        <v>0</v>
      </c>
      <c r="L10" t="n">
        <v>9</v>
      </c>
      <c r="M10" t="n">
        <v>0</v>
      </c>
      <c r="N10" t="n">
        <v>8</v>
      </c>
      <c r="O10" t="n">
        <v>8</v>
      </c>
      <c r="P10" t="n">
        <v>6</v>
      </c>
      <c r="Q10" t="n">
        <v>6</v>
      </c>
      <c r="R10" t="n">
        <v>1611</v>
      </c>
      <c r="S10" t="n">
        <v>1589</v>
      </c>
      <c r="T10" t="n">
        <v>1148</v>
      </c>
      <c r="U10" t="n">
        <v>1343</v>
      </c>
      <c r="V10" t="n">
        <v>1314</v>
      </c>
      <c r="W10" t="n">
        <v>1314</v>
      </c>
      <c r="X10" t="n">
        <v>0</v>
      </c>
      <c r="Y10" t="n">
        <v>9</v>
      </c>
      <c r="Z10" t="n">
        <v>1610</v>
      </c>
    </row>
    <row r="11">
      <c r="A11" t="inlineStr">
        <is>
          <t>2025-11-04 06:48:19.638475+00:00</t>
        </is>
      </c>
      <c r="B11" t="inlineStr">
        <is>
          <t>Line Dom</t>
        </is>
      </c>
      <c r="C11" t="inlineStr">
        <is>
          <t>BFL</t>
        </is>
      </c>
      <c r="D11" t="inlineStr">
        <is>
          <t>UA</t>
        </is>
      </c>
      <c r="E11" t="inlineStr">
        <is>
          <t>Express</t>
        </is>
      </c>
      <c r="F11" t="n">
        <v>0</v>
      </c>
      <c r="G11" t="n">
        <v>0</v>
      </c>
      <c r="H11" t="n">
        <v>0</v>
      </c>
      <c r="I11" t="n">
        <v>0</v>
      </c>
      <c r="J11" t="n">
        <v>0</v>
      </c>
      <c r="K11" t="n">
        <v>0</v>
      </c>
      <c r="L11" t="n">
        <v>8</v>
      </c>
      <c r="M11" t="n">
        <v>0</v>
      </c>
      <c r="N11" t="n">
        <v>6</v>
      </c>
      <c r="O11" t="n">
        <v>8</v>
      </c>
      <c r="P11" t="n">
        <v>8</v>
      </c>
      <c r="Q11" t="n">
        <v>8</v>
      </c>
      <c r="R11" t="n">
        <v>1199</v>
      </c>
      <c r="S11" t="n">
        <v>1199</v>
      </c>
      <c r="T11" t="n">
        <v>660</v>
      </c>
      <c r="U11" t="n">
        <v>916</v>
      </c>
      <c r="V11" t="n">
        <v>967</v>
      </c>
      <c r="W11" t="n">
        <v>969</v>
      </c>
      <c r="X11" t="n">
        <v>0</v>
      </c>
      <c r="Y11" t="n">
        <v>8</v>
      </c>
      <c r="Z11" t="n">
        <v>1199</v>
      </c>
    </row>
    <row r="12">
      <c r="A12" t="inlineStr">
        <is>
          <t>2025-11-04 06:48:19.638475+00:00</t>
        </is>
      </c>
      <c r="B12" t="inlineStr">
        <is>
          <t>Line Dom</t>
        </is>
      </c>
      <c r="C12" t="inlineStr">
        <is>
          <t>BGR</t>
        </is>
      </c>
      <c r="D12" t="inlineStr">
        <is>
          <t>UA</t>
        </is>
      </c>
      <c r="E12" t="inlineStr">
        <is>
          <t>Express</t>
        </is>
      </c>
      <c r="F12" t="n">
        <v>0</v>
      </c>
      <c r="G12" t="n">
        <v>0</v>
      </c>
      <c r="H12" t="n">
        <v>0</v>
      </c>
      <c r="I12" t="n">
        <v>0</v>
      </c>
      <c r="J12" t="n">
        <v>0</v>
      </c>
      <c r="K12" t="n">
        <v>0</v>
      </c>
      <c r="L12" t="n">
        <v>3</v>
      </c>
      <c r="M12" t="n">
        <v>0</v>
      </c>
      <c r="N12" t="n">
        <v>2</v>
      </c>
      <c r="O12" t="n">
        <v>2</v>
      </c>
      <c r="P12" t="n">
        <v>1</v>
      </c>
      <c r="Q12" t="n">
        <v>1</v>
      </c>
      <c r="R12" t="n">
        <v>875</v>
      </c>
      <c r="S12" t="n">
        <v>850</v>
      </c>
      <c r="T12" t="n">
        <v>522</v>
      </c>
      <c r="U12" t="n">
        <v>642</v>
      </c>
      <c r="V12" t="n">
        <v>637</v>
      </c>
      <c r="W12" t="n">
        <v>637</v>
      </c>
      <c r="X12" t="n">
        <v>0</v>
      </c>
      <c r="Y12" t="n">
        <v>3</v>
      </c>
      <c r="Z12" t="n">
        <v>872</v>
      </c>
    </row>
    <row r="13">
      <c r="A13" t="inlineStr">
        <is>
          <t>2025-11-04 06:48:19.638475+00:00</t>
        </is>
      </c>
      <c r="B13" t="inlineStr">
        <is>
          <t>Line Dom</t>
        </is>
      </c>
      <c r="C13" t="inlineStr">
        <is>
          <t>CHS</t>
        </is>
      </c>
      <c r="D13" t="inlineStr">
        <is>
          <t>UA</t>
        </is>
      </c>
      <c r="E13" t="inlineStr">
        <is>
          <t>Express</t>
        </is>
      </c>
      <c r="F13" t="n">
        <v>0</v>
      </c>
      <c r="G13" t="n">
        <v>0</v>
      </c>
      <c r="H13" t="n">
        <v>0</v>
      </c>
      <c r="I13" t="n">
        <v>0</v>
      </c>
      <c r="J13" t="n">
        <v>0</v>
      </c>
      <c r="K13" t="n">
        <v>0</v>
      </c>
      <c r="L13" t="n">
        <v>6</v>
      </c>
      <c r="M13" t="n">
        <v>0</v>
      </c>
      <c r="N13" t="n">
        <v>0</v>
      </c>
      <c r="O13" t="n">
        <v>2</v>
      </c>
      <c r="P13" t="n">
        <v>2</v>
      </c>
      <c r="Q13" t="n">
        <v>2</v>
      </c>
      <c r="R13" t="n">
        <v>1754</v>
      </c>
      <c r="S13" t="n">
        <v>1689</v>
      </c>
      <c r="T13" t="n">
        <v>1140</v>
      </c>
      <c r="U13" t="n">
        <v>1375</v>
      </c>
      <c r="V13" t="n">
        <v>1276</v>
      </c>
      <c r="W13" t="n">
        <v>1276</v>
      </c>
      <c r="X13" t="n">
        <v>0</v>
      </c>
      <c r="Y13" t="n">
        <v>6</v>
      </c>
      <c r="Z13" t="n">
        <v>1752</v>
      </c>
    </row>
    <row r="14">
      <c r="A14" t="inlineStr">
        <is>
          <t>2025-11-04 06:48:19.638475+00:00</t>
        </is>
      </c>
      <c r="B14" t="inlineStr">
        <is>
          <t>Line Dom</t>
        </is>
      </c>
      <c r="C14" t="inlineStr">
        <is>
          <t>OMA</t>
        </is>
      </c>
      <c r="D14" t="inlineStr">
        <is>
          <t>UA</t>
        </is>
      </c>
      <c r="E14" t="inlineStr">
        <is>
          <t>Express</t>
        </is>
      </c>
      <c r="F14" t="n">
        <v>0</v>
      </c>
      <c r="G14" t="n">
        <v>0</v>
      </c>
      <c r="H14" t="n">
        <v>0</v>
      </c>
      <c r="I14" t="n">
        <v>0</v>
      </c>
      <c r="J14" t="n">
        <v>0</v>
      </c>
      <c r="K14" t="n">
        <v>0</v>
      </c>
      <c r="L14" t="n">
        <v>8</v>
      </c>
      <c r="M14" t="n">
        <v>0</v>
      </c>
      <c r="N14" t="n">
        <v>7</v>
      </c>
      <c r="O14" t="n">
        <v>7</v>
      </c>
      <c r="P14" t="n">
        <v>5</v>
      </c>
      <c r="Q14" t="n">
        <v>5</v>
      </c>
      <c r="R14" t="n">
        <v>1023</v>
      </c>
      <c r="S14" t="n">
        <v>1012</v>
      </c>
      <c r="T14" t="n">
        <v>675</v>
      </c>
      <c r="U14" t="n">
        <v>825</v>
      </c>
      <c r="V14" t="n">
        <v>793</v>
      </c>
      <c r="W14" t="n">
        <v>794</v>
      </c>
      <c r="X14" t="n">
        <v>0</v>
      </c>
      <c r="Y14" t="n">
        <v>9</v>
      </c>
      <c r="Z14" t="n">
        <v>1024</v>
      </c>
    </row>
    <row r="15">
      <c r="A15" t="inlineStr">
        <is>
          <t>2025-11-04 06:48:19.638475+00:00</t>
        </is>
      </c>
      <c r="B15" t="inlineStr">
        <is>
          <t>Line Int</t>
        </is>
      </c>
      <c r="C15" t="inlineStr">
        <is>
          <t>PXM</t>
        </is>
      </c>
      <c r="D15" t="inlineStr">
        <is>
          <t>UA</t>
        </is>
      </c>
      <c r="E15" t="inlineStr">
        <is>
          <t>Express</t>
        </is>
      </c>
      <c r="F15" t="n">
        <v>0</v>
      </c>
      <c r="G15" t="n">
        <v>0</v>
      </c>
      <c r="H15" t="n">
        <v>0</v>
      </c>
      <c r="I15" t="n">
        <v>0</v>
      </c>
      <c r="J15" t="n">
        <v>0</v>
      </c>
      <c r="K15" t="n">
        <v>0</v>
      </c>
      <c r="L15" t="n">
        <v>1</v>
      </c>
      <c r="M15" t="n">
        <v>0</v>
      </c>
      <c r="N15" t="n">
        <v>0</v>
      </c>
      <c r="O15" t="n">
        <v>1</v>
      </c>
      <c r="P15" t="n">
        <v>0</v>
      </c>
      <c r="Q15" t="n">
        <v>0</v>
      </c>
      <c r="R15" t="n">
        <v>33</v>
      </c>
      <c r="S15" t="n">
        <v>33</v>
      </c>
      <c r="T15" t="n">
        <v>18</v>
      </c>
      <c r="U15" t="n">
        <v>27</v>
      </c>
      <c r="V15" t="n">
        <v>15</v>
      </c>
      <c r="W15" t="n">
        <v>15</v>
      </c>
      <c r="X15" t="n">
        <v>0</v>
      </c>
      <c r="Y15" t="n">
        <v>1</v>
      </c>
      <c r="Z15" t="n">
        <v>33</v>
      </c>
    </row>
    <row r="16">
      <c r="A16" t="inlineStr">
        <is>
          <t>2025-11-04 06:48:19.638475+00:00</t>
        </is>
      </c>
      <c r="B16" t="inlineStr">
        <is>
          <t>Line Dom</t>
        </is>
      </c>
      <c r="C16" t="inlineStr">
        <is>
          <t>ONT</t>
        </is>
      </c>
      <c r="D16" t="inlineStr">
        <is>
          <t>UA</t>
        </is>
      </c>
      <c r="E16" t="inlineStr">
        <is>
          <t>Express</t>
        </is>
      </c>
      <c r="F16" t="n">
        <v>0</v>
      </c>
      <c r="G16" t="n">
        <v>0</v>
      </c>
      <c r="H16" t="n">
        <v>0</v>
      </c>
      <c r="I16" t="n">
        <v>0</v>
      </c>
      <c r="J16" t="n">
        <v>0</v>
      </c>
      <c r="K16" t="n">
        <v>0</v>
      </c>
      <c r="L16" t="n">
        <v>0</v>
      </c>
      <c r="M16" t="n">
        <v>0</v>
      </c>
      <c r="N16" t="n">
        <v>0</v>
      </c>
      <c r="O16" t="n">
        <v>0</v>
      </c>
      <c r="P16" t="n">
        <v>0</v>
      </c>
      <c r="Q16" t="n">
        <v>0</v>
      </c>
      <c r="R16" t="n">
        <v>317</v>
      </c>
      <c r="S16" t="n">
        <v>310</v>
      </c>
      <c r="T16" t="n">
        <v>220</v>
      </c>
      <c r="U16" t="n">
        <v>266</v>
      </c>
      <c r="V16" t="n">
        <v>244</v>
      </c>
      <c r="W16" t="n">
        <v>244</v>
      </c>
      <c r="X16" t="n">
        <v>0</v>
      </c>
      <c r="Y16" t="n">
        <v>0</v>
      </c>
      <c r="Z16" t="n">
        <v>316</v>
      </c>
    </row>
    <row r="17">
      <c r="A17" t="inlineStr">
        <is>
          <t>2025-11-04 06:48:19.638475+00:00</t>
        </is>
      </c>
      <c r="B17" t="inlineStr">
        <is>
          <t>Line Dom</t>
        </is>
      </c>
      <c r="C17" t="inlineStr">
        <is>
          <t>GSP</t>
        </is>
      </c>
      <c r="D17" t="inlineStr">
        <is>
          <t>UA</t>
        </is>
      </c>
      <c r="E17" t="inlineStr">
        <is>
          <t>Express</t>
        </is>
      </c>
      <c r="F17" t="n">
        <v>0</v>
      </c>
      <c r="G17" t="n">
        <v>0</v>
      </c>
      <c r="H17" t="n">
        <v>0</v>
      </c>
      <c r="I17" t="n">
        <v>0</v>
      </c>
      <c r="J17" t="n">
        <v>0</v>
      </c>
      <c r="K17" t="n">
        <v>0</v>
      </c>
      <c r="L17" t="n">
        <v>16</v>
      </c>
      <c r="M17" t="n">
        <v>1</v>
      </c>
      <c r="N17" t="n">
        <v>7</v>
      </c>
      <c r="O17" t="n">
        <v>13</v>
      </c>
      <c r="P17" t="n">
        <v>12</v>
      </c>
      <c r="Q17" t="n">
        <v>12</v>
      </c>
      <c r="R17" t="n">
        <v>2839</v>
      </c>
      <c r="S17" t="n">
        <v>2787</v>
      </c>
      <c r="T17" t="n">
        <v>1699</v>
      </c>
      <c r="U17" t="n">
        <v>2103</v>
      </c>
      <c r="V17" t="n">
        <v>2101</v>
      </c>
      <c r="W17" t="n">
        <v>2101</v>
      </c>
      <c r="X17" t="n">
        <v>0</v>
      </c>
      <c r="Y17" t="n">
        <v>16</v>
      </c>
      <c r="Z17" t="n">
        <v>2846</v>
      </c>
    </row>
    <row r="18">
      <c r="A18" t="inlineStr">
        <is>
          <t>2025-11-04 06:48:19.638475+00:00</t>
        </is>
      </c>
      <c r="B18" t="inlineStr">
        <is>
          <t>Line Dom</t>
        </is>
      </c>
      <c r="C18" t="inlineStr">
        <is>
          <t>ITH</t>
        </is>
      </c>
      <c r="D18" t="inlineStr">
        <is>
          <t>UA</t>
        </is>
      </c>
      <c r="E18" t="inlineStr">
        <is>
          <t>Express</t>
        </is>
      </c>
      <c r="F18" t="n">
        <v>0</v>
      </c>
      <c r="G18" t="n">
        <v>0</v>
      </c>
      <c r="H18" t="n">
        <v>0</v>
      </c>
      <c r="I18" t="n">
        <v>0</v>
      </c>
      <c r="J18" t="n">
        <v>0</v>
      </c>
      <c r="K18" t="n">
        <v>0</v>
      </c>
      <c r="L18" t="n">
        <v>4</v>
      </c>
      <c r="M18" t="n">
        <v>0</v>
      </c>
      <c r="N18" t="n">
        <v>4</v>
      </c>
      <c r="O18" t="n">
        <v>4</v>
      </c>
      <c r="P18" t="n">
        <v>4</v>
      </c>
      <c r="Q18" t="n">
        <v>4</v>
      </c>
      <c r="R18" t="n">
        <v>631</v>
      </c>
      <c r="S18" t="n">
        <v>613</v>
      </c>
      <c r="T18" t="n">
        <v>343</v>
      </c>
      <c r="U18" t="n">
        <v>424</v>
      </c>
      <c r="V18" t="n">
        <v>478</v>
      </c>
      <c r="W18" t="n">
        <v>478</v>
      </c>
      <c r="X18" t="n">
        <v>0</v>
      </c>
      <c r="Y18" t="n">
        <v>4</v>
      </c>
      <c r="Z18" t="n">
        <v>631</v>
      </c>
    </row>
    <row r="19">
      <c r="A19" t="inlineStr">
        <is>
          <t>2025-11-04 06:48:19.638475+00:00</t>
        </is>
      </c>
      <c r="B19" t="inlineStr">
        <is>
          <t>Line Dom</t>
        </is>
      </c>
      <c r="C19" t="inlineStr">
        <is>
          <t>EAR</t>
        </is>
      </c>
      <c r="D19" t="inlineStr">
        <is>
          <t>UA</t>
        </is>
      </c>
      <c r="E19" t="inlineStr">
        <is>
          <t>Express</t>
        </is>
      </c>
      <c r="F19" t="n">
        <v>0</v>
      </c>
      <c r="G19" t="n">
        <v>0</v>
      </c>
      <c r="H19" t="n">
        <v>0</v>
      </c>
      <c r="I19" t="n">
        <v>0</v>
      </c>
      <c r="J19" t="n">
        <v>0</v>
      </c>
      <c r="K19" t="n">
        <v>0</v>
      </c>
      <c r="L19" t="n">
        <v>4</v>
      </c>
      <c r="M19" t="n">
        <v>0</v>
      </c>
      <c r="N19" t="n">
        <v>4</v>
      </c>
      <c r="O19" t="n">
        <v>4</v>
      </c>
      <c r="P19" t="n">
        <v>3</v>
      </c>
      <c r="Q19" t="n">
        <v>3</v>
      </c>
      <c r="R19" t="n">
        <v>525</v>
      </c>
      <c r="S19" t="n">
        <v>520</v>
      </c>
      <c r="T19" t="n">
        <v>334</v>
      </c>
      <c r="U19" t="n">
        <v>400</v>
      </c>
      <c r="V19" t="n">
        <v>401</v>
      </c>
      <c r="W19" t="n">
        <v>401</v>
      </c>
      <c r="X19" t="n">
        <v>0</v>
      </c>
      <c r="Y19" t="n">
        <v>4</v>
      </c>
      <c r="Z19" t="n">
        <v>525</v>
      </c>
    </row>
    <row r="20">
      <c r="A20" t="inlineStr">
        <is>
          <t>2025-11-04 06:48:19.638475+00:00</t>
        </is>
      </c>
      <c r="B20" t="inlineStr">
        <is>
          <t>Line Dom</t>
        </is>
      </c>
      <c r="C20" t="inlineStr">
        <is>
          <t>FAT</t>
        </is>
      </c>
      <c r="D20" t="inlineStr">
        <is>
          <t>UA</t>
        </is>
      </c>
      <c r="E20" t="inlineStr">
        <is>
          <t>Express</t>
        </is>
      </c>
      <c r="F20" t="n">
        <v>0</v>
      </c>
      <c r="G20" t="n">
        <v>0</v>
      </c>
      <c r="H20" t="n">
        <v>0</v>
      </c>
      <c r="I20" t="n">
        <v>0</v>
      </c>
      <c r="J20" t="n">
        <v>0</v>
      </c>
      <c r="K20" t="n">
        <v>0</v>
      </c>
      <c r="L20" t="n">
        <v>19</v>
      </c>
      <c r="M20" t="n">
        <v>0</v>
      </c>
      <c r="N20" t="n">
        <v>12</v>
      </c>
      <c r="O20" t="n">
        <v>15</v>
      </c>
      <c r="P20" t="n">
        <v>17</v>
      </c>
      <c r="Q20" t="n">
        <v>17</v>
      </c>
      <c r="R20" t="n">
        <v>2643</v>
      </c>
      <c r="S20" t="n">
        <v>2639</v>
      </c>
      <c r="T20" t="n">
        <v>1837</v>
      </c>
      <c r="U20" t="n">
        <v>2240</v>
      </c>
      <c r="V20" t="n">
        <v>2075</v>
      </c>
      <c r="W20" t="n">
        <v>2076</v>
      </c>
      <c r="X20" t="n">
        <v>0</v>
      </c>
      <c r="Y20" t="n">
        <v>19</v>
      </c>
      <c r="Z20" t="n">
        <v>2644</v>
      </c>
    </row>
    <row r="21">
      <c r="A21" t="inlineStr">
        <is>
          <t>2025-11-04 06:48:19.638475+00:00</t>
        </is>
      </c>
      <c r="B21" t="inlineStr">
        <is>
          <t>Line Dom</t>
        </is>
      </c>
      <c r="C21" t="inlineStr">
        <is>
          <t>SUN</t>
        </is>
      </c>
      <c r="D21" t="inlineStr">
        <is>
          <t>UA</t>
        </is>
      </c>
      <c r="E21" t="inlineStr">
        <is>
          <t>Express</t>
        </is>
      </c>
      <c r="F21" t="n">
        <v>0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2</v>
      </c>
      <c r="M21" t="n">
        <v>0</v>
      </c>
      <c r="N21" t="n">
        <v>1</v>
      </c>
      <c r="O21" t="n">
        <v>2</v>
      </c>
      <c r="P21" t="n">
        <v>2</v>
      </c>
      <c r="Q21" t="n">
        <v>2</v>
      </c>
      <c r="R21" t="n">
        <v>1177</v>
      </c>
      <c r="S21" t="n">
        <v>1167</v>
      </c>
      <c r="T21" t="n">
        <v>804</v>
      </c>
      <c r="U21" t="n">
        <v>965</v>
      </c>
      <c r="V21" t="n">
        <v>906</v>
      </c>
      <c r="W21" t="n">
        <v>906</v>
      </c>
      <c r="X21" t="n">
        <v>0</v>
      </c>
      <c r="Y21" t="n">
        <v>2</v>
      </c>
      <c r="Z21" t="n">
        <v>1176</v>
      </c>
    </row>
    <row r="22">
      <c r="A22" t="inlineStr">
        <is>
          <t>2025-11-04 06:48:19.638475+00:00</t>
        </is>
      </c>
      <c r="B22" t="inlineStr">
        <is>
          <t>Line Dom</t>
        </is>
      </c>
      <c r="C22" t="inlineStr">
        <is>
          <t>ATW</t>
        </is>
      </c>
      <c r="D22" t="inlineStr">
        <is>
          <t>UA</t>
        </is>
      </c>
      <c r="E22" t="inlineStr">
        <is>
          <t>Express</t>
        </is>
      </c>
      <c r="F22" t="n">
        <v>0</v>
      </c>
      <c r="G22" t="n">
        <v>0</v>
      </c>
      <c r="H22" t="n">
        <v>0</v>
      </c>
      <c r="I22" t="n">
        <v>0</v>
      </c>
      <c r="J22" t="n">
        <v>0</v>
      </c>
      <c r="K22" t="n">
        <v>0</v>
      </c>
      <c r="L22" t="n">
        <v>14</v>
      </c>
      <c r="M22" t="n">
        <v>0</v>
      </c>
      <c r="N22" t="n">
        <v>8</v>
      </c>
      <c r="O22" t="n">
        <v>10</v>
      </c>
      <c r="P22" t="n">
        <v>9</v>
      </c>
      <c r="Q22" t="n">
        <v>9</v>
      </c>
      <c r="R22" t="n">
        <v>1992</v>
      </c>
      <c r="S22" t="n">
        <v>1965</v>
      </c>
      <c r="T22" t="n">
        <v>1133</v>
      </c>
      <c r="U22" t="n">
        <v>1425</v>
      </c>
      <c r="V22" t="n">
        <v>1404</v>
      </c>
      <c r="W22" t="n">
        <v>1404</v>
      </c>
      <c r="X22" t="n">
        <v>0</v>
      </c>
      <c r="Y22" t="n">
        <v>14</v>
      </c>
      <c r="Z22" t="n">
        <v>1992</v>
      </c>
    </row>
    <row r="23">
      <c r="A23" t="inlineStr">
        <is>
          <t>2025-11-04 06:48:19.638475+00:00</t>
        </is>
      </c>
      <c r="B23" t="inlineStr">
        <is>
          <t>Line Dom</t>
        </is>
      </c>
      <c r="C23" t="inlineStr">
        <is>
          <t>ILM</t>
        </is>
      </c>
      <c r="D23" t="inlineStr">
        <is>
          <t>UA</t>
        </is>
      </c>
      <c r="E23" t="inlineStr">
        <is>
          <t>Express</t>
        </is>
      </c>
      <c r="F23" t="n">
        <v>0</v>
      </c>
      <c r="G23" t="n">
        <v>0</v>
      </c>
      <c r="H23" t="n">
        <v>0</v>
      </c>
      <c r="I23" t="n">
        <v>0</v>
      </c>
      <c r="J23" t="n">
        <v>0</v>
      </c>
      <c r="K23" t="n">
        <v>0</v>
      </c>
      <c r="L23" t="n">
        <v>3</v>
      </c>
      <c r="M23" t="n">
        <v>1</v>
      </c>
      <c r="N23" t="n">
        <v>1</v>
      </c>
      <c r="O23" t="n">
        <v>2</v>
      </c>
      <c r="P23" t="n">
        <v>2</v>
      </c>
      <c r="Q23" t="n">
        <v>2</v>
      </c>
      <c r="R23" t="n">
        <v>649</v>
      </c>
      <c r="S23" t="n">
        <v>610</v>
      </c>
      <c r="T23" t="n">
        <v>336</v>
      </c>
      <c r="U23" t="n">
        <v>431</v>
      </c>
      <c r="V23" t="n">
        <v>425</v>
      </c>
      <c r="W23" t="n">
        <v>425</v>
      </c>
      <c r="X23" t="n">
        <v>0</v>
      </c>
      <c r="Y23" t="n">
        <v>3</v>
      </c>
      <c r="Z23" t="n">
        <v>648</v>
      </c>
    </row>
    <row r="24">
      <c r="A24" t="inlineStr">
        <is>
          <t>2025-11-04 06:48:19.638475+00:00</t>
        </is>
      </c>
      <c r="B24" t="inlineStr">
        <is>
          <t>Line Dom</t>
        </is>
      </c>
      <c r="C24" t="inlineStr">
        <is>
          <t>LWS</t>
        </is>
      </c>
      <c r="D24" t="inlineStr">
        <is>
          <t>UA</t>
        </is>
      </c>
      <c r="E24" t="inlineStr">
        <is>
          <t>Express</t>
        </is>
      </c>
      <c r="F24" t="n">
        <v>0</v>
      </c>
      <c r="G24" t="n">
        <v>0</v>
      </c>
      <c r="H24" t="n">
        <v>0</v>
      </c>
      <c r="I24" t="n">
        <v>0</v>
      </c>
      <c r="J24" t="n">
        <v>0</v>
      </c>
      <c r="K24" t="n">
        <v>0</v>
      </c>
      <c r="L24" t="n">
        <v>0</v>
      </c>
      <c r="M24" t="n">
        <v>0</v>
      </c>
      <c r="N24" t="n">
        <v>0</v>
      </c>
      <c r="O24" t="n">
        <v>0</v>
      </c>
      <c r="P24" t="n">
        <v>0</v>
      </c>
      <c r="Q24" t="n">
        <v>0</v>
      </c>
      <c r="R24" t="n">
        <v>32</v>
      </c>
      <c r="S24" t="n">
        <v>32</v>
      </c>
      <c r="T24" t="n">
        <v>16</v>
      </c>
      <c r="U24" t="n">
        <v>21</v>
      </c>
      <c r="V24" t="n">
        <v>28</v>
      </c>
      <c r="W24" t="n">
        <v>28</v>
      </c>
      <c r="X24" t="n">
        <v>0</v>
      </c>
      <c r="Y24" t="n">
        <v>0</v>
      </c>
      <c r="Z24" t="n">
        <v>31</v>
      </c>
    </row>
    <row r="25">
      <c r="A25" t="inlineStr">
        <is>
          <t>2025-11-04 06:48:19.638475+00:00</t>
        </is>
      </c>
      <c r="B25" t="inlineStr">
        <is>
          <t>Line Dom</t>
        </is>
      </c>
      <c r="C25" t="inlineStr">
        <is>
          <t>ABE</t>
        </is>
      </c>
      <c r="D25" t="inlineStr">
        <is>
          <t>UA</t>
        </is>
      </c>
      <c r="E25" t="inlineStr">
        <is>
          <t>Express</t>
        </is>
      </c>
      <c r="F25" t="n">
        <v>0</v>
      </c>
      <c r="G25" t="n">
        <v>0</v>
      </c>
      <c r="H25" t="n">
        <v>0</v>
      </c>
      <c r="I25" t="n">
        <v>0</v>
      </c>
      <c r="J25" t="n">
        <v>0</v>
      </c>
      <c r="K25" t="n">
        <v>0</v>
      </c>
      <c r="L25" t="n">
        <v>6</v>
      </c>
      <c r="M25" t="n">
        <v>0</v>
      </c>
      <c r="N25" t="n">
        <v>4</v>
      </c>
      <c r="O25" t="n">
        <v>5</v>
      </c>
      <c r="P25" t="n">
        <v>5</v>
      </c>
      <c r="Q25" t="n">
        <v>5</v>
      </c>
      <c r="R25" t="n">
        <v>688</v>
      </c>
      <c r="S25" t="n">
        <v>683</v>
      </c>
      <c r="T25" t="n">
        <v>450</v>
      </c>
      <c r="U25" t="n">
        <v>525</v>
      </c>
      <c r="V25" t="n">
        <v>489</v>
      </c>
      <c r="W25" t="n">
        <v>489</v>
      </c>
      <c r="X25" t="n">
        <v>0</v>
      </c>
      <c r="Y25" t="n">
        <v>6</v>
      </c>
      <c r="Z25" t="n">
        <v>688</v>
      </c>
    </row>
    <row r="26">
      <c r="A26" t="inlineStr">
        <is>
          <t>2025-11-04 06:48:19.638475+00:00</t>
        </is>
      </c>
      <c r="B26" t="inlineStr">
        <is>
          <t>Line Dom</t>
        </is>
      </c>
      <c r="C26" t="inlineStr">
        <is>
          <t>SBP</t>
        </is>
      </c>
      <c r="D26" t="inlineStr">
        <is>
          <t>UA</t>
        </is>
      </c>
      <c r="E26" t="inlineStr">
        <is>
          <t>Express</t>
        </is>
      </c>
      <c r="F26" t="n">
        <v>0</v>
      </c>
      <c r="G26" t="n">
        <v>0</v>
      </c>
      <c r="H26" t="n">
        <v>0</v>
      </c>
      <c r="I26" t="n">
        <v>0</v>
      </c>
      <c r="J26" t="n">
        <v>0</v>
      </c>
      <c r="K26" t="n">
        <v>0</v>
      </c>
      <c r="L26" t="n">
        <v>12</v>
      </c>
      <c r="M26" t="n">
        <v>0</v>
      </c>
      <c r="N26" t="n">
        <v>5</v>
      </c>
      <c r="O26" t="n">
        <v>6</v>
      </c>
      <c r="P26" t="n">
        <v>3</v>
      </c>
      <c r="Q26" t="n">
        <v>3</v>
      </c>
      <c r="R26" t="n">
        <v>1851</v>
      </c>
      <c r="S26" t="n">
        <v>1843</v>
      </c>
      <c r="T26" t="n">
        <v>1218</v>
      </c>
      <c r="U26" t="n">
        <v>1489</v>
      </c>
      <c r="V26" t="n">
        <v>1349</v>
      </c>
      <c r="W26" t="n">
        <v>1350</v>
      </c>
      <c r="X26" t="n">
        <v>0</v>
      </c>
      <c r="Y26" t="n">
        <v>12</v>
      </c>
      <c r="Z26" t="n">
        <v>1852</v>
      </c>
    </row>
    <row r="27">
      <c r="A27" t="inlineStr">
        <is>
          <t>2025-11-04 06:48:19.638475+00:00</t>
        </is>
      </c>
      <c r="B27" t="inlineStr">
        <is>
          <t>Line Dom</t>
        </is>
      </c>
      <c r="C27" t="inlineStr">
        <is>
          <t>CIU</t>
        </is>
      </c>
      <c r="D27" t="inlineStr">
        <is>
          <t>UA</t>
        </is>
      </c>
      <c r="E27" t="inlineStr">
        <is>
          <t>Express</t>
        </is>
      </c>
      <c r="F27" t="n">
        <v>0</v>
      </c>
      <c r="G27" t="n">
        <v>0</v>
      </c>
      <c r="H27" t="n">
        <v>0</v>
      </c>
      <c r="I27" t="n">
        <v>0</v>
      </c>
      <c r="J27" t="n">
        <v>0</v>
      </c>
      <c r="K27" t="n">
        <v>0</v>
      </c>
      <c r="L27" t="n">
        <v>0</v>
      </c>
      <c r="M27" t="n">
        <v>0</v>
      </c>
      <c r="N27" t="n">
        <v>0</v>
      </c>
      <c r="O27" t="n">
        <v>0</v>
      </c>
      <c r="P27" t="n">
        <v>0</v>
      </c>
      <c r="Q27" t="n">
        <v>0</v>
      </c>
      <c r="R27" t="n">
        <v>137</v>
      </c>
      <c r="S27" t="n">
        <v>135</v>
      </c>
      <c r="T27" t="n">
        <v>80</v>
      </c>
      <c r="U27" t="n">
        <v>97</v>
      </c>
      <c r="V27" t="n">
        <v>84</v>
      </c>
      <c r="W27" t="n">
        <v>84</v>
      </c>
      <c r="X27" t="n">
        <v>0</v>
      </c>
      <c r="Y27" t="n">
        <v>0</v>
      </c>
      <c r="Z27" t="n">
        <v>137</v>
      </c>
    </row>
    <row r="28">
      <c r="A28" t="inlineStr">
        <is>
          <t>2025-11-04 06:48:19.638475+00:00</t>
        </is>
      </c>
      <c r="B28" t="inlineStr">
        <is>
          <t>Line Dom</t>
        </is>
      </c>
      <c r="C28" t="inlineStr">
        <is>
          <t>MCI</t>
        </is>
      </c>
      <c r="D28" t="inlineStr">
        <is>
          <t>UA</t>
        </is>
      </c>
      <c r="E28" t="inlineStr">
        <is>
          <t>Express</t>
        </is>
      </c>
      <c r="F28" t="n">
        <v>0</v>
      </c>
      <c r="G28" t="n">
        <v>0</v>
      </c>
      <c r="H28" t="n">
        <v>0</v>
      </c>
      <c r="I28" t="n">
        <v>0</v>
      </c>
      <c r="J28" t="n">
        <v>0</v>
      </c>
      <c r="K28" t="n">
        <v>0</v>
      </c>
      <c r="L28" t="n">
        <v>21</v>
      </c>
      <c r="M28" t="n">
        <v>1</v>
      </c>
      <c r="N28" t="n">
        <v>11</v>
      </c>
      <c r="O28" t="n">
        <v>15</v>
      </c>
      <c r="P28" t="n">
        <v>16</v>
      </c>
      <c r="Q28" t="n">
        <v>16</v>
      </c>
      <c r="R28" t="n">
        <v>2727</v>
      </c>
      <c r="S28" t="n">
        <v>2665</v>
      </c>
      <c r="T28" t="n">
        <v>1686</v>
      </c>
      <c r="U28" t="n">
        <v>2165</v>
      </c>
      <c r="V28" t="n">
        <v>2140</v>
      </c>
      <c r="W28" t="n">
        <v>2140</v>
      </c>
      <c r="X28" t="n">
        <v>0</v>
      </c>
      <c r="Y28" t="n">
        <v>21</v>
      </c>
      <c r="Z28" t="n">
        <v>2724</v>
      </c>
    </row>
    <row r="29">
      <c r="A29" t="inlineStr">
        <is>
          <t>2025-11-04 06:48:19.638475+00:00</t>
        </is>
      </c>
      <c r="B29" t="inlineStr">
        <is>
          <t>Line Dom</t>
        </is>
      </c>
      <c r="C29" t="inlineStr">
        <is>
          <t>DAY</t>
        </is>
      </c>
      <c r="D29" t="inlineStr">
        <is>
          <t>UA</t>
        </is>
      </c>
      <c r="E29" t="inlineStr">
        <is>
          <t>Express</t>
        </is>
      </c>
      <c r="F29" t="n">
        <v>0</v>
      </c>
      <c r="G29" t="n">
        <v>0</v>
      </c>
      <c r="H29" t="n">
        <v>0</v>
      </c>
      <c r="I29" t="n">
        <v>0</v>
      </c>
      <c r="J29" t="n">
        <v>0</v>
      </c>
      <c r="K29" t="n">
        <v>0</v>
      </c>
      <c r="L29" t="n">
        <v>13</v>
      </c>
      <c r="M29" t="n">
        <v>0</v>
      </c>
      <c r="N29" t="n">
        <v>9</v>
      </c>
      <c r="O29" t="n">
        <v>10</v>
      </c>
      <c r="P29" t="n">
        <v>10</v>
      </c>
      <c r="Q29" t="n">
        <v>10</v>
      </c>
      <c r="R29" t="n">
        <v>2379</v>
      </c>
      <c r="S29" t="n">
        <v>2344</v>
      </c>
      <c r="T29" t="n">
        <v>1500</v>
      </c>
      <c r="U29" t="n">
        <v>1806</v>
      </c>
      <c r="V29" t="n">
        <v>1788</v>
      </c>
      <c r="W29" t="n">
        <v>1788</v>
      </c>
      <c r="X29" t="n">
        <v>0</v>
      </c>
      <c r="Y29" t="n">
        <v>13</v>
      </c>
      <c r="Z29" t="n">
        <v>2377</v>
      </c>
    </row>
    <row r="30">
      <c r="A30" t="inlineStr">
        <is>
          <t>2025-11-04 06:48:19.638475+00:00</t>
        </is>
      </c>
      <c r="B30" t="inlineStr">
        <is>
          <t>Line Dom</t>
        </is>
      </c>
      <c r="C30" t="inlineStr">
        <is>
          <t>PIA</t>
        </is>
      </c>
      <c r="D30" t="inlineStr">
        <is>
          <t>UA</t>
        </is>
      </c>
      <c r="E30" t="inlineStr">
        <is>
          <t>Express</t>
        </is>
      </c>
      <c r="F30" t="n">
        <v>0</v>
      </c>
      <c r="G30" t="n">
        <v>0</v>
      </c>
      <c r="H30" t="n">
        <v>0</v>
      </c>
      <c r="I30" t="n">
        <v>0</v>
      </c>
      <c r="J30" t="n">
        <v>0</v>
      </c>
      <c r="K30" t="n">
        <v>0</v>
      </c>
      <c r="L30" t="n">
        <v>12</v>
      </c>
      <c r="M30" t="n">
        <v>0</v>
      </c>
      <c r="N30" t="n">
        <v>5</v>
      </c>
      <c r="O30" t="n">
        <v>6</v>
      </c>
      <c r="P30" t="n">
        <v>7</v>
      </c>
      <c r="Q30" t="n">
        <v>7</v>
      </c>
      <c r="R30" t="n">
        <v>1483</v>
      </c>
      <c r="S30" t="n">
        <v>1468</v>
      </c>
      <c r="T30" t="n">
        <v>757</v>
      </c>
      <c r="U30" t="n">
        <v>1028</v>
      </c>
      <c r="V30" t="n">
        <v>940</v>
      </c>
      <c r="W30" t="n">
        <v>940</v>
      </c>
      <c r="X30" t="n">
        <v>0</v>
      </c>
      <c r="Y30" t="n">
        <v>12</v>
      </c>
      <c r="Z30" t="n">
        <v>1484</v>
      </c>
    </row>
    <row r="31">
      <c r="A31" t="inlineStr">
        <is>
          <t>2025-11-04 06:48:19.638475+00:00</t>
        </is>
      </c>
      <c r="B31" t="inlineStr">
        <is>
          <t>Line Dom</t>
        </is>
      </c>
      <c r="C31" t="inlineStr">
        <is>
          <t>MSY</t>
        </is>
      </c>
      <c r="D31" t="inlineStr">
        <is>
          <t>UA</t>
        </is>
      </c>
      <c r="E31" t="inlineStr">
        <is>
          <t>Express</t>
        </is>
      </c>
      <c r="F31" t="n">
        <v>0</v>
      </c>
      <c r="G31" t="n">
        <v>0</v>
      </c>
      <c r="H31" t="n">
        <v>0</v>
      </c>
      <c r="I31" t="n">
        <v>0</v>
      </c>
      <c r="J31" t="n">
        <v>0</v>
      </c>
      <c r="K31" t="n">
        <v>0</v>
      </c>
      <c r="L31" t="n">
        <v>1</v>
      </c>
      <c r="M31" t="n">
        <v>0</v>
      </c>
      <c r="N31" t="n">
        <v>1</v>
      </c>
      <c r="O31" t="n">
        <v>1</v>
      </c>
      <c r="P31" t="n">
        <v>1</v>
      </c>
      <c r="Q31" t="n">
        <v>1</v>
      </c>
      <c r="R31" t="n">
        <v>311</v>
      </c>
      <c r="S31" t="n">
        <v>308</v>
      </c>
      <c r="T31" t="n">
        <v>204</v>
      </c>
      <c r="U31" t="n">
        <v>249</v>
      </c>
      <c r="V31" t="n">
        <v>248</v>
      </c>
      <c r="W31" t="n">
        <v>248</v>
      </c>
      <c r="X31" t="n">
        <v>0</v>
      </c>
      <c r="Y31" t="n">
        <v>1</v>
      </c>
      <c r="Z31" t="n">
        <v>311</v>
      </c>
    </row>
    <row r="32">
      <c r="A32" t="inlineStr">
        <is>
          <t>2025-11-04 06:48:19.638475+00:00</t>
        </is>
      </c>
      <c r="B32" t="inlineStr">
        <is>
          <t>Line Dom</t>
        </is>
      </c>
      <c r="C32" t="inlineStr">
        <is>
          <t>RAP</t>
        </is>
      </c>
      <c r="D32" t="inlineStr">
        <is>
          <t>UA</t>
        </is>
      </c>
      <c r="E32" t="inlineStr">
        <is>
          <t>Express</t>
        </is>
      </c>
      <c r="F32" t="n">
        <v>0</v>
      </c>
      <c r="G32" t="n">
        <v>0</v>
      </c>
      <c r="H32" t="n">
        <v>0</v>
      </c>
      <c r="I32" t="n">
        <v>0</v>
      </c>
      <c r="J32" t="n">
        <v>0</v>
      </c>
      <c r="K32" t="n">
        <v>0</v>
      </c>
      <c r="L32" t="n">
        <v>12</v>
      </c>
      <c r="M32" t="n">
        <v>0</v>
      </c>
      <c r="N32" t="n">
        <v>9</v>
      </c>
      <c r="O32" t="n">
        <v>11</v>
      </c>
      <c r="P32" t="n">
        <v>11</v>
      </c>
      <c r="Q32" t="n">
        <v>11</v>
      </c>
      <c r="R32" t="n">
        <v>2122</v>
      </c>
      <c r="S32" t="n">
        <v>2082</v>
      </c>
      <c r="T32" t="n">
        <v>1237</v>
      </c>
      <c r="U32" t="n">
        <v>1539</v>
      </c>
      <c r="V32" t="n">
        <v>1449</v>
      </c>
      <c r="W32" t="n">
        <v>1449</v>
      </c>
      <c r="X32" t="n">
        <v>0</v>
      </c>
      <c r="Y32" t="n">
        <v>12</v>
      </c>
      <c r="Z32" t="n">
        <v>2120</v>
      </c>
    </row>
    <row r="33">
      <c r="A33" t="inlineStr">
        <is>
          <t>2025-11-04 06:48:19.638475+00:00</t>
        </is>
      </c>
      <c r="B33" t="inlineStr">
        <is>
          <t>Line Dom</t>
        </is>
      </c>
      <c r="C33" t="inlineStr">
        <is>
          <t>MRY</t>
        </is>
      </c>
      <c r="D33" t="inlineStr">
        <is>
          <t>UA</t>
        </is>
      </c>
      <c r="E33" t="inlineStr">
        <is>
          <t>Express</t>
        </is>
      </c>
      <c r="F33" t="n">
        <v>0</v>
      </c>
      <c r="G33" t="n">
        <v>0</v>
      </c>
      <c r="H33" t="n">
        <v>0</v>
      </c>
      <c r="I33" t="n">
        <v>0</v>
      </c>
      <c r="J33" t="n">
        <v>0</v>
      </c>
      <c r="K33" t="n">
        <v>0</v>
      </c>
      <c r="L33" t="n">
        <v>14</v>
      </c>
      <c r="M33" t="n">
        <v>0</v>
      </c>
      <c r="N33" t="n">
        <v>9</v>
      </c>
      <c r="O33" t="n">
        <v>11</v>
      </c>
      <c r="P33" t="n">
        <v>10</v>
      </c>
      <c r="Q33" t="n">
        <v>10</v>
      </c>
      <c r="R33" t="n">
        <v>1920</v>
      </c>
      <c r="S33" t="n">
        <v>1915</v>
      </c>
      <c r="T33" t="n">
        <v>1309</v>
      </c>
      <c r="U33" t="n">
        <v>1600</v>
      </c>
      <c r="V33" t="n">
        <v>1629</v>
      </c>
      <c r="W33" t="n">
        <v>1629</v>
      </c>
      <c r="X33" t="n">
        <v>0</v>
      </c>
      <c r="Y33" t="n">
        <v>14</v>
      </c>
      <c r="Z33" t="n">
        <v>1920</v>
      </c>
    </row>
    <row r="34">
      <c r="A34" t="inlineStr">
        <is>
          <t>2025-11-04 06:48:19.638475+00:00</t>
        </is>
      </c>
      <c r="B34" t="inlineStr">
        <is>
          <t>Line Dom</t>
        </is>
      </c>
      <c r="C34" t="inlineStr">
        <is>
          <t>SAV</t>
        </is>
      </c>
      <c r="D34" t="inlineStr">
        <is>
          <t>UA</t>
        </is>
      </c>
      <c r="E34" t="inlineStr">
        <is>
          <t>Express</t>
        </is>
      </c>
      <c r="F34" t="n">
        <v>0</v>
      </c>
      <c r="G34" t="n">
        <v>0</v>
      </c>
      <c r="H34" t="n">
        <v>0</v>
      </c>
      <c r="I34" t="n">
        <v>0</v>
      </c>
      <c r="J34" t="n">
        <v>0</v>
      </c>
      <c r="K34" t="n">
        <v>0</v>
      </c>
      <c r="L34" t="n">
        <v>12</v>
      </c>
      <c r="M34" t="n">
        <v>0</v>
      </c>
      <c r="N34" t="n">
        <v>9</v>
      </c>
      <c r="O34" t="n">
        <v>10</v>
      </c>
      <c r="P34" t="n">
        <v>11</v>
      </c>
      <c r="Q34" t="n">
        <v>11</v>
      </c>
      <c r="R34" t="n">
        <v>2282</v>
      </c>
      <c r="S34" t="n">
        <v>2234</v>
      </c>
      <c r="T34" t="n">
        <v>1526</v>
      </c>
      <c r="U34" t="n">
        <v>1778</v>
      </c>
      <c r="V34" t="n">
        <v>1772</v>
      </c>
      <c r="W34" t="n">
        <v>1772</v>
      </c>
      <c r="X34" t="n">
        <v>0</v>
      </c>
      <c r="Y34" t="n">
        <v>12</v>
      </c>
      <c r="Z34" t="n">
        <v>2281</v>
      </c>
    </row>
    <row r="35">
      <c r="A35" t="inlineStr">
        <is>
          <t>2025-11-04 06:48:19.638475+00:00</t>
        </is>
      </c>
      <c r="B35" t="inlineStr">
        <is>
          <t>Line Dom</t>
        </is>
      </c>
      <c r="C35" t="inlineStr">
        <is>
          <t>MCW</t>
        </is>
      </c>
      <c r="D35" t="inlineStr">
        <is>
          <t>UA</t>
        </is>
      </c>
      <c r="E35" t="inlineStr">
        <is>
          <t>Express</t>
        </is>
      </c>
      <c r="F35" t="n">
        <v>0</v>
      </c>
      <c r="G35" t="n">
        <v>0</v>
      </c>
      <c r="H35" t="n">
        <v>0</v>
      </c>
      <c r="I35" t="n">
        <v>0</v>
      </c>
      <c r="J35" t="n">
        <v>0</v>
      </c>
      <c r="K35" t="n">
        <v>0</v>
      </c>
      <c r="L35" t="n">
        <v>3</v>
      </c>
      <c r="M35" t="n">
        <v>0</v>
      </c>
      <c r="N35" t="n">
        <v>1</v>
      </c>
      <c r="O35" t="n">
        <v>2</v>
      </c>
      <c r="P35" t="n">
        <v>3</v>
      </c>
      <c r="Q35" t="n">
        <v>3</v>
      </c>
      <c r="R35" t="n">
        <v>525</v>
      </c>
      <c r="S35" t="n">
        <v>511</v>
      </c>
      <c r="T35" t="n">
        <v>326</v>
      </c>
      <c r="U35" t="n">
        <v>388</v>
      </c>
      <c r="V35" t="n">
        <v>382</v>
      </c>
      <c r="W35" t="n">
        <v>382</v>
      </c>
      <c r="X35" t="n">
        <v>0</v>
      </c>
      <c r="Y35" t="n">
        <v>3</v>
      </c>
      <c r="Z35" t="n">
        <v>525</v>
      </c>
    </row>
    <row r="36">
      <c r="A36" t="inlineStr">
        <is>
          <t>2025-11-04 06:48:19.638475+00:00</t>
        </is>
      </c>
      <c r="B36" t="inlineStr">
        <is>
          <t>Line Dom</t>
        </is>
      </c>
      <c r="C36" t="inlineStr">
        <is>
          <t>LCH</t>
        </is>
      </c>
      <c r="D36" t="inlineStr">
        <is>
          <t>UA</t>
        </is>
      </c>
      <c r="E36" t="inlineStr">
        <is>
          <t>Express</t>
        </is>
      </c>
      <c r="F36" t="n">
        <v>0</v>
      </c>
      <c r="G36" t="n">
        <v>0</v>
      </c>
      <c r="H36" t="n">
        <v>0</v>
      </c>
      <c r="I36" t="n">
        <v>0</v>
      </c>
      <c r="J36" t="n">
        <v>0</v>
      </c>
      <c r="K36" t="n">
        <v>0</v>
      </c>
      <c r="L36" t="n">
        <v>5</v>
      </c>
      <c r="M36" t="n">
        <v>0</v>
      </c>
      <c r="N36" t="n">
        <v>2</v>
      </c>
      <c r="O36" t="n">
        <v>3</v>
      </c>
      <c r="P36" t="n">
        <v>3</v>
      </c>
      <c r="Q36" t="n">
        <v>3</v>
      </c>
      <c r="R36" t="n">
        <v>757</v>
      </c>
      <c r="S36" t="n">
        <v>740</v>
      </c>
      <c r="T36" t="n">
        <v>523</v>
      </c>
      <c r="U36" t="n">
        <v>598</v>
      </c>
      <c r="V36" t="n">
        <v>576</v>
      </c>
      <c r="W36" t="n">
        <v>576</v>
      </c>
      <c r="X36" t="n">
        <v>0</v>
      </c>
      <c r="Y36" t="n">
        <v>5</v>
      </c>
      <c r="Z36" t="n">
        <v>757</v>
      </c>
    </row>
    <row r="37">
      <c r="A37" t="inlineStr">
        <is>
          <t>2025-11-04 06:48:19.638475+00:00</t>
        </is>
      </c>
      <c r="B37" t="inlineStr">
        <is>
          <t>Line Dom</t>
        </is>
      </c>
      <c r="C37" t="inlineStr">
        <is>
          <t>HOB</t>
        </is>
      </c>
      <c r="D37" t="inlineStr">
        <is>
          <t>UA</t>
        </is>
      </c>
      <c r="E37" t="inlineStr">
        <is>
          <t>Express</t>
        </is>
      </c>
      <c r="F37" t="n">
        <v>0</v>
      </c>
      <c r="G37" t="n">
        <v>0</v>
      </c>
      <c r="H37" t="n">
        <v>0</v>
      </c>
      <c r="I37" t="n">
        <v>0</v>
      </c>
      <c r="J37" t="n">
        <v>0</v>
      </c>
      <c r="K37" t="n">
        <v>0</v>
      </c>
      <c r="L37" t="n">
        <v>4</v>
      </c>
      <c r="M37" t="n">
        <v>0</v>
      </c>
      <c r="N37" t="n">
        <v>2</v>
      </c>
      <c r="O37" t="n">
        <v>3</v>
      </c>
      <c r="P37" t="n">
        <v>4</v>
      </c>
      <c r="Q37" t="n">
        <v>4</v>
      </c>
      <c r="R37" t="n">
        <v>612</v>
      </c>
      <c r="S37" t="n">
        <v>600</v>
      </c>
      <c r="T37" t="n">
        <v>313</v>
      </c>
      <c r="U37" t="n">
        <v>371</v>
      </c>
      <c r="V37" t="n">
        <v>418</v>
      </c>
      <c r="W37" t="n">
        <v>418</v>
      </c>
      <c r="X37" t="n">
        <v>0</v>
      </c>
      <c r="Y37" t="n">
        <v>4</v>
      </c>
      <c r="Z37" t="n">
        <v>612</v>
      </c>
    </row>
    <row r="38">
      <c r="A38" t="inlineStr">
        <is>
          <t>2025-11-04 06:48:19.638475+00:00</t>
        </is>
      </c>
      <c r="B38" t="inlineStr">
        <is>
          <t>Line Dom</t>
        </is>
      </c>
      <c r="C38" t="inlineStr">
        <is>
          <t>AMA</t>
        </is>
      </c>
      <c r="D38" t="inlineStr">
        <is>
          <t>UA</t>
        </is>
      </c>
      <c r="E38" t="inlineStr">
        <is>
          <t>Express</t>
        </is>
      </c>
      <c r="F38" t="n">
        <v>0</v>
      </c>
      <c r="G38" t="n">
        <v>0</v>
      </c>
      <c r="H38" t="n">
        <v>0</v>
      </c>
      <c r="I38" t="n">
        <v>0</v>
      </c>
      <c r="J38" t="n">
        <v>0</v>
      </c>
      <c r="K38" t="n">
        <v>0</v>
      </c>
      <c r="L38" t="n">
        <v>9</v>
      </c>
      <c r="M38" t="n">
        <v>0</v>
      </c>
      <c r="N38" t="n">
        <v>8</v>
      </c>
      <c r="O38" t="n">
        <v>10</v>
      </c>
      <c r="P38" t="n">
        <v>8</v>
      </c>
      <c r="Q38" t="n">
        <v>8</v>
      </c>
      <c r="R38" t="n">
        <v>1457</v>
      </c>
      <c r="S38" t="n">
        <v>1431</v>
      </c>
      <c r="T38" t="n">
        <v>922</v>
      </c>
      <c r="U38" t="n">
        <v>1080</v>
      </c>
      <c r="V38" t="n">
        <v>1042</v>
      </c>
      <c r="W38" t="n">
        <v>1042</v>
      </c>
      <c r="X38" t="n">
        <v>0</v>
      </c>
      <c r="Y38" t="n">
        <v>10</v>
      </c>
      <c r="Z38" t="n">
        <v>1459</v>
      </c>
    </row>
    <row r="39">
      <c r="A39" t="inlineStr">
        <is>
          <t>2025-11-04 06:48:19.638475+00:00</t>
        </is>
      </c>
      <c r="B39" t="inlineStr">
        <is>
          <t>Line Dom</t>
        </is>
      </c>
      <c r="C39" t="inlineStr">
        <is>
          <t>SHV</t>
        </is>
      </c>
      <c r="D39" t="inlineStr">
        <is>
          <t>UA</t>
        </is>
      </c>
      <c r="E39" t="inlineStr">
        <is>
          <t>Express</t>
        </is>
      </c>
      <c r="F39" t="n">
        <v>0</v>
      </c>
      <c r="G39" t="n">
        <v>0</v>
      </c>
      <c r="H39" t="n">
        <v>0</v>
      </c>
      <c r="I39" t="n">
        <v>0</v>
      </c>
      <c r="J39" t="n">
        <v>0</v>
      </c>
      <c r="K39" t="n">
        <v>0</v>
      </c>
      <c r="L39" t="n">
        <v>11</v>
      </c>
      <c r="M39" t="n">
        <v>0</v>
      </c>
      <c r="N39" t="n">
        <v>6</v>
      </c>
      <c r="O39" t="n">
        <v>8</v>
      </c>
      <c r="P39" t="n">
        <v>8</v>
      </c>
      <c r="Q39" t="n">
        <v>8</v>
      </c>
      <c r="R39" t="n">
        <v>1727</v>
      </c>
      <c r="S39" t="n">
        <v>1695</v>
      </c>
      <c r="T39" t="n">
        <v>1103</v>
      </c>
      <c r="U39" t="n">
        <v>1282</v>
      </c>
      <c r="V39" t="n">
        <v>1217</v>
      </c>
      <c r="W39" t="n">
        <v>1217</v>
      </c>
      <c r="X39" t="n">
        <v>0</v>
      </c>
      <c r="Y39" t="n">
        <v>11</v>
      </c>
      <c r="Z39" t="n">
        <v>1727</v>
      </c>
    </row>
    <row r="40">
      <c r="A40" t="inlineStr">
        <is>
          <t>2025-11-04 06:48:19.638475+00:00</t>
        </is>
      </c>
      <c r="B40" t="inlineStr">
        <is>
          <t>Line Int</t>
        </is>
      </c>
      <c r="C40" t="inlineStr">
        <is>
          <t>ZLO</t>
        </is>
      </c>
      <c r="D40" t="inlineStr">
        <is>
          <t>UA</t>
        </is>
      </c>
      <c r="E40" t="inlineStr">
        <is>
          <t>Express</t>
        </is>
      </c>
      <c r="F40" t="n">
        <v>0</v>
      </c>
      <c r="G40" t="n">
        <v>0</v>
      </c>
      <c r="H40" t="n">
        <v>0</v>
      </c>
      <c r="I40" t="n">
        <v>0</v>
      </c>
      <c r="J40" t="n">
        <v>0</v>
      </c>
      <c r="K40" t="n">
        <v>0</v>
      </c>
      <c r="L40" t="n">
        <v>1</v>
      </c>
      <c r="M40" t="n">
        <v>0</v>
      </c>
      <c r="N40" t="n">
        <v>0</v>
      </c>
      <c r="O40" t="n">
        <v>0</v>
      </c>
      <c r="P40" t="n">
        <v>0</v>
      </c>
      <c r="Q40" t="n">
        <v>0</v>
      </c>
      <c r="R40" t="n">
        <v>27</v>
      </c>
      <c r="S40" t="n">
        <v>27</v>
      </c>
      <c r="T40" t="n">
        <v>21</v>
      </c>
      <c r="U40" t="n">
        <v>23</v>
      </c>
      <c r="V40" t="n">
        <v>25</v>
      </c>
      <c r="W40" t="n">
        <v>25</v>
      </c>
      <c r="X40" t="n">
        <v>0</v>
      </c>
      <c r="Y40" t="n">
        <v>1</v>
      </c>
      <c r="Z40" t="n">
        <v>27</v>
      </c>
    </row>
    <row r="41">
      <c r="A41" t="inlineStr">
        <is>
          <t>2025-11-04 06:48:19.638475+00:00</t>
        </is>
      </c>
      <c r="B41" t="inlineStr">
        <is>
          <t>Line Dom</t>
        </is>
      </c>
      <c r="C41" t="inlineStr">
        <is>
          <t>SBA</t>
        </is>
      </c>
      <c r="D41" t="inlineStr">
        <is>
          <t>UA</t>
        </is>
      </c>
      <c r="E41" t="inlineStr">
        <is>
          <t>Express</t>
        </is>
      </c>
      <c r="F41" t="n">
        <v>0</v>
      </c>
      <c r="G41" t="n">
        <v>0</v>
      </c>
      <c r="H41" t="n">
        <v>0</v>
      </c>
      <c r="I41" t="n">
        <v>0</v>
      </c>
      <c r="J41" t="n">
        <v>0</v>
      </c>
      <c r="K41" t="n">
        <v>0</v>
      </c>
      <c r="L41" t="n">
        <v>9</v>
      </c>
      <c r="M41" t="n">
        <v>0</v>
      </c>
      <c r="N41" t="n">
        <v>6</v>
      </c>
      <c r="O41" t="n">
        <v>7</v>
      </c>
      <c r="P41" t="n">
        <v>6</v>
      </c>
      <c r="Q41" t="n">
        <v>6</v>
      </c>
      <c r="R41" t="n">
        <v>1155</v>
      </c>
      <c r="S41" t="n">
        <v>1146</v>
      </c>
      <c r="T41" t="n">
        <v>833</v>
      </c>
      <c r="U41" t="n">
        <v>987</v>
      </c>
      <c r="V41" t="n">
        <v>940</v>
      </c>
      <c r="W41" t="n">
        <v>940</v>
      </c>
      <c r="X41" t="n">
        <v>0</v>
      </c>
      <c r="Y41" t="n">
        <v>9</v>
      </c>
      <c r="Z41" t="n">
        <v>1155</v>
      </c>
    </row>
    <row r="42">
      <c r="A42" t="inlineStr">
        <is>
          <t>2025-11-04 06:48:19.638475+00:00</t>
        </is>
      </c>
      <c r="B42" t="inlineStr">
        <is>
          <t>Line Dom</t>
        </is>
      </c>
      <c r="C42" t="inlineStr">
        <is>
          <t>SAN</t>
        </is>
      </c>
      <c r="D42" t="inlineStr">
        <is>
          <t>UA</t>
        </is>
      </c>
      <c r="E42" t="inlineStr">
        <is>
          <t>Express</t>
        </is>
      </c>
      <c r="F42" t="n">
        <v>0</v>
      </c>
      <c r="G42" t="n">
        <v>0</v>
      </c>
      <c r="H42" t="n">
        <v>0</v>
      </c>
      <c r="I42" t="n">
        <v>0</v>
      </c>
      <c r="J42" t="n">
        <v>0</v>
      </c>
      <c r="K42" t="n">
        <v>0</v>
      </c>
      <c r="L42" t="n">
        <v>4</v>
      </c>
      <c r="M42" t="n">
        <v>0</v>
      </c>
      <c r="N42" t="n">
        <v>1</v>
      </c>
      <c r="O42" t="n">
        <v>3</v>
      </c>
      <c r="P42" t="n">
        <v>2</v>
      </c>
      <c r="Q42" t="n">
        <v>2</v>
      </c>
      <c r="R42" t="n">
        <v>977</v>
      </c>
      <c r="S42" t="n">
        <v>977</v>
      </c>
      <c r="T42" t="n">
        <v>735</v>
      </c>
      <c r="U42" t="n">
        <v>868</v>
      </c>
      <c r="V42" t="n">
        <v>834</v>
      </c>
      <c r="W42" t="n">
        <v>837</v>
      </c>
      <c r="X42" t="n">
        <v>0</v>
      </c>
      <c r="Y42" t="n">
        <v>4</v>
      </c>
      <c r="Z42" t="n">
        <v>977</v>
      </c>
    </row>
    <row r="43">
      <c r="A43" t="inlineStr">
        <is>
          <t>2025-11-04 06:48:19.638475+00:00</t>
        </is>
      </c>
      <c r="B43" t="inlineStr">
        <is>
          <t>Line Dom</t>
        </is>
      </c>
      <c r="C43" t="inlineStr">
        <is>
          <t>MSN</t>
        </is>
      </c>
      <c r="D43" t="inlineStr">
        <is>
          <t>UA</t>
        </is>
      </c>
      <c r="E43" t="inlineStr">
        <is>
          <t>Express</t>
        </is>
      </c>
      <c r="F43" t="n">
        <v>0</v>
      </c>
      <c r="G43" t="n">
        <v>0</v>
      </c>
      <c r="H43" t="n">
        <v>0</v>
      </c>
      <c r="I43" t="n">
        <v>0</v>
      </c>
      <c r="J43" t="n">
        <v>0</v>
      </c>
      <c r="K43" t="n">
        <v>0</v>
      </c>
      <c r="L43" t="n">
        <v>11</v>
      </c>
      <c r="M43" t="n">
        <v>0</v>
      </c>
      <c r="N43" t="n">
        <v>5</v>
      </c>
      <c r="O43" t="n">
        <v>9</v>
      </c>
      <c r="P43" t="n">
        <v>9</v>
      </c>
      <c r="Q43" t="n">
        <v>9</v>
      </c>
      <c r="R43" t="n">
        <v>1937</v>
      </c>
      <c r="S43" t="n">
        <v>1921</v>
      </c>
      <c r="T43" t="n">
        <v>1262</v>
      </c>
      <c r="U43" t="n">
        <v>1498</v>
      </c>
      <c r="V43" t="n">
        <v>1418</v>
      </c>
      <c r="W43" t="n">
        <v>1418</v>
      </c>
      <c r="X43" t="n">
        <v>0</v>
      </c>
      <c r="Y43" t="n">
        <v>11</v>
      </c>
      <c r="Z43" t="n">
        <v>1932</v>
      </c>
    </row>
    <row r="44">
      <c r="A44" t="inlineStr">
        <is>
          <t>2025-11-04 06:48:19.638475+00:00</t>
        </is>
      </c>
      <c r="B44" t="inlineStr">
        <is>
          <t>Line Dom</t>
        </is>
      </c>
      <c r="C44" t="inlineStr">
        <is>
          <t>MEI</t>
        </is>
      </c>
      <c r="D44" t="inlineStr">
        <is>
          <t>UA</t>
        </is>
      </c>
      <c r="E44" t="inlineStr">
        <is>
          <t>Express</t>
        </is>
      </c>
      <c r="F44" t="n">
        <v>0</v>
      </c>
      <c r="G44" t="n">
        <v>0</v>
      </c>
      <c r="H44" t="n">
        <v>0</v>
      </c>
      <c r="I44" t="n">
        <v>0</v>
      </c>
      <c r="J44" t="n">
        <v>0</v>
      </c>
      <c r="K44" t="n">
        <v>0</v>
      </c>
      <c r="L44" t="n">
        <v>3</v>
      </c>
      <c r="M44" t="n">
        <v>0</v>
      </c>
      <c r="N44" t="n">
        <v>2</v>
      </c>
      <c r="O44" t="n">
        <v>2</v>
      </c>
      <c r="P44" t="n">
        <v>3</v>
      </c>
      <c r="Q44" t="n">
        <v>3</v>
      </c>
      <c r="R44" t="n">
        <v>525</v>
      </c>
      <c r="S44" t="n">
        <v>516</v>
      </c>
      <c r="T44" t="n">
        <v>328</v>
      </c>
      <c r="U44" t="n">
        <v>384</v>
      </c>
      <c r="V44" t="n">
        <v>402</v>
      </c>
      <c r="W44" t="n">
        <v>402</v>
      </c>
      <c r="X44" t="n">
        <v>0</v>
      </c>
      <c r="Y44" t="n">
        <v>3</v>
      </c>
      <c r="Z44" t="n">
        <v>525</v>
      </c>
    </row>
    <row r="45">
      <c r="A45" t="inlineStr">
        <is>
          <t>2025-11-04 06:48:19.638475+00:00</t>
        </is>
      </c>
      <c r="B45" t="inlineStr">
        <is>
          <t>Line Dom</t>
        </is>
      </c>
      <c r="C45" t="inlineStr">
        <is>
          <t>RKS</t>
        </is>
      </c>
      <c r="D45" t="inlineStr">
        <is>
          <t>UA</t>
        </is>
      </c>
      <c r="E45" t="inlineStr">
        <is>
          <t>Express</t>
        </is>
      </c>
      <c r="F45" t="n">
        <v>0</v>
      </c>
      <c r="G45" t="n">
        <v>0</v>
      </c>
      <c r="H45" t="n">
        <v>0</v>
      </c>
      <c r="I45" t="n">
        <v>0</v>
      </c>
      <c r="J45" t="n">
        <v>0</v>
      </c>
      <c r="K45" t="n">
        <v>0</v>
      </c>
      <c r="L45" t="n">
        <v>4</v>
      </c>
      <c r="M45" t="n">
        <v>0</v>
      </c>
      <c r="N45" t="n">
        <v>4</v>
      </c>
      <c r="O45" t="n">
        <v>4</v>
      </c>
      <c r="P45" t="n">
        <v>4</v>
      </c>
      <c r="Q45" t="n">
        <v>4</v>
      </c>
      <c r="R45" t="n">
        <v>612</v>
      </c>
      <c r="S45" t="n">
        <v>608</v>
      </c>
      <c r="T45" t="n">
        <v>357</v>
      </c>
      <c r="U45" t="n">
        <v>437</v>
      </c>
      <c r="V45" t="n">
        <v>450</v>
      </c>
      <c r="W45" t="n">
        <v>450</v>
      </c>
      <c r="X45" t="n">
        <v>0</v>
      </c>
      <c r="Y45" t="n">
        <v>4</v>
      </c>
      <c r="Z45" t="n">
        <v>612</v>
      </c>
    </row>
    <row r="46">
      <c r="A46" t="inlineStr">
        <is>
          <t>2025-11-04 06:48:19.638475+00:00</t>
        </is>
      </c>
      <c r="B46" t="inlineStr">
        <is>
          <t>Line Dom</t>
        </is>
      </c>
      <c r="C46" t="inlineStr">
        <is>
          <t>ABQ</t>
        </is>
      </c>
      <c r="D46" t="inlineStr">
        <is>
          <t>UA</t>
        </is>
      </c>
      <c r="E46" t="inlineStr">
        <is>
          <t>Express</t>
        </is>
      </c>
      <c r="F46" t="n">
        <v>0</v>
      </c>
      <c r="G46" t="n">
        <v>0</v>
      </c>
      <c r="H46" t="n">
        <v>0</v>
      </c>
      <c r="I46" t="n">
        <v>0</v>
      </c>
      <c r="J46" t="n">
        <v>0</v>
      </c>
      <c r="K46" t="n">
        <v>0</v>
      </c>
      <c r="L46" t="n">
        <v>14</v>
      </c>
      <c r="M46" t="n">
        <v>0</v>
      </c>
      <c r="N46" t="n">
        <v>11</v>
      </c>
      <c r="O46" t="n">
        <v>14</v>
      </c>
      <c r="P46" t="n">
        <v>12</v>
      </c>
      <c r="Q46" t="n">
        <v>12</v>
      </c>
      <c r="R46" t="n">
        <v>2204</v>
      </c>
      <c r="S46" t="n">
        <v>2184</v>
      </c>
      <c r="T46" t="n">
        <v>1389</v>
      </c>
      <c r="U46" t="n">
        <v>1739</v>
      </c>
      <c r="V46" t="n">
        <v>1612</v>
      </c>
      <c r="W46" t="n">
        <v>1612</v>
      </c>
      <c r="X46" t="n">
        <v>0</v>
      </c>
      <c r="Y46" t="n">
        <v>14</v>
      </c>
      <c r="Z46" t="n">
        <v>2206</v>
      </c>
    </row>
    <row r="47">
      <c r="A47" t="inlineStr">
        <is>
          <t>2025-11-04 06:48:19.638475+00:00</t>
        </is>
      </c>
      <c r="B47" t="inlineStr">
        <is>
          <t>Line Dom</t>
        </is>
      </c>
      <c r="C47" t="inlineStr">
        <is>
          <t>SLC</t>
        </is>
      </c>
      <c r="D47" t="inlineStr">
        <is>
          <t>UA</t>
        </is>
      </c>
      <c r="E47" t="inlineStr">
        <is>
          <t>Express</t>
        </is>
      </c>
      <c r="F47" t="n">
        <v>0</v>
      </c>
      <c r="G47" t="n">
        <v>0</v>
      </c>
      <c r="H47" t="n">
        <v>0</v>
      </c>
      <c r="I47" t="n">
        <v>0</v>
      </c>
      <c r="J47" t="n">
        <v>0</v>
      </c>
      <c r="K47" t="n">
        <v>0</v>
      </c>
      <c r="L47" t="n">
        <v>19</v>
      </c>
      <c r="M47" t="n">
        <v>0</v>
      </c>
      <c r="N47" t="n">
        <v>12</v>
      </c>
      <c r="O47" t="n">
        <v>15</v>
      </c>
      <c r="P47" t="n">
        <v>14</v>
      </c>
      <c r="Q47" t="n">
        <v>14</v>
      </c>
      <c r="R47" t="n">
        <v>2910</v>
      </c>
      <c r="S47" t="n">
        <v>2902</v>
      </c>
      <c r="T47" t="n">
        <v>1941</v>
      </c>
      <c r="U47" t="n">
        <v>2333</v>
      </c>
      <c r="V47" t="n">
        <v>2202</v>
      </c>
      <c r="W47" t="n">
        <v>2203</v>
      </c>
      <c r="X47" t="n">
        <v>0</v>
      </c>
      <c r="Y47" t="n">
        <v>18</v>
      </c>
      <c r="Z47" t="n">
        <v>2907</v>
      </c>
    </row>
    <row r="48">
      <c r="A48" t="inlineStr">
        <is>
          <t>2025-11-04 06:48:19.638475+00:00</t>
        </is>
      </c>
      <c r="B48" t="inlineStr">
        <is>
          <t>Line Dom</t>
        </is>
      </c>
      <c r="C48" t="inlineStr">
        <is>
          <t>VCT</t>
        </is>
      </c>
      <c r="D48" t="inlineStr">
        <is>
          <t>UA</t>
        </is>
      </c>
      <c r="E48" t="inlineStr">
        <is>
          <t>Express</t>
        </is>
      </c>
      <c r="F48" t="n">
        <v>0</v>
      </c>
      <c r="G48" t="n">
        <v>0</v>
      </c>
      <c r="H48" t="n">
        <v>0</v>
      </c>
      <c r="I48" t="n">
        <v>0</v>
      </c>
      <c r="J48" t="n">
        <v>0</v>
      </c>
      <c r="K48" t="n">
        <v>0</v>
      </c>
      <c r="L48" t="n">
        <v>3</v>
      </c>
      <c r="M48" t="n">
        <v>0</v>
      </c>
      <c r="N48" t="n">
        <v>3</v>
      </c>
      <c r="O48" t="n">
        <v>3</v>
      </c>
      <c r="P48" t="n">
        <v>3</v>
      </c>
      <c r="Q48" t="n">
        <v>3</v>
      </c>
      <c r="R48" t="n">
        <v>488</v>
      </c>
      <c r="S48" t="n">
        <v>466</v>
      </c>
      <c r="T48" t="n">
        <v>326</v>
      </c>
      <c r="U48" t="n">
        <v>362</v>
      </c>
      <c r="V48" t="n">
        <v>347</v>
      </c>
      <c r="W48" t="n">
        <v>347</v>
      </c>
      <c r="X48" t="n">
        <v>0</v>
      </c>
      <c r="Y48" t="n">
        <v>3</v>
      </c>
      <c r="Z48" t="n">
        <v>488</v>
      </c>
    </row>
    <row r="49">
      <c r="A49" t="inlineStr">
        <is>
          <t>2025-11-04 06:48:19.638475+00:00</t>
        </is>
      </c>
      <c r="B49" t="inlineStr">
        <is>
          <t>Line Dom</t>
        </is>
      </c>
      <c r="C49" t="inlineStr">
        <is>
          <t>COU</t>
        </is>
      </c>
      <c r="D49" t="inlineStr">
        <is>
          <t>UA</t>
        </is>
      </c>
      <c r="E49" t="inlineStr">
        <is>
          <t>Express</t>
        </is>
      </c>
      <c r="F49" t="n">
        <v>0</v>
      </c>
      <c r="G49" t="n">
        <v>0</v>
      </c>
      <c r="H49" t="n">
        <v>0</v>
      </c>
      <c r="I49" t="n">
        <v>0</v>
      </c>
      <c r="J49" t="n">
        <v>0</v>
      </c>
      <c r="K49" t="n">
        <v>0</v>
      </c>
      <c r="L49" t="n">
        <v>6</v>
      </c>
      <c r="M49" t="n">
        <v>0</v>
      </c>
      <c r="N49" t="n">
        <v>5</v>
      </c>
      <c r="O49" t="n">
        <v>6</v>
      </c>
      <c r="P49" t="n">
        <v>5</v>
      </c>
      <c r="Q49" t="n">
        <v>5</v>
      </c>
      <c r="R49" t="n">
        <v>115</v>
      </c>
      <c r="S49" t="n">
        <v>115</v>
      </c>
      <c r="T49" t="n">
        <v>84</v>
      </c>
      <c r="U49" t="n">
        <v>99</v>
      </c>
      <c r="V49" t="n">
        <v>86</v>
      </c>
      <c r="W49" t="n">
        <v>86</v>
      </c>
      <c r="X49" t="n">
        <v>0</v>
      </c>
      <c r="Y49" t="n">
        <v>6</v>
      </c>
      <c r="Z49" t="n">
        <v>117</v>
      </c>
    </row>
    <row r="50">
      <c r="A50" t="inlineStr">
        <is>
          <t>2025-11-04 06:48:19.638475+00:00</t>
        </is>
      </c>
      <c r="B50" t="inlineStr">
        <is>
          <t>Line Dom</t>
        </is>
      </c>
      <c r="C50" t="inlineStr">
        <is>
          <t>CMH</t>
        </is>
      </c>
      <c r="D50" t="inlineStr">
        <is>
          <t>UA</t>
        </is>
      </c>
      <c r="E50" t="inlineStr">
        <is>
          <t>Express</t>
        </is>
      </c>
      <c r="F50" t="n">
        <v>0</v>
      </c>
      <c r="G50" t="n">
        <v>0</v>
      </c>
      <c r="H50" t="n">
        <v>0</v>
      </c>
      <c r="I50" t="n">
        <v>0</v>
      </c>
      <c r="J50" t="n">
        <v>0</v>
      </c>
      <c r="K50" t="n">
        <v>0</v>
      </c>
      <c r="L50" t="n">
        <v>27</v>
      </c>
      <c r="M50" t="n">
        <v>2</v>
      </c>
      <c r="N50" t="n">
        <v>19</v>
      </c>
      <c r="O50" t="n">
        <v>21</v>
      </c>
      <c r="P50" t="n">
        <v>16</v>
      </c>
      <c r="Q50" t="n">
        <v>16</v>
      </c>
      <c r="R50" t="n">
        <v>4037</v>
      </c>
      <c r="S50" t="n">
        <v>3947</v>
      </c>
      <c r="T50" t="n">
        <v>2615</v>
      </c>
      <c r="U50" t="n">
        <v>3162</v>
      </c>
      <c r="V50" t="n">
        <v>2856</v>
      </c>
      <c r="W50" t="n">
        <v>2858</v>
      </c>
      <c r="X50" t="n">
        <v>0</v>
      </c>
      <c r="Y50" t="n">
        <v>27</v>
      </c>
      <c r="Z50" t="n">
        <v>4046</v>
      </c>
    </row>
    <row r="51">
      <c r="A51" t="inlineStr">
        <is>
          <t>2025-11-04 06:48:19.638475+00:00</t>
        </is>
      </c>
      <c r="B51" t="inlineStr">
        <is>
          <t>Line Dom</t>
        </is>
      </c>
      <c r="C51" t="inlineStr">
        <is>
          <t>ECP</t>
        </is>
      </c>
      <c r="D51" t="inlineStr">
        <is>
          <t>UA</t>
        </is>
      </c>
      <c r="E51" t="inlineStr">
        <is>
          <t>Express</t>
        </is>
      </c>
      <c r="F51" t="n">
        <v>0</v>
      </c>
      <c r="G51" t="n">
        <v>0</v>
      </c>
      <c r="H51" t="n">
        <v>0</v>
      </c>
      <c r="I51" t="n">
        <v>0</v>
      </c>
      <c r="J51" t="n">
        <v>0</v>
      </c>
      <c r="K51" t="n">
        <v>0</v>
      </c>
      <c r="L51" t="n">
        <v>8</v>
      </c>
      <c r="M51" t="n">
        <v>0</v>
      </c>
      <c r="N51" t="n">
        <v>5</v>
      </c>
      <c r="O51" t="n">
        <v>7</v>
      </c>
      <c r="P51" t="n">
        <v>5</v>
      </c>
      <c r="Q51" t="n">
        <v>5</v>
      </c>
      <c r="R51" t="n">
        <v>1367</v>
      </c>
      <c r="S51" t="n">
        <v>1341</v>
      </c>
      <c r="T51" t="n">
        <v>871</v>
      </c>
      <c r="U51" t="n">
        <v>1039</v>
      </c>
      <c r="V51" t="n">
        <v>974</v>
      </c>
      <c r="W51" t="n">
        <v>974</v>
      </c>
      <c r="X51" t="n">
        <v>0</v>
      </c>
      <c r="Y51" t="n">
        <v>8</v>
      </c>
      <c r="Z51" t="n">
        <v>1367</v>
      </c>
    </row>
    <row r="52">
      <c r="A52" t="inlineStr">
        <is>
          <t>2025-11-04 06:48:19.638475+00:00</t>
        </is>
      </c>
      <c r="B52" t="inlineStr">
        <is>
          <t>Line Dom</t>
        </is>
      </c>
      <c r="C52" t="inlineStr">
        <is>
          <t>HYS</t>
        </is>
      </c>
      <c r="D52" t="inlineStr">
        <is>
          <t>UA</t>
        </is>
      </c>
      <c r="E52" t="inlineStr">
        <is>
          <t>Express</t>
        </is>
      </c>
      <c r="F52" t="n">
        <v>0</v>
      </c>
      <c r="G52" t="n">
        <v>0</v>
      </c>
      <c r="H52" t="n">
        <v>0</v>
      </c>
      <c r="I52" t="n">
        <v>0</v>
      </c>
      <c r="J52" t="n">
        <v>0</v>
      </c>
      <c r="K52" t="n">
        <v>0</v>
      </c>
      <c r="L52" t="n">
        <v>3</v>
      </c>
      <c r="M52" t="n">
        <v>0</v>
      </c>
      <c r="N52" t="n">
        <v>2</v>
      </c>
      <c r="O52" t="n">
        <v>3</v>
      </c>
      <c r="P52" t="n">
        <v>2</v>
      </c>
      <c r="Q52" t="n">
        <v>2</v>
      </c>
      <c r="R52" t="n">
        <v>525</v>
      </c>
      <c r="S52" t="n">
        <v>508</v>
      </c>
      <c r="T52" t="n">
        <v>321</v>
      </c>
      <c r="U52" t="n">
        <v>381</v>
      </c>
      <c r="V52" t="n">
        <v>383</v>
      </c>
      <c r="W52" t="n">
        <v>383</v>
      </c>
      <c r="X52" t="n">
        <v>0</v>
      </c>
      <c r="Y52" t="n">
        <v>3</v>
      </c>
      <c r="Z52" t="n">
        <v>525</v>
      </c>
    </row>
    <row r="53">
      <c r="A53" t="inlineStr">
        <is>
          <t>2025-11-04 06:48:19.638475+00:00</t>
        </is>
      </c>
      <c r="B53" t="inlineStr">
        <is>
          <t>Line Dom</t>
        </is>
      </c>
      <c r="C53" t="inlineStr">
        <is>
          <t>LAR</t>
        </is>
      </c>
      <c r="D53" t="inlineStr">
        <is>
          <t>UA</t>
        </is>
      </c>
      <c r="E53" t="inlineStr">
        <is>
          <t>Express</t>
        </is>
      </c>
      <c r="F53" t="n">
        <v>0</v>
      </c>
      <c r="G53" t="n">
        <v>0</v>
      </c>
      <c r="H53" t="n">
        <v>0</v>
      </c>
      <c r="I53" t="n">
        <v>0</v>
      </c>
      <c r="J53" t="n">
        <v>0</v>
      </c>
      <c r="K53" t="n">
        <v>0</v>
      </c>
      <c r="L53" t="n">
        <v>3</v>
      </c>
      <c r="M53" t="n">
        <v>0</v>
      </c>
      <c r="N53" t="n">
        <v>2</v>
      </c>
      <c r="O53" t="n">
        <v>3</v>
      </c>
      <c r="P53" t="n">
        <v>0</v>
      </c>
      <c r="Q53" t="n">
        <v>0</v>
      </c>
      <c r="R53" t="n">
        <v>525</v>
      </c>
      <c r="S53" t="n">
        <v>503</v>
      </c>
      <c r="T53" t="n">
        <v>296</v>
      </c>
      <c r="U53" t="n">
        <v>386</v>
      </c>
      <c r="V53" t="n">
        <v>363</v>
      </c>
      <c r="W53" t="n">
        <v>364</v>
      </c>
      <c r="X53" t="n">
        <v>0</v>
      </c>
      <c r="Y53" t="n">
        <v>3</v>
      </c>
      <c r="Z53" t="n">
        <v>525</v>
      </c>
    </row>
    <row r="54">
      <c r="A54" t="inlineStr">
        <is>
          <t>2025-11-04 06:48:19.638475+00:00</t>
        </is>
      </c>
      <c r="B54" t="inlineStr">
        <is>
          <t>Line Dom</t>
        </is>
      </c>
      <c r="C54" t="inlineStr">
        <is>
          <t>CLE</t>
        </is>
      </c>
      <c r="D54" t="inlineStr">
        <is>
          <t>UA</t>
        </is>
      </c>
      <c r="E54" t="inlineStr">
        <is>
          <t>Express</t>
        </is>
      </c>
      <c r="F54" t="n">
        <v>0</v>
      </c>
      <c r="G54" t="n">
        <v>0</v>
      </c>
      <c r="H54" t="n">
        <v>0</v>
      </c>
      <c r="I54" t="n">
        <v>0</v>
      </c>
      <c r="J54" t="n">
        <v>0</v>
      </c>
      <c r="K54" t="n">
        <v>0</v>
      </c>
      <c r="L54" t="n">
        <v>14</v>
      </c>
      <c r="M54" t="n">
        <v>0</v>
      </c>
      <c r="N54" t="n">
        <v>7</v>
      </c>
      <c r="O54" t="n">
        <v>10</v>
      </c>
      <c r="P54" t="n">
        <v>12</v>
      </c>
      <c r="Q54" t="n">
        <v>12</v>
      </c>
      <c r="R54" t="n">
        <v>1727</v>
      </c>
      <c r="S54" t="n">
        <v>1674</v>
      </c>
      <c r="T54" t="n">
        <v>1177</v>
      </c>
      <c r="U54" t="n">
        <v>1419</v>
      </c>
      <c r="V54" t="n">
        <v>1239</v>
      </c>
      <c r="W54" t="n">
        <v>1240</v>
      </c>
      <c r="X54" t="n">
        <v>0</v>
      </c>
      <c r="Y54" t="n">
        <v>14</v>
      </c>
      <c r="Z54" t="n">
        <v>1732</v>
      </c>
    </row>
    <row r="55">
      <c r="A55" t="inlineStr">
        <is>
          <t>2025-11-04 06:48:19.638475+00:00</t>
        </is>
      </c>
      <c r="B55" t="inlineStr">
        <is>
          <t>Line Dom</t>
        </is>
      </c>
      <c r="C55" t="inlineStr">
        <is>
          <t>MFR</t>
        </is>
      </c>
      <c r="D55" t="inlineStr">
        <is>
          <t>UA</t>
        </is>
      </c>
      <c r="E55" t="inlineStr">
        <is>
          <t>Express</t>
        </is>
      </c>
      <c r="F55" t="n">
        <v>0</v>
      </c>
      <c r="G55" t="n">
        <v>0</v>
      </c>
      <c r="H55" t="n">
        <v>0</v>
      </c>
      <c r="I55" t="n">
        <v>0</v>
      </c>
      <c r="J55" t="n">
        <v>0</v>
      </c>
      <c r="K55" t="n">
        <v>0</v>
      </c>
      <c r="L55" t="n">
        <v>5</v>
      </c>
      <c r="M55" t="n">
        <v>0</v>
      </c>
      <c r="N55" t="n">
        <v>3</v>
      </c>
      <c r="O55" t="n">
        <v>5</v>
      </c>
      <c r="P55" t="n">
        <v>4</v>
      </c>
      <c r="Q55" t="n">
        <v>4</v>
      </c>
      <c r="R55" t="n">
        <v>495</v>
      </c>
      <c r="S55" t="n">
        <v>492</v>
      </c>
      <c r="T55" t="n">
        <v>326</v>
      </c>
      <c r="U55" t="n">
        <v>412</v>
      </c>
      <c r="V55" t="n">
        <v>348</v>
      </c>
      <c r="W55" t="n">
        <v>348</v>
      </c>
      <c r="X55" t="n">
        <v>0</v>
      </c>
      <c r="Y55" t="n">
        <v>5</v>
      </c>
      <c r="Z55" t="n">
        <v>494</v>
      </c>
    </row>
    <row r="56">
      <c r="A56" t="inlineStr">
        <is>
          <t>2025-11-04 06:48:19.638475+00:00</t>
        </is>
      </c>
      <c r="B56" t="inlineStr">
        <is>
          <t>Line Dom</t>
        </is>
      </c>
      <c r="C56" t="inlineStr">
        <is>
          <t>LBF</t>
        </is>
      </c>
      <c r="D56" t="inlineStr">
        <is>
          <t>UA</t>
        </is>
      </c>
      <c r="E56" t="inlineStr">
        <is>
          <t>Express</t>
        </is>
      </c>
      <c r="F56" t="n">
        <v>0</v>
      </c>
      <c r="G56" t="n">
        <v>0</v>
      </c>
      <c r="H56" t="n">
        <v>0</v>
      </c>
      <c r="I56" t="n">
        <v>0</v>
      </c>
      <c r="J56" t="n">
        <v>0</v>
      </c>
      <c r="K56" t="n">
        <v>0</v>
      </c>
      <c r="L56" t="n">
        <v>4</v>
      </c>
      <c r="M56" t="n">
        <v>0</v>
      </c>
      <c r="N56" t="n">
        <v>2</v>
      </c>
      <c r="O56" t="n">
        <v>3</v>
      </c>
      <c r="P56" t="n">
        <v>3</v>
      </c>
      <c r="Q56" t="n">
        <v>3</v>
      </c>
      <c r="R56" t="n">
        <v>525</v>
      </c>
      <c r="S56" t="n">
        <v>512</v>
      </c>
      <c r="T56" t="n">
        <v>300</v>
      </c>
      <c r="U56" t="n">
        <v>395</v>
      </c>
      <c r="V56" t="n">
        <v>385</v>
      </c>
      <c r="W56" t="n">
        <v>385</v>
      </c>
      <c r="X56" t="n">
        <v>0</v>
      </c>
      <c r="Y56" t="n">
        <v>4</v>
      </c>
      <c r="Z56" t="n">
        <v>525</v>
      </c>
    </row>
    <row r="57">
      <c r="A57" t="inlineStr">
        <is>
          <t>2025-11-04 06:48:19.638475+00:00</t>
        </is>
      </c>
      <c r="B57" t="inlineStr">
        <is>
          <t>Line Dom</t>
        </is>
      </c>
      <c r="C57" t="inlineStr">
        <is>
          <t>ICT</t>
        </is>
      </c>
      <c r="D57" t="inlineStr">
        <is>
          <t>UA</t>
        </is>
      </c>
      <c r="E57" t="inlineStr">
        <is>
          <t>Express</t>
        </is>
      </c>
      <c r="F57" t="n">
        <v>0</v>
      </c>
      <c r="G57" t="n">
        <v>0</v>
      </c>
      <c r="H57" t="n">
        <v>0</v>
      </c>
      <c r="I57" t="n">
        <v>0</v>
      </c>
      <c r="J57" t="n">
        <v>0</v>
      </c>
      <c r="K57" t="n">
        <v>0</v>
      </c>
      <c r="L57" t="n">
        <v>18</v>
      </c>
      <c r="M57" t="n">
        <v>0</v>
      </c>
      <c r="N57" t="n">
        <v>12</v>
      </c>
      <c r="O57" t="n">
        <v>14</v>
      </c>
      <c r="P57" t="n">
        <v>16</v>
      </c>
      <c r="Q57" t="n">
        <v>16</v>
      </c>
      <c r="R57" t="n">
        <v>2879</v>
      </c>
      <c r="S57" t="n">
        <v>2829</v>
      </c>
      <c r="T57" t="n">
        <v>1928</v>
      </c>
      <c r="U57" t="n">
        <v>2290</v>
      </c>
      <c r="V57" t="n">
        <v>2199</v>
      </c>
      <c r="W57" t="n">
        <v>2199</v>
      </c>
      <c r="X57" t="n">
        <v>0</v>
      </c>
      <c r="Y57" t="n">
        <v>18</v>
      </c>
      <c r="Z57" t="n">
        <v>2879</v>
      </c>
    </row>
    <row r="58">
      <c r="A58" t="inlineStr">
        <is>
          <t>2025-11-04 06:48:19.638475+00:00</t>
        </is>
      </c>
      <c r="B58" t="inlineStr">
        <is>
          <t>Line Dom</t>
        </is>
      </c>
      <c r="C58" t="inlineStr">
        <is>
          <t>ROC</t>
        </is>
      </c>
      <c r="D58" t="inlineStr">
        <is>
          <t>UA</t>
        </is>
      </c>
      <c r="E58" t="inlineStr">
        <is>
          <t>Express</t>
        </is>
      </c>
      <c r="F58" t="n">
        <v>0</v>
      </c>
      <c r="G58" t="n">
        <v>0</v>
      </c>
      <c r="H58" t="n">
        <v>0</v>
      </c>
      <c r="I58" t="n">
        <v>0</v>
      </c>
      <c r="J58" t="n">
        <v>0</v>
      </c>
      <c r="K58" t="n">
        <v>0</v>
      </c>
      <c r="L58" t="n">
        <v>16</v>
      </c>
      <c r="M58" t="n">
        <v>1</v>
      </c>
      <c r="N58" t="n">
        <v>9</v>
      </c>
      <c r="O58" t="n">
        <v>13</v>
      </c>
      <c r="P58" t="n">
        <v>12</v>
      </c>
      <c r="Q58" t="n">
        <v>12</v>
      </c>
      <c r="R58" t="n">
        <v>2329</v>
      </c>
      <c r="S58" t="n">
        <v>2271</v>
      </c>
      <c r="T58" t="n">
        <v>1448</v>
      </c>
      <c r="U58" t="n">
        <v>1811</v>
      </c>
      <c r="V58" t="n">
        <v>1687</v>
      </c>
      <c r="W58" t="n">
        <v>1687</v>
      </c>
      <c r="X58" t="n">
        <v>0</v>
      </c>
      <c r="Y58" t="n">
        <v>16</v>
      </c>
      <c r="Z58" t="n">
        <v>2324</v>
      </c>
    </row>
    <row r="59">
      <c r="A59" t="inlineStr">
        <is>
          <t>2025-11-04 06:48:19.638475+00:00</t>
        </is>
      </c>
      <c r="B59" t="inlineStr">
        <is>
          <t>Line Dom</t>
        </is>
      </c>
      <c r="C59" t="inlineStr">
        <is>
          <t>BTM</t>
        </is>
      </c>
      <c r="D59" t="inlineStr">
        <is>
          <t>UA</t>
        </is>
      </c>
      <c r="E59" t="inlineStr">
        <is>
          <t>Express</t>
        </is>
      </c>
      <c r="F59" t="n">
        <v>0</v>
      </c>
      <c r="G59" t="n">
        <v>0</v>
      </c>
      <c r="H59" t="n">
        <v>0</v>
      </c>
      <c r="I59" t="n">
        <v>0</v>
      </c>
      <c r="J59" t="n">
        <v>0</v>
      </c>
      <c r="K59" t="n">
        <v>0</v>
      </c>
      <c r="L59" t="n">
        <v>2</v>
      </c>
      <c r="M59" t="n">
        <v>0</v>
      </c>
      <c r="N59" t="n">
        <v>2</v>
      </c>
      <c r="O59" t="n">
        <v>2</v>
      </c>
      <c r="P59" t="n">
        <v>2</v>
      </c>
      <c r="Q59" t="n">
        <v>2</v>
      </c>
      <c r="R59" t="n">
        <v>303</v>
      </c>
      <c r="S59" t="n">
        <v>301</v>
      </c>
      <c r="T59" t="n">
        <v>172</v>
      </c>
      <c r="U59" t="n">
        <v>201</v>
      </c>
      <c r="V59" t="n">
        <v>230</v>
      </c>
      <c r="W59" t="n">
        <v>230</v>
      </c>
      <c r="X59" t="n">
        <v>0</v>
      </c>
      <c r="Y59" t="n">
        <v>2</v>
      </c>
      <c r="Z59" t="n">
        <v>304</v>
      </c>
    </row>
    <row r="60">
      <c r="A60" t="inlineStr">
        <is>
          <t>2025-11-04 06:48:19.638475+00:00</t>
        </is>
      </c>
      <c r="B60" t="inlineStr">
        <is>
          <t>Line Dom</t>
        </is>
      </c>
      <c r="C60" t="inlineStr">
        <is>
          <t>STL</t>
        </is>
      </c>
      <c r="D60" t="inlineStr">
        <is>
          <t>UA</t>
        </is>
      </c>
      <c r="E60" t="inlineStr">
        <is>
          <t>Express</t>
        </is>
      </c>
      <c r="F60" t="n">
        <v>0</v>
      </c>
      <c r="G60" t="n">
        <v>0</v>
      </c>
      <c r="H60" t="n">
        <v>0</v>
      </c>
      <c r="I60" t="n">
        <v>0</v>
      </c>
      <c r="J60" t="n">
        <v>0</v>
      </c>
      <c r="K60" t="n">
        <v>0</v>
      </c>
      <c r="L60" t="n">
        <v>26</v>
      </c>
      <c r="M60" t="n">
        <v>1</v>
      </c>
      <c r="N60" t="n">
        <v>15</v>
      </c>
      <c r="O60" t="n">
        <v>21</v>
      </c>
      <c r="P60" t="n">
        <v>19</v>
      </c>
      <c r="Q60" t="n">
        <v>19</v>
      </c>
      <c r="R60" t="n">
        <v>3946</v>
      </c>
      <c r="S60" t="n">
        <v>3872</v>
      </c>
      <c r="T60" t="n">
        <v>2558</v>
      </c>
      <c r="U60" t="n">
        <v>2992</v>
      </c>
      <c r="V60" t="n">
        <v>2773</v>
      </c>
      <c r="W60" t="n">
        <v>2774</v>
      </c>
      <c r="X60" t="n">
        <v>0</v>
      </c>
      <c r="Y60" t="n">
        <v>26</v>
      </c>
      <c r="Z60" t="n">
        <v>3949</v>
      </c>
    </row>
    <row r="61">
      <c r="A61" t="inlineStr">
        <is>
          <t>2025-11-04 06:48:19.638475+00:00</t>
        </is>
      </c>
      <c r="B61" t="inlineStr">
        <is>
          <t>Line Dom</t>
        </is>
      </c>
      <c r="C61" t="inlineStr">
        <is>
          <t>LNK</t>
        </is>
      </c>
      <c r="D61" t="inlineStr">
        <is>
          <t>UA</t>
        </is>
      </c>
      <c r="E61" t="inlineStr">
        <is>
          <t>Express</t>
        </is>
      </c>
      <c r="F61" t="n">
        <v>0</v>
      </c>
      <c r="G61" t="n">
        <v>0</v>
      </c>
      <c r="H61" t="n">
        <v>0</v>
      </c>
      <c r="I61" t="n">
        <v>0</v>
      </c>
      <c r="J61" t="n">
        <v>0</v>
      </c>
      <c r="K61" t="n">
        <v>0</v>
      </c>
      <c r="L61" t="n">
        <v>19</v>
      </c>
      <c r="M61" t="n">
        <v>0</v>
      </c>
      <c r="N61" t="n">
        <v>10</v>
      </c>
      <c r="O61" t="n">
        <v>15</v>
      </c>
      <c r="P61" t="n">
        <v>13</v>
      </c>
      <c r="Q61" t="n">
        <v>13</v>
      </c>
      <c r="R61" t="n">
        <v>2524</v>
      </c>
      <c r="S61" t="n">
        <v>2495</v>
      </c>
      <c r="T61" t="n">
        <v>1437</v>
      </c>
      <c r="U61" t="n">
        <v>1793</v>
      </c>
      <c r="V61" t="n">
        <v>1729</v>
      </c>
      <c r="W61" t="n">
        <v>1729</v>
      </c>
      <c r="X61" t="n">
        <v>0</v>
      </c>
      <c r="Y61" t="n">
        <v>19</v>
      </c>
      <c r="Z61" t="n">
        <v>2525</v>
      </c>
    </row>
    <row r="62">
      <c r="A62" t="inlineStr">
        <is>
          <t>2025-11-04 06:48:19.638475+00:00</t>
        </is>
      </c>
      <c r="B62" t="inlineStr">
        <is>
          <t>Line Dom</t>
        </is>
      </c>
      <c r="C62" t="inlineStr">
        <is>
          <t>SBN</t>
        </is>
      </c>
      <c r="D62" t="inlineStr">
        <is>
          <t>UA</t>
        </is>
      </c>
      <c r="E62" t="inlineStr">
        <is>
          <t>Express</t>
        </is>
      </c>
      <c r="F62" t="n">
        <v>0</v>
      </c>
      <c r="G62" t="n">
        <v>0</v>
      </c>
      <c r="H62" t="n">
        <v>0</v>
      </c>
      <c r="I62" t="n">
        <v>0</v>
      </c>
      <c r="J62" t="n">
        <v>0</v>
      </c>
      <c r="K62" t="n">
        <v>0</v>
      </c>
      <c r="L62" t="n">
        <v>17</v>
      </c>
      <c r="M62" t="n">
        <v>0</v>
      </c>
      <c r="N62" t="n">
        <v>5</v>
      </c>
      <c r="O62" t="n">
        <v>10</v>
      </c>
      <c r="P62" t="n">
        <v>11</v>
      </c>
      <c r="Q62" t="n">
        <v>11</v>
      </c>
      <c r="R62" t="n">
        <v>2214</v>
      </c>
      <c r="S62" t="n">
        <v>2185</v>
      </c>
      <c r="T62" t="n">
        <v>1160</v>
      </c>
      <c r="U62" t="n">
        <v>1530</v>
      </c>
      <c r="V62" t="n">
        <v>1515</v>
      </c>
      <c r="W62" t="n">
        <v>1515</v>
      </c>
      <c r="X62" t="n">
        <v>0</v>
      </c>
      <c r="Y62" t="n">
        <v>17</v>
      </c>
      <c r="Z62" t="n">
        <v>2214</v>
      </c>
    </row>
    <row r="63">
      <c r="A63" t="inlineStr">
        <is>
          <t>2025-11-04 06:48:19.638475+00:00</t>
        </is>
      </c>
      <c r="B63" t="inlineStr">
        <is>
          <t>Line Dom</t>
        </is>
      </c>
      <c r="C63" t="inlineStr">
        <is>
          <t>MSP</t>
        </is>
      </c>
      <c r="D63" t="inlineStr">
        <is>
          <t>UA</t>
        </is>
      </c>
      <c r="E63" t="inlineStr">
        <is>
          <t>Express</t>
        </is>
      </c>
      <c r="F63" t="n">
        <v>0</v>
      </c>
      <c r="G63" t="n">
        <v>0</v>
      </c>
      <c r="H63" t="n">
        <v>0</v>
      </c>
      <c r="I63" t="n">
        <v>0</v>
      </c>
      <c r="J63" t="n">
        <v>0</v>
      </c>
      <c r="K63" t="n">
        <v>0</v>
      </c>
      <c r="L63" t="n">
        <v>10</v>
      </c>
      <c r="M63" t="n">
        <v>0</v>
      </c>
      <c r="N63" t="n">
        <v>9</v>
      </c>
      <c r="O63" t="n">
        <v>10</v>
      </c>
      <c r="P63" t="n">
        <v>9</v>
      </c>
      <c r="Q63" t="n">
        <v>9</v>
      </c>
      <c r="R63" t="n">
        <v>1710</v>
      </c>
      <c r="S63" t="n">
        <v>1690</v>
      </c>
      <c r="T63" t="n">
        <v>1215</v>
      </c>
      <c r="U63" t="n">
        <v>1431</v>
      </c>
      <c r="V63" t="n">
        <v>1325</v>
      </c>
      <c r="W63" t="n">
        <v>1325</v>
      </c>
      <c r="X63" t="n">
        <v>0</v>
      </c>
      <c r="Y63" t="n">
        <v>10</v>
      </c>
      <c r="Z63" t="n">
        <v>1712</v>
      </c>
    </row>
    <row r="64">
      <c r="A64" t="inlineStr">
        <is>
          <t>2025-11-04 06:48:19.638475+00:00</t>
        </is>
      </c>
      <c r="B64" t="inlineStr">
        <is>
          <t>Line Dom</t>
        </is>
      </c>
      <c r="C64" t="inlineStr">
        <is>
          <t>MKE</t>
        </is>
      </c>
      <c r="D64" t="inlineStr">
        <is>
          <t>UA</t>
        </is>
      </c>
      <c r="E64" t="inlineStr">
        <is>
          <t>Express</t>
        </is>
      </c>
      <c r="F64" t="n">
        <v>0</v>
      </c>
      <c r="G64" t="n">
        <v>0</v>
      </c>
      <c r="H64" t="n">
        <v>0</v>
      </c>
      <c r="I64" t="n">
        <v>0</v>
      </c>
      <c r="J64" t="n">
        <v>0</v>
      </c>
      <c r="K64" t="n">
        <v>0</v>
      </c>
      <c r="L64" t="n">
        <v>27</v>
      </c>
      <c r="M64" t="n">
        <v>1</v>
      </c>
      <c r="N64" t="n">
        <v>20</v>
      </c>
      <c r="O64" t="n">
        <v>25</v>
      </c>
      <c r="P64" t="n">
        <v>20</v>
      </c>
      <c r="Q64" t="n">
        <v>20</v>
      </c>
      <c r="R64" t="n">
        <v>3983</v>
      </c>
      <c r="S64" t="n">
        <v>3910</v>
      </c>
      <c r="T64" t="n">
        <v>2334</v>
      </c>
      <c r="U64" t="n">
        <v>2914</v>
      </c>
      <c r="V64" t="n">
        <v>2671</v>
      </c>
      <c r="W64" t="n">
        <v>2671</v>
      </c>
      <c r="X64" t="n">
        <v>0</v>
      </c>
      <c r="Y64" t="n">
        <v>27</v>
      </c>
      <c r="Z64" t="n">
        <v>3983</v>
      </c>
    </row>
    <row r="65">
      <c r="A65" t="inlineStr">
        <is>
          <t>2025-11-04 06:48:19.638475+00:00</t>
        </is>
      </c>
      <c r="B65" t="inlineStr">
        <is>
          <t>Line Int</t>
        </is>
      </c>
      <c r="C65" t="inlineStr">
        <is>
          <t>YWG</t>
        </is>
      </c>
      <c r="D65" t="inlineStr">
        <is>
          <t>UA</t>
        </is>
      </c>
      <c r="E65" t="inlineStr">
        <is>
          <t>Express</t>
        </is>
      </c>
      <c r="F65" t="n">
        <v>0</v>
      </c>
      <c r="G65" t="n">
        <v>0</v>
      </c>
      <c r="H65" t="n">
        <v>0</v>
      </c>
      <c r="I65" t="n">
        <v>0</v>
      </c>
      <c r="J65" t="n">
        <v>0</v>
      </c>
      <c r="K65" t="n">
        <v>0</v>
      </c>
      <c r="L65" t="n">
        <v>4</v>
      </c>
      <c r="M65" t="n">
        <v>0</v>
      </c>
      <c r="N65" t="n">
        <v>2</v>
      </c>
      <c r="O65" t="n">
        <v>2</v>
      </c>
      <c r="P65" t="n">
        <v>4</v>
      </c>
      <c r="Q65" t="n">
        <v>4</v>
      </c>
      <c r="R65" t="n">
        <v>768</v>
      </c>
      <c r="S65" t="n">
        <v>764</v>
      </c>
      <c r="T65" t="n">
        <v>483</v>
      </c>
      <c r="U65" t="n">
        <v>629</v>
      </c>
      <c r="V65" t="n">
        <v>626</v>
      </c>
      <c r="W65" t="n">
        <v>626</v>
      </c>
      <c r="X65" t="n">
        <v>0</v>
      </c>
      <c r="Y65" t="n">
        <v>4</v>
      </c>
      <c r="Z65" t="n">
        <v>769</v>
      </c>
    </row>
    <row r="66">
      <c r="A66" t="inlineStr">
        <is>
          <t>2025-11-04 06:48:19.638475+00:00</t>
        </is>
      </c>
      <c r="B66" t="inlineStr">
        <is>
          <t>Line Dom</t>
        </is>
      </c>
      <c r="C66" t="inlineStr">
        <is>
          <t>PHL</t>
        </is>
      </c>
      <c r="D66" t="inlineStr">
        <is>
          <t>UA</t>
        </is>
      </c>
      <c r="E66" t="inlineStr">
        <is>
          <t>Express</t>
        </is>
      </c>
      <c r="F66" t="n">
        <v>0</v>
      </c>
      <c r="G66" t="n">
        <v>0</v>
      </c>
      <c r="H66" t="n">
        <v>0</v>
      </c>
      <c r="I66" t="n">
        <v>0</v>
      </c>
      <c r="J66" t="n">
        <v>0</v>
      </c>
      <c r="K66" t="n">
        <v>0</v>
      </c>
      <c r="L66" t="n">
        <v>6</v>
      </c>
      <c r="M66" t="n">
        <v>0</v>
      </c>
      <c r="N66" t="n">
        <v>4</v>
      </c>
      <c r="O66" t="n">
        <v>5</v>
      </c>
      <c r="P66" t="n">
        <v>4</v>
      </c>
      <c r="Q66" t="n">
        <v>4</v>
      </c>
      <c r="R66" t="n">
        <v>1137</v>
      </c>
      <c r="S66" t="n">
        <v>1113</v>
      </c>
      <c r="T66" t="n">
        <v>686</v>
      </c>
      <c r="U66" t="n">
        <v>824</v>
      </c>
      <c r="V66" t="n">
        <v>813</v>
      </c>
      <c r="W66" t="n">
        <v>813</v>
      </c>
      <c r="X66" t="n">
        <v>0</v>
      </c>
      <c r="Y66" t="n">
        <v>6</v>
      </c>
      <c r="Z66" t="n">
        <v>1136</v>
      </c>
    </row>
    <row r="67">
      <c r="A67" t="inlineStr">
        <is>
          <t>2025-11-04 06:48:19.638475+00:00</t>
        </is>
      </c>
      <c r="B67" t="inlineStr">
        <is>
          <t>Line Dom</t>
        </is>
      </c>
      <c r="C67" t="inlineStr">
        <is>
          <t>EYW</t>
        </is>
      </c>
      <c r="D67" t="inlineStr">
        <is>
          <t>UA</t>
        </is>
      </c>
      <c r="E67" t="inlineStr">
        <is>
          <t>Express</t>
        </is>
      </c>
      <c r="F67" t="n">
        <v>0</v>
      </c>
      <c r="G67" t="n">
        <v>0</v>
      </c>
      <c r="H67" t="n">
        <v>0</v>
      </c>
      <c r="I67" t="n">
        <v>0</v>
      </c>
      <c r="J67" t="n">
        <v>0</v>
      </c>
      <c r="K67" t="n">
        <v>0</v>
      </c>
      <c r="L67" t="n">
        <v>2</v>
      </c>
      <c r="M67" t="n">
        <v>0</v>
      </c>
      <c r="N67" t="n">
        <v>1</v>
      </c>
      <c r="O67" t="n">
        <v>1</v>
      </c>
      <c r="P67" t="n">
        <v>1</v>
      </c>
      <c r="Q67" t="n">
        <v>1</v>
      </c>
      <c r="R67" t="n">
        <v>203</v>
      </c>
      <c r="S67" t="n">
        <v>200</v>
      </c>
      <c r="T67" t="n">
        <v>128</v>
      </c>
      <c r="U67" t="n">
        <v>163</v>
      </c>
      <c r="V67" t="n">
        <v>136</v>
      </c>
      <c r="W67" t="n">
        <v>136</v>
      </c>
      <c r="X67" t="n">
        <v>0</v>
      </c>
      <c r="Y67" t="n">
        <v>2</v>
      </c>
      <c r="Z67" t="n">
        <v>203</v>
      </c>
    </row>
    <row r="68">
      <c r="A68" t="inlineStr">
        <is>
          <t>2025-11-04 06:48:19.638475+00:00</t>
        </is>
      </c>
      <c r="B68" t="inlineStr">
        <is>
          <t>Line Dom</t>
        </is>
      </c>
      <c r="C68" t="inlineStr">
        <is>
          <t>GTF</t>
        </is>
      </c>
      <c r="D68" t="inlineStr">
        <is>
          <t>UA</t>
        </is>
      </c>
      <c r="E68" t="inlineStr">
        <is>
          <t>Express</t>
        </is>
      </c>
      <c r="F68" t="n">
        <v>0</v>
      </c>
      <c r="G68" t="n">
        <v>0</v>
      </c>
      <c r="H68" t="n">
        <v>0</v>
      </c>
      <c r="I68" t="n">
        <v>0</v>
      </c>
      <c r="J68" t="n">
        <v>0</v>
      </c>
      <c r="K68" t="n">
        <v>0</v>
      </c>
      <c r="L68" t="n">
        <v>1</v>
      </c>
      <c r="M68" t="n">
        <v>0</v>
      </c>
      <c r="N68" t="n">
        <v>2</v>
      </c>
      <c r="O68" t="n">
        <v>2</v>
      </c>
      <c r="P68" t="n">
        <v>0</v>
      </c>
      <c r="Q68" t="n">
        <v>0</v>
      </c>
      <c r="R68" t="n">
        <v>295</v>
      </c>
      <c r="S68" t="n">
        <v>295</v>
      </c>
      <c r="T68" t="n">
        <v>185</v>
      </c>
      <c r="U68" t="n">
        <v>234</v>
      </c>
      <c r="V68" t="n">
        <v>240</v>
      </c>
      <c r="W68" t="n">
        <v>240</v>
      </c>
      <c r="X68" t="n">
        <v>0</v>
      </c>
      <c r="Y68" t="n">
        <v>2</v>
      </c>
      <c r="Z68" t="n">
        <v>296</v>
      </c>
    </row>
    <row r="69">
      <c r="A69" t="inlineStr">
        <is>
          <t>2025-11-04 06:48:19.638475+00:00</t>
        </is>
      </c>
      <c r="B69" t="inlineStr">
        <is>
          <t>Line Dom</t>
        </is>
      </c>
      <c r="C69" t="inlineStr">
        <is>
          <t>PBI</t>
        </is>
      </c>
      <c r="D69" t="inlineStr">
        <is>
          <t>UA</t>
        </is>
      </c>
      <c r="E69" t="inlineStr">
        <is>
          <t>Express</t>
        </is>
      </c>
      <c r="F69" t="n">
        <v>0</v>
      </c>
      <c r="G69" t="n">
        <v>0</v>
      </c>
      <c r="H69" t="n">
        <v>0</v>
      </c>
      <c r="I69" t="n">
        <v>0</v>
      </c>
      <c r="J69" t="n">
        <v>0</v>
      </c>
      <c r="K69" t="n">
        <v>0</v>
      </c>
      <c r="L69" t="n">
        <v>0</v>
      </c>
      <c r="M69" t="n">
        <v>0</v>
      </c>
      <c r="N69" t="n">
        <v>0</v>
      </c>
      <c r="O69" t="n">
        <v>0</v>
      </c>
      <c r="P69" t="n">
        <v>0</v>
      </c>
      <c r="Q69" t="n">
        <v>0</v>
      </c>
      <c r="R69" t="n">
        <v>259</v>
      </c>
      <c r="S69" t="n">
        <v>259</v>
      </c>
      <c r="T69" t="n">
        <v>174</v>
      </c>
      <c r="U69" t="n">
        <v>211</v>
      </c>
      <c r="V69" t="n">
        <v>187</v>
      </c>
      <c r="W69" t="n">
        <v>187</v>
      </c>
      <c r="X69" t="n">
        <v>0</v>
      </c>
      <c r="Y69" t="n">
        <v>0</v>
      </c>
      <c r="Z69" t="n">
        <v>258</v>
      </c>
    </row>
    <row r="70">
      <c r="A70" t="inlineStr">
        <is>
          <t>2025-11-04 06:48:19.638475+00:00</t>
        </is>
      </c>
      <c r="B70" t="inlineStr">
        <is>
          <t>Line Dom</t>
        </is>
      </c>
      <c r="C70" t="inlineStr">
        <is>
          <t>PSP</t>
        </is>
      </c>
      <c r="D70" t="inlineStr">
        <is>
          <t>UA</t>
        </is>
      </c>
      <c r="E70" t="inlineStr">
        <is>
          <t>Express</t>
        </is>
      </c>
      <c r="F70" t="n">
        <v>0</v>
      </c>
      <c r="G70" t="n">
        <v>0</v>
      </c>
      <c r="H70" t="n">
        <v>0</v>
      </c>
      <c r="I70" t="n">
        <v>0</v>
      </c>
      <c r="J70" t="n">
        <v>0</v>
      </c>
      <c r="K70" t="n">
        <v>0</v>
      </c>
      <c r="L70" t="n">
        <v>18</v>
      </c>
      <c r="M70" t="n">
        <v>0</v>
      </c>
      <c r="N70" t="n">
        <v>10</v>
      </c>
      <c r="O70" t="n">
        <v>13</v>
      </c>
      <c r="P70" t="n">
        <v>8</v>
      </c>
      <c r="Q70" t="n">
        <v>8</v>
      </c>
      <c r="R70" t="n">
        <v>1751</v>
      </c>
      <c r="S70" t="n">
        <v>1747</v>
      </c>
      <c r="T70" t="n">
        <v>1162</v>
      </c>
      <c r="U70" t="n">
        <v>1452</v>
      </c>
      <c r="V70" t="n">
        <v>1358</v>
      </c>
      <c r="W70" t="n">
        <v>1358</v>
      </c>
      <c r="X70" t="n">
        <v>0</v>
      </c>
      <c r="Y70" t="n">
        <v>18</v>
      </c>
      <c r="Z70" t="n">
        <v>1751</v>
      </c>
    </row>
    <row r="71">
      <c r="A71" t="inlineStr">
        <is>
          <t>2025-11-04 06:48:19.638475+00:00</t>
        </is>
      </c>
      <c r="B71" t="inlineStr">
        <is>
          <t>Line Dom</t>
        </is>
      </c>
      <c r="C71" t="inlineStr">
        <is>
          <t>FOD</t>
        </is>
      </c>
      <c r="D71" t="inlineStr">
        <is>
          <t>UA</t>
        </is>
      </c>
      <c r="E71" t="inlineStr">
        <is>
          <t>Express</t>
        </is>
      </c>
      <c r="F71" t="n">
        <v>0</v>
      </c>
      <c r="G71" t="n">
        <v>0</v>
      </c>
      <c r="H71" t="n">
        <v>0</v>
      </c>
      <c r="I71" t="n">
        <v>0</v>
      </c>
      <c r="J71" t="n">
        <v>0</v>
      </c>
      <c r="K71" t="n">
        <v>0</v>
      </c>
      <c r="L71" t="n">
        <v>3</v>
      </c>
      <c r="M71" t="n">
        <v>0</v>
      </c>
      <c r="N71" t="n">
        <v>2</v>
      </c>
      <c r="O71" t="n">
        <v>2</v>
      </c>
      <c r="P71" t="n">
        <v>2</v>
      </c>
      <c r="Q71" t="n">
        <v>2</v>
      </c>
      <c r="R71" t="n">
        <v>525</v>
      </c>
      <c r="S71" t="n">
        <v>513</v>
      </c>
      <c r="T71" t="n">
        <v>382</v>
      </c>
      <c r="U71" t="n">
        <v>418</v>
      </c>
      <c r="V71" t="n">
        <v>409</v>
      </c>
      <c r="W71" t="n">
        <v>409</v>
      </c>
      <c r="X71" t="n">
        <v>0</v>
      </c>
      <c r="Y71" t="n">
        <v>3</v>
      </c>
      <c r="Z71" t="n">
        <v>525</v>
      </c>
    </row>
    <row r="72">
      <c r="A72" t="inlineStr">
        <is>
          <t>2025-11-04 06:48:19.638475+00:00</t>
        </is>
      </c>
      <c r="B72" t="inlineStr">
        <is>
          <t>Line Dom</t>
        </is>
      </c>
      <c r="C72" t="inlineStr">
        <is>
          <t>SJC</t>
        </is>
      </c>
      <c r="D72" t="inlineStr">
        <is>
          <t>UA</t>
        </is>
      </c>
      <c r="E72" t="inlineStr">
        <is>
          <t>Express</t>
        </is>
      </c>
      <c r="F72" t="n">
        <v>0</v>
      </c>
      <c r="G72" t="n">
        <v>0</v>
      </c>
      <c r="H72" t="n">
        <v>0</v>
      </c>
      <c r="I72" t="n">
        <v>0</v>
      </c>
      <c r="J72" t="n">
        <v>0</v>
      </c>
      <c r="K72" t="n">
        <v>0</v>
      </c>
      <c r="L72" t="n">
        <v>0</v>
      </c>
      <c r="M72" t="n">
        <v>0</v>
      </c>
      <c r="N72" t="n">
        <v>0</v>
      </c>
      <c r="O72" t="n">
        <v>0</v>
      </c>
      <c r="P72" t="n">
        <v>0</v>
      </c>
      <c r="Q72" t="n">
        <v>0</v>
      </c>
      <c r="R72" t="n">
        <v>53</v>
      </c>
      <c r="S72" t="n">
        <v>53</v>
      </c>
      <c r="T72" t="n">
        <v>44</v>
      </c>
      <c r="U72" t="n">
        <v>50</v>
      </c>
      <c r="V72" t="n">
        <v>48</v>
      </c>
      <c r="W72" t="n">
        <v>48</v>
      </c>
      <c r="X72" t="n">
        <v>0</v>
      </c>
      <c r="Y72" t="n">
        <v>0</v>
      </c>
      <c r="Z72" t="n">
        <v>53</v>
      </c>
    </row>
    <row r="73">
      <c r="A73" t="inlineStr">
        <is>
          <t>2025-11-04 06:48:19.638475+00:00</t>
        </is>
      </c>
      <c r="B73" t="inlineStr">
        <is>
          <t>Line Int</t>
        </is>
      </c>
      <c r="C73" t="inlineStr">
        <is>
          <t>BJX</t>
        </is>
      </c>
      <c r="D73" t="inlineStr">
        <is>
          <t>UA</t>
        </is>
      </c>
      <c r="E73" t="inlineStr">
        <is>
          <t>Express</t>
        </is>
      </c>
      <c r="F73" t="n">
        <v>0</v>
      </c>
      <c r="G73" t="n">
        <v>0</v>
      </c>
      <c r="H73" t="n">
        <v>0</v>
      </c>
      <c r="I73" t="n">
        <v>0</v>
      </c>
      <c r="J73" t="n">
        <v>0</v>
      </c>
      <c r="K73" t="n">
        <v>0</v>
      </c>
      <c r="L73" t="n">
        <v>5</v>
      </c>
      <c r="M73" t="n">
        <v>0</v>
      </c>
      <c r="N73" t="n">
        <v>4</v>
      </c>
      <c r="O73" t="n">
        <v>4</v>
      </c>
      <c r="P73" t="n">
        <v>3</v>
      </c>
      <c r="Q73" t="n">
        <v>3</v>
      </c>
      <c r="R73" t="n">
        <v>445</v>
      </c>
      <c r="S73" t="n">
        <v>441</v>
      </c>
      <c r="T73" t="n">
        <v>239</v>
      </c>
      <c r="U73" t="n">
        <v>337</v>
      </c>
      <c r="V73" t="n">
        <v>394</v>
      </c>
      <c r="W73" t="n">
        <v>394</v>
      </c>
      <c r="X73" t="n">
        <v>0</v>
      </c>
      <c r="Y73" t="n">
        <v>5</v>
      </c>
      <c r="Z73" t="n">
        <v>446</v>
      </c>
    </row>
    <row r="74">
      <c r="A74" t="inlineStr">
        <is>
          <t>2025-11-04 06:48:19.638475+00:00</t>
        </is>
      </c>
      <c r="B74" t="inlineStr">
        <is>
          <t>Line Dom</t>
        </is>
      </c>
      <c r="C74" t="inlineStr">
        <is>
          <t>CRW</t>
        </is>
      </c>
      <c r="D74" t="inlineStr">
        <is>
          <t>UA</t>
        </is>
      </c>
      <c r="E74" t="inlineStr">
        <is>
          <t>Express</t>
        </is>
      </c>
      <c r="F74" t="n">
        <v>0</v>
      </c>
      <c r="G74" t="n">
        <v>0</v>
      </c>
      <c r="H74" t="n">
        <v>0</v>
      </c>
      <c r="I74" t="n">
        <v>0</v>
      </c>
      <c r="J74" t="n">
        <v>0</v>
      </c>
      <c r="K74" t="n">
        <v>0</v>
      </c>
      <c r="L74" t="n">
        <v>4</v>
      </c>
      <c r="M74" t="n">
        <v>0</v>
      </c>
      <c r="N74" t="n">
        <v>1</v>
      </c>
      <c r="O74" t="n">
        <v>3</v>
      </c>
      <c r="P74" t="n">
        <v>2</v>
      </c>
      <c r="Q74" t="n">
        <v>2</v>
      </c>
      <c r="R74" t="n">
        <v>847</v>
      </c>
      <c r="S74" t="n">
        <v>834</v>
      </c>
      <c r="T74" t="n">
        <v>459</v>
      </c>
      <c r="U74" t="n">
        <v>595</v>
      </c>
      <c r="V74" t="n">
        <v>530</v>
      </c>
      <c r="W74" t="n">
        <v>530</v>
      </c>
      <c r="X74" t="n">
        <v>0</v>
      </c>
      <c r="Y74" t="n">
        <v>4</v>
      </c>
      <c r="Z74" t="n">
        <v>846</v>
      </c>
    </row>
    <row r="75">
      <c r="A75" t="inlineStr">
        <is>
          <t>2025-11-04 06:48:19.638475+00:00</t>
        </is>
      </c>
      <c r="B75" t="inlineStr">
        <is>
          <t>Line Dom</t>
        </is>
      </c>
      <c r="C75" t="inlineStr">
        <is>
          <t>PSC</t>
        </is>
      </c>
      <c r="D75" t="inlineStr">
        <is>
          <t>UA</t>
        </is>
      </c>
      <c r="E75" t="inlineStr">
        <is>
          <t>Express</t>
        </is>
      </c>
      <c r="F75" t="n">
        <v>0</v>
      </c>
      <c r="G75" t="n">
        <v>0</v>
      </c>
      <c r="H75" t="n">
        <v>0</v>
      </c>
      <c r="I75" t="n">
        <v>0</v>
      </c>
      <c r="J75" t="n">
        <v>0</v>
      </c>
      <c r="K75" t="n">
        <v>0</v>
      </c>
      <c r="L75" t="n">
        <v>6</v>
      </c>
      <c r="M75" t="n">
        <v>0</v>
      </c>
      <c r="N75" t="n">
        <v>5</v>
      </c>
      <c r="O75" t="n">
        <v>6</v>
      </c>
      <c r="P75" t="n">
        <v>6</v>
      </c>
      <c r="Q75" t="n">
        <v>6</v>
      </c>
      <c r="R75" t="n">
        <v>983</v>
      </c>
      <c r="S75" t="n">
        <v>983</v>
      </c>
      <c r="T75" t="n">
        <v>586</v>
      </c>
      <c r="U75" t="n">
        <v>810</v>
      </c>
      <c r="V75" t="n">
        <v>842</v>
      </c>
      <c r="W75" t="n">
        <v>842</v>
      </c>
      <c r="X75" t="n">
        <v>0</v>
      </c>
      <c r="Y75" t="n">
        <v>6</v>
      </c>
      <c r="Z75" t="n">
        <v>982</v>
      </c>
    </row>
    <row r="76">
      <c r="A76" t="inlineStr">
        <is>
          <t>2025-11-04 06:48:19.638475+00:00</t>
        </is>
      </c>
      <c r="B76" t="inlineStr">
        <is>
          <t>Line Dom</t>
        </is>
      </c>
      <c r="C76" t="inlineStr">
        <is>
          <t>CAE</t>
        </is>
      </c>
      <c r="D76" t="inlineStr">
        <is>
          <t>UA</t>
        </is>
      </c>
      <c r="E76" t="inlineStr">
        <is>
          <t>Express</t>
        </is>
      </c>
      <c r="F76" t="n">
        <v>0</v>
      </c>
      <c r="G76" t="n">
        <v>0</v>
      </c>
      <c r="H76" t="n">
        <v>0</v>
      </c>
      <c r="I76" t="n">
        <v>0</v>
      </c>
      <c r="J76" t="n">
        <v>0</v>
      </c>
      <c r="K76" t="n">
        <v>0</v>
      </c>
      <c r="L76" t="n">
        <v>11</v>
      </c>
      <c r="M76" t="n">
        <v>0</v>
      </c>
      <c r="N76" t="n">
        <v>4</v>
      </c>
      <c r="O76" t="n">
        <v>6</v>
      </c>
      <c r="P76" t="n">
        <v>8</v>
      </c>
      <c r="Q76" t="n">
        <v>8</v>
      </c>
      <c r="R76" t="n">
        <v>1459</v>
      </c>
      <c r="S76" t="n">
        <v>1443</v>
      </c>
      <c r="T76" t="n">
        <v>807</v>
      </c>
      <c r="U76" t="n">
        <v>1034</v>
      </c>
      <c r="V76" t="n">
        <v>970</v>
      </c>
      <c r="W76" t="n">
        <v>970</v>
      </c>
      <c r="X76" t="n">
        <v>0</v>
      </c>
      <c r="Y76" t="n">
        <v>11</v>
      </c>
      <c r="Z76" t="n">
        <v>1458</v>
      </c>
    </row>
    <row r="77">
      <c r="A77" t="inlineStr">
        <is>
          <t>2025-11-04 06:48:19.638475+00:00</t>
        </is>
      </c>
      <c r="B77" t="inlineStr">
        <is>
          <t>Line Dom</t>
        </is>
      </c>
      <c r="C77" t="inlineStr">
        <is>
          <t>HSV</t>
        </is>
      </c>
      <c r="D77" t="inlineStr">
        <is>
          <t>UA</t>
        </is>
      </c>
      <c r="E77" t="inlineStr">
        <is>
          <t>Express</t>
        </is>
      </c>
      <c r="F77" t="n">
        <v>0</v>
      </c>
      <c r="G77" t="n">
        <v>0</v>
      </c>
      <c r="H77" t="n">
        <v>0</v>
      </c>
      <c r="I77" t="n">
        <v>0</v>
      </c>
      <c r="J77" t="n">
        <v>0</v>
      </c>
      <c r="K77" t="n">
        <v>0</v>
      </c>
      <c r="L77" t="n">
        <v>25</v>
      </c>
      <c r="M77" t="n">
        <v>0</v>
      </c>
      <c r="N77" t="n">
        <v>12</v>
      </c>
      <c r="O77" t="n">
        <v>16</v>
      </c>
      <c r="P77" t="n">
        <v>20</v>
      </c>
      <c r="Q77" t="n">
        <v>20</v>
      </c>
      <c r="R77" t="n">
        <v>3389</v>
      </c>
      <c r="S77" t="n">
        <v>3348</v>
      </c>
      <c r="T77" t="n">
        <v>2036</v>
      </c>
      <c r="U77" t="n">
        <v>2518</v>
      </c>
      <c r="V77" t="n">
        <v>2484</v>
      </c>
      <c r="W77" t="n">
        <v>2484</v>
      </c>
      <c r="X77" t="n">
        <v>0</v>
      </c>
      <c r="Y77" t="n">
        <v>25</v>
      </c>
      <c r="Z77" t="n">
        <v>3390</v>
      </c>
    </row>
    <row r="78">
      <c r="A78" t="inlineStr">
        <is>
          <t>2025-11-04 06:48:19.638475+00:00</t>
        </is>
      </c>
      <c r="B78" t="inlineStr">
        <is>
          <t>Line Dom</t>
        </is>
      </c>
      <c r="C78" t="inlineStr">
        <is>
          <t>BRO</t>
        </is>
      </c>
      <c r="D78" t="inlineStr">
        <is>
          <t>UA</t>
        </is>
      </c>
      <c r="E78" t="inlineStr">
        <is>
          <t>Express</t>
        </is>
      </c>
      <c r="F78" t="n">
        <v>0</v>
      </c>
      <c r="G78" t="n">
        <v>0</v>
      </c>
      <c r="H78" t="n">
        <v>0</v>
      </c>
      <c r="I78" t="n">
        <v>0</v>
      </c>
      <c r="J78" t="n">
        <v>0</v>
      </c>
      <c r="K78" t="n">
        <v>0</v>
      </c>
      <c r="L78" t="n">
        <v>7</v>
      </c>
      <c r="M78" t="n">
        <v>0</v>
      </c>
      <c r="N78" t="n">
        <v>4</v>
      </c>
      <c r="O78" t="n">
        <v>6</v>
      </c>
      <c r="P78" t="n">
        <v>6</v>
      </c>
      <c r="Q78" t="n">
        <v>6</v>
      </c>
      <c r="R78" t="n">
        <v>1341</v>
      </c>
      <c r="S78" t="n">
        <v>1305</v>
      </c>
      <c r="T78" t="n">
        <v>974</v>
      </c>
      <c r="U78" t="n">
        <v>1093</v>
      </c>
      <c r="V78" t="n">
        <v>1120</v>
      </c>
      <c r="W78" t="n">
        <v>1120</v>
      </c>
      <c r="X78" t="n">
        <v>0</v>
      </c>
      <c r="Y78" t="n">
        <v>7</v>
      </c>
      <c r="Z78" t="n">
        <v>1341</v>
      </c>
    </row>
    <row r="79">
      <c r="A79" t="inlineStr">
        <is>
          <t>2025-11-04 06:48:19.638475+00:00</t>
        </is>
      </c>
      <c r="B79" t="inlineStr">
        <is>
          <t>Line Dom</t>
        </is>
      </c>
      <c r="C79" t="inlineStr">
        <is>
          <t>XNA</t>
        </is>
      </c>
      <c r="D79" t="inlineStr">
        <is>
          <t>UA</t>
        </is>
      </c>
      <c r="E79" t="inlineStr">
        <is>
          <t>Express</t>
        </is>
      </c>
      <c r="F79" t="n">
        <v>0</v>
      </c>
      <c r="G79" t="n">
        <v>0</v>
      </c>
      <c r="H79" t="n">
        <v>0</v>
      </c>
      <c r="I79" t="n">
        <v>0</v>
      </c>
      <c r="J79" t="n">
        <v>0</v>
      </c>
      <c r="K79" t="n">
        <v>0</v>
      </c>
      <c r="L79" t="n">
        <v>21</v>
      </c>
      <c r="M79" t="n">
        <v>0</v>
      </c>
      <c r="N79" t="n">
        <v>15</v>
      </c>
      <c r="O79" t="n">
        <v>16</v>
      </c>
      <c r="P79" t="n">
        <v>16</v>
      </c>
      <c r="Q79" t="n">
        <v>16</v>
      </c>
      <c r="R79" t="n">
        <v>2767</v>
      </c>
      <c r="S79" t="n">
        <v>2735</v>
      </c>
      <c r="T79" t="n">
        <v>1846</v>
      </c>
      <c r="U79" t="n">
        <v>2176</v>
      </c>
      <c r="V79" t="n">
        <v>2090</v>
      </c>
      <c r="W79" t="n">
        <v>2091</v>
      </c>
      <c r="X79" t="n">
        <v>0</v>
      </c>
      <c r="Y79" t="n">
        <v>21</v>
      </c>
      <c r="Z79" t="n">
        <v>2768</v>
      </c>
    </row>
    <row r="80">
      <c r="A80" t="inlineStr">
        <is>
          <t>2025-11-04 06:48:19.638475+00:00</t>
        </is>
      </c>
      <c r="B80" t="inlineStr">
        <is>
          <t>Line Dom</t>
        </is>
      </c>
      <c r="C80" t="inlineStr">
        <is>
          <t>DDC</t>
        </is>
      </c>
      <c r="D80" t="inlineStr">
        <is>
          <t>UA</t>
        </is>
      </c>
      <c r="E80" t="inlineStr">
        <is>
          <t>Express</t>
        </is>
      </c>
      <c r="F80" t="n">
        <v>0</v>
      </c>
      <c r="G80" t="n">
        <v>0</v>
      </c>
      <c r="H80" t="n">
        <v>0</v>
      </c>
      <c r="I80" t="n">
        <v>0</v>
      </c>
      <c r="J80" t="n">
        <v>0</v>
      </c>
      <c r="K80" t="n">
        <v>0</v>
      </c>
      <c r="L80" t="n">
        <v>3</v>
      </c>
      <c r="M80" t="n">
        <v>0</v>
      </c>
      <c r="N80" t="n">
        <v>3</v>
      </c>
      <c r="O80" t="n">
        <v>3</v>
      </c>
      <c r="P80" t="n">
        <v>3</v>
      </c>
      <c r="Q80" t="n">
        <v>3</v>
      </c>
      <c r="R80" t="n">
        <v>525</v>
      </c>
      <c r="S80" t="n">
        <v>509</v>
      </c>
      <c r="T80" t="n">
        <v>325</v>
      </c>
      <c r="U80" t="n">
        <v>394</v>
      </c>
      <c r="V80" t="n">
        <v>361</v>
      </c>
      <c r="W80" t="n">
        <v>361</v>
      </c>
      <c r="X80" t="n">
        <v>0</v>
      </c>
      <c r="Y80" t="n">
        <v>3</v>
      </c>
      <c r="Z80" t="n">
        <v>525</v>
      </c>
    </row>
    <row r="81">
      <c r="A81" t="inlineStr">
        <is>
          <t>2025-11-04 06:48:19.638475+00:00</t>
        </is>
      </c>
      <c r="B81" t="inlineStr">
        <is>
          <t>Line Dom</t>
        </is>
      </c>
      <c r="C81" t="inlineStr">
        <is>
          <t>CPR</t>
        </is>
      </c>
      <c r="D81" t="inlineStr">
        <is>
          <t>UA</t>
        </is>
      </c>
      <c r="E81" t="inlineStr">
        <is>
          <t>Express</t>
        </is>
      </c>
      <c r="F81" t="n">
        <v>0</v>
      </c>
      <c r="G81" t="n">
        <v>0</v>
      </c>
      <c r="H81" t="n">
        <v>0</v>
      </c>
      <c r="I81" t="n">
        <v>0</v>
      </c>
      <c r="J81" t="n">
        <v>0</v>
      </c>
      <c r="K81" t="n">
        <v>0</v>
      </c>
      <c r="L81" t="n">
        <v>14</v>
      </c>
      <c r="M81" t="n">
        <v>0</v>
      </c>
      <c r="N81" t="n">
        <v>13</v>
      </c>
      <c r="O81" t="n">
        <v>14</v>
      </c>
      <c r="P81" t="n">
        <v>13</v>
      </c>
      <c r="Q81" t="n">
        <v>13</v>
      </c>
      <c r="R81" t="n">
        <v>1988</v>
      </c>
      <c r="S81" t="n">
        <v>1971</v>
      </c>
      <c r="T81" t="n">
        <v>1141</v>
      </c>
      <c r="U81" t="n">
        <v>1434</v>
      </c>
      <c r="V81" t="n">
        <v>1343</v>
      </c>
      <c r="W81" t="n">
        <v>1343</v>
      </c>
      <c r="X81" t="n">
        <v>0</v>
      </c>
      <c r="Y81" t="n">
        <v>14</v>
      </c>
      <c r="Z81" t="n">
        <v>1989</v>
      </c>
    </row>
    <row r="82">
      <c r="A82" t="inlineStr">
        <is>
          <t>2025-11-04 06:48:19.638475+00:00</t>
        </is>
      </c>
      <c r="B82" t="inlineStr">
        <is>
          <t>Line Dom</t>
        </is>
      </c>
      <c r="C82" t="inlineStr">
        <is>
          <t>BFF</t>
        </is>
      </c>
      <c r="D82" t="inlineStr">
        <is>
          <t>UA</t>
        </is>
      </c>
      <c r="E82" t="inlineStr">
        <is>
          <t>Express</t>
        </is>
      </c>
      <c r="F82" t="n">
        <v>0</v>
      </c>
      <c r="G82" t="n">
        <v>0</v>
      </c>
      <c r="H82" t="n">
        <v>0</v>
      </c>
      <c r="I82" t="n">
        <v>0</v>
      </c>
      <c r="J82" t="n">
        <v>0</v>
      </c>
      <c r="K82" t="n">
        <v>0</v>
      </c>
      <c r="L82" t="n">
        <v>4</v>
      </c>
      <c r="M82" t="n">
        <v>0</v>
      </c>
      <c r="N82" t="n">
        <v>4</v>
      </c>
      <c r="O82" t="n">
        <v>4</v>
      </c>
      <c r="P82" t="n">
        <v>4</v>
      </c>
      <c r="Q82" t="n">
        <v>4</v>
      </c>
      <c r="R82" t="n">
        <v>525</v>
      </c>
      <c r="S82" t="n">
        <v>511</v>
      </c>
      <c r="T82" t="n">
        <v>309</v>
      </c>
      <c r="U82" t="n">
        <v>395</v>
      </c>
      <c r="V82" t="n">
        <v>357</v>
      </c>
      <c r="W82" t="n">
        <v>357</v>
      </c>
      <c r="X82" t="n">
        <v>0</v>
      </c>
      <c r="Y82" t="n">
        <v>4</v>
      </c>
      <c r="Z82" t="n">
        <v>525</v>
      </c>
    </row>
    <row r="83">
      <c r="A83" t="inlineStr">
        <is>
          <t>2025-11-04 06:48:19.638475+00:00</t>
        </is>
      </c>
      <c r="B83" t="inlineStr">
        <is>
          <t>Line Dom</t>
        </is>
      </c>
      <c r="C83" t="inlineStr">
        <is>
          <t>JAX</t>
        </is>
      </c>
      <c r="D83" t="inlineStr">
        <is>
          <t>UA</t>
        </is>
      </c>
      <c r="E83" t="inlineStr">
        <is>
          <t>Express</t>
        </is>
      </c>
      <c r="F83" t="n">
        <v>0</v>
      </c>
      <c r="G83" t="n">
        <v>0</v>
      </c>
      <c r="H83" t="n">
        <v>0</v>
      </c>
      <c r="I83" t="n">
        <v>0</v>
      </c>
      <c r="J83" t="n">
        <v>0</v>
      </c>
      <c r="K83" t="n">
        <v>0</v>
      </c>
      <c r="L83" t="n">
        <v>5</v>
      </c>
      <c r="M83" t="n">
        <v>0</v>
      </c>
      <c r="N83" t="n">
        <v>5</v>
      </c>
      <c r="O83" t="n">
        <v>5</v>
      </c>
      <c r="P83" t="n">
        <v>4</v>
      </c>
      <c r="Q83" t="n">
        <v>4</v>
      </c>
      <c r="R83" t="n">
        <v>1387</v>
      </c>
      <c r="S83" t="n">
        <v>1359</v>
      </c>
      <c r="T83" t="n">
        <v>927</v>
      </c>
      <c r="U83" t="n">
        <v>1091</v>
      </c>
      <c r="V83" t="n">
        <v>1012</v>
      </c>
      <c r="W83" t="n">
        <v>1013</v>
      </c>
      <c r="X83" t="n">
        <v>0</v>
      </c>
      <c r="Y83" t="n">
        <v>5</v>
      </c>
      <c r="Z83" t="n">
        <v>1387</v>
      </c>
    </row>
    <row r="84">
      <c r="A84" t="inlineStr">
        <is>
          <t>2025-11-04 06:48:19.638475+00:00</t>
        </is>
      </c>
      <c r="B84" t="inlineStr">
        <is>
          <t>Line Dom</t>
        </is>
      </c>
      <c r="C84" t="inlineStr">
        <is>
          <t>RIW</t>
        </is>
      </c>
      <c r="D84" t="inlineStr">
        <is>
          <t>UA</t>
        </is>
      </c>
      <c r="E84" t="inlineStr">
        <is>
          <t>Express</t>
        </is>
      </c>
      <c r="F84" t="n">
        <v>0</v>
      </c>
      <c r="G84" t="n">
        <v>0</v>
      </c>
      <c r="H84" t="n">
        <v>0</v>
      </c>
      <c r="I84" t="n">
        <v>0</v>
      </c>
      <c r="J84" t="n">
        <v>0</v>
      </c>
      <c r="K84" t="n">
        <v>0</v>
      </c>
      <c r="L84" t="n">
        <v>4</v>
      </c>
      <c r="M84" t="n">
        <v>0</v>
      </c>
      <c r="N84" t="n">
        <v>4</v>
      </c>
      <c r="O84" t="n">
        <v>4</v>
      </c>
      <c r="P84" t="n">
        <v>3</v>
      </c>
      <c r="Q84" t="n">
        <v>3</v>
      </c>
      <c r="R84" t="n">
        <v>612</v>
      </c>
      <c r="S84" t="n">
        <v>607</v>
      </c>
      <c r="T84" t="n">
        <v>393</v>
      </c>
      <c r="U84" t="n">
        <v>478</v>
      </c>
      <c r="V84" t="n">
        <v>479</v>
      </c>
      <c r="W84" t="n">
        <v>479</v>
      </c>
      <c r="X84" t="n">
        <v>0</v>
      </c>
      <c r="Y84" t="n">
        <v>4</v>
      </c>
      <c r="Z84" t="n">
        <v>612</v>
      </c>
    </row>
    <row r="85">
      <c r="A85" t="inlineStr">
        <is>
          <t>2025-11-04 06:48:19.638475+00:00</t>
        </is>
      </c>
      <c r="B85" t="inlineStr">
        <is>
          <t>Line Int</t>
        </is>
      </c>
      <c r="C85" t="inlineStr">
        <is>
          <t>ZIH</t>
        </is>
      </c>
      <c r="D85" t="inlineStr">
        <is>
          <t>UA</t>
        </is>
      </c>
      <c r="E85" t="inlineStr">
        <is>
          <t>Express</t>
        </is>
      </c>
      <c r="F85" t="n">
        <v>0</v>
      </c>
      <c r="G85" t="n">
        <v>0</v>
      </c>
      <c r="H85" t="n">
        <v>0</v>
      </c>
      <c r="I85" t="n">
        <v>0</v>
      </c>
      <c r="J85" t="n">
        <v>0</v>
      </c>
      <c r="K85" t="n">
        <v>0</v>
      </c>
      <c r="L85" t="n">
        <v>2</v>
      </c>
      <c r="M85" t="n">
        <v>0</v>
      </c>
      <c r="N85" t="n">
        <v>1</v>
      </c>
      <c r="O85" t="n">
        <v>1</v>
      </c>
      <c r="P85" t="n">
        <v>2</v>
      </c>
      <c r="Q85" t="n">
        <v>2</v>
      </c>
      <c r="R85" t="n">
        <v>121</v>
      </c>
      <c r="S85" t="n">
        <v>119</v>
      </c>
      <c r="T85" t="n">
        <v>63</v>
      </c>
      <c r="U85" t="n">
        <v>87</v>
      </c>
      <c r="V85" t="n">
        <v>92</v>
      </c>
      <c r="W85" t="n">
        <v>92</v>
      </c>
      <c r="X85" t="n">
        <v>0</v>
      </c>
      <c r="Y85" t="n">
        <v>2</v>
      </c>
      <c r="Z85" t="n">
        <v>121</v>
      </c>
    </row>
    <row r="86">
      <c r="A86" t="inlineStr">
        <is>
          <t>2025-11-04 06:48:19.638475+00:00</t>
        </is>
      </c>
      <c r="B86" t="inlineStr">
        <is>
          <t>Line Dom</t>
        </is>
      </c>
      <c r="C86" t="inlineStr">
        <is>
          <t>JLN</t>
        </is>
      </c>
      <c r="D86" t="inlineStr">
        <is>
          <t>UA</t>
        </is>
      </c>
      <c r="E86" t="inlineStr">
        <is>
          <t>Express</t>
        </is>
      </c>
      <c r="F86" t="n">
        <v>0</v>
      </c>
      <c r="G86" t="n">
        <v>0</v>
      </c>
      <c r="H86" t="n">
        <v>0</v>
      </c>
      <c r="I86" t="n">
        <v>0</v>
      </c>
      <c r="J86" t="n">
        <v>0</v>
      </c>
      <c r="K86" t="n">
        <v>0</v>
      </c>
      <c r="L86" t="n">
        <v>4</v>
      </c>
      <c r="M86" t="n">
        <v>0</v>
      </c>
      <c r="N86" t="n">
        <v>3</v>
      </c>
      <c r="O86" t="n">
        <v>3</v>
      </c>
      <c r="P86" t="n">
        <v>3</v>
      </c>
      <c r="Q86" t="n">
        <v>3</v>
      </c>
      <c r="R86" t="n">
        <v>611</v>
      </c>
      <c r="S86" t="n">
        <v>593</v>
      </c>
      <c r="T86" t="n">
        <v>360</v>
      </c>
      <c r="U86" t="n">
        <v>435</v>
      </c>
      <c r="V86" t="n">
        <v>418</v>
      </c>
      <c r="W86" t="n">
        <v>418</v>
      </c>
      <c r="X86" t="n">
        <v>0</v>
      </c>
      <c r="Y86" t="n">
        <v>4</v>
      </c>
      <c r="Z86" t="n">
        <v>611</v>
      </c>
    </row>
    <row r="87">
      <c r="A87" t="inlineStr">
        <is>
          <t>2025-11-04 06:48:19.638475+00:00</t>
        </is>
      </c>
      <c r="B87" t="inlineStr">
        <is>
          <t>Line Dom</t>
        </is>
      </c>
      <c r="C87" t="inlineStr">
        <is>
          <t>SCE</t>
        </is>
      </c>
      <c r="D87" t="inlineStr">
        <is>
          <t>UA</t>
        </is>
      </c>
      <c r="E87" t="inlineStr">
        <is>
          <t>Express</t>
        </is>
      </c>
      <c r="F87" t="n">
        <v>0</v>
      </c>
      <c r="G87" t="n">
        <v>0</v>
      </c>
      <c r="H87" t="n">
        <v>0</v>
      </c>
      <c r="I87" t="n">
        <v>0</v>
      </c>
      <c r="J87" t="n">
        <v>0</v>
      </c>
      <c r="K87" t="n">
        <v>0</v>
      </c>
      <c r="L87" t="n">
        <v>17</v>
      </c>
      <c r="M87" t="n">
        <v>0</v>
      </c>
      <c r="N87" t="n">
        <v>12</v>
      </c>
      <c r="O87" t="n">
        <v>14</v>
      </c>
      <c r="P87" t="n">
        <v>14</v>
      </c>
      <c r="Q87" t="n">
        <v>14</v>
      </c>
      <c r="R87" t="n">
        <v>1881</v>
      </c>
      <c r="S87" t="n">
        <v>1860</v>
      </c>
      <c r="T87" t="n">
        <v>1141</v>
      </c>
      <c r="U87" t="n">
        <v>1424</v>
      </c>
      <c r="V87" t="n">
        <v>1444</v>
      </c>
      <c r="W87" t="n">
        <v>1444</v>
      </c>
      <c r="X87" t="n">
        <v>0</v>
      </c>
      <c r="Y87" t="n">
        <v>17</v>
      </c>
      <c r="Z87" t="n">
        <v>1883</v>
      </c>
    </row>
    <row r="88">
      <c r="A88" t="inlineStr">
        <is>
          <t>2025-11-04 06:48:19.638475+00:00</t>
        </is>
      </c>
      <c r="B88" t="inlineStr">
        <is>
          <t>Line Int</t>
        </is>
      </c>
      <c r="C88" t="inlineStr">
        <is>
          <t>QRO</t>
        </is>
      </c>
      <c r="D88" t="inlineStr">
        <is>
          <t>UA</t>
        </is>
      </c>
      <c r="E88" t="inlineStr">
        <is>
          <t>Express</t>
        </is>
      </c>
      <c r="F88" t="n">
        <v>0</v>
      </c>
      <c r="G88" t="n">
        <v>0</v>
      </c>
      <c r="H88" t="n">
        <v>0</v>
      </c>
      <c r="I88" t="n">
        <v>0</v>
      </c>
      <c r="J88" t="n">
        <v>0</v>
      </c>
      <c r="K88" t="n">
        <v>0</v>
      </c>
      <c r="L88" t="n">
        <v>0</v>
      </c>
      <c r="M88" t="n">
        <v>0</v>
      </c>
      <c r="N88" t="n">
        <v>0</v>
      </c>
      <c r="O88" t="n">
        <v>0</v>
      </c>
      <c r="P88" t="n">
        <v>0</v>
      </c>
      <c r="Q88" t="n">
        <v>0</v>
      </c>
      <c r="R88" t="n">
        <v>121</v>
      </c>
      <c r="S88" t="n">
        <v>120</v>
      </c>
      <c r="T88" t="n">
        <v>96</v>
      </c>
      <c r="U88" t="n">
        <v>111</v>
      </c>
      <c r="V88" t="n">
        <v>102</v>
      </c>
      <c r="W88" t="n">
        <v>102</v>
      </c>
      <c r="X88" t="n">
        <v>0</v>
      </c>
      <c r="Y88" t="n">
        <v>0</v>
      </c>
      <c r="Z88" t="n">
        <v>121</v>
      </c>
    </row>
    <row r="89">
      <c r="A89" t="inlineStr">
        <is>
          <t>2025-11-04 06:48:19.638475+00:00</t>
        </is>
      </c>
      <c r="B89" t="inlineStr">
        <is>
          <t>Line Dom</t>
        </is>
      </c>
      <c r="C89" t="inlineStr">
        <is>
          <t>XWA</t>
        </is>
      </c>
      <c r="D89" t="inlineStr">
        <is>
          <t>UA</t>
        </is>
      </c>
      <c r="E89" t="inlineStr">
        <is>
          <t>Express</t>
        </is>
      </c>
      <c r="F89" t="n">
        <v>0</v>
      </c>
      <c r="G89" t="n">
        <v>0</v>
      </c>
      <c r="H89" t="n">
        <v>0</v>
      </c>
      <c r="I89" t="n">
        <v>0</v>
      </c>
      <c r="J89" t="n">
        <v>0</v>
      </c>
      <c r="K89" t="n">
        <v>0</v>
      </c>
      <c r="L89" t="n">
        <v>7</v>
      </c>
      <c r="M89" t="n">
        <v>0</v>
      </c>
      <c r="N89" t="n">
        <v>5</v>
      </c>
      <c r="O89" t="n">
        <v>7</v>
      </c>
      <c r="P89" t="n">
        <v>6</v>
      </c>
      <c r="Q89" t="n">
        <v>6</v>
      </c>
      <c r="R89" t="n">
        <v>1291</v>
      </c>
      <c r="S89" t="n">
        <v>1279</v>
      </c>
      <c r="T89" t="n">
        <v>721</v>
      </c>
      <c r="U89" t="n">
        <v>963</v>
      </c>
      <c r="V89" t="n">
        <v>887</v>
      </c>
      <c r="W89" t="n">
        <v>887</v>
      </c>
      <c r="X89" t="n">
        <v>0</v>
      </c>
      <c r="Y89" t="n">
        <v>7</v>
      </c>
      <c r="Z89" t="n">
        <v>1293</v>
      </c>
    </row>
    <row r="90">
      <c r="A90" t="inlineStr">
        <is>
          <t>2025-11-04 06:48:19.638475+00:00</t>
        </is>
      </c>
      <c r="B90" t="inlineStr">
        <is>
          <t>Line Int</t>
        </is>
      </c>
      <c r="C90" t="inlineStr">
        <is>
          <t>YOW</t>
        </is>
      </c>
      <c r="D90" t="inlineStr">
        <is>
          <t>UA</t>
        </is>
      </c>
      <c r="E90" t="inlineStr">
        <is>
          <t>Express</t>
        </is>
      </c>
      <c r="F90" t="n">
        <v>0</v>
      </c>
      <c r="G90" t="n">
        <v>0</v>
      </c>
      <c r="H90" t="n">
        <v>0</v>
      </c>
      <c r="I90" t="n">
        <v>0</v>
      </c>
      <c r="J90" t="n">
        <v>0</v>
      </c>
      <c r="K90" t="n">
        <v>0</v>
      </c>
      <c r="L90" t="n">
        <v>18</v>
      </c>
      <c r="M90" t="n">
        <v>2</v>
      </c>
      <c r="N90" t="n">
        <v>12</v>
      </c>
      <c r="O90" t="n">
        <v>13</v>
      </c>
      <c r="P90" t="n">
        <v>14</v>
      </c>
      <c r="Q90" t="n">
        <v>14</v>
      </c>
      <c r="R90" t="n">
        <v>2658</v>
      </c>
      <c r="S90" t="n">
        <v>2590</v>
      </c>
      <c r="T90" t="n">
        <v>1633</v>
      </c>
      <c r="U90" t="n">
        <v>2009</v>
      </c>
      <c r="V90" t="n">
        <v>1664</v>
      </c>
      <c r="W90" t="n">
        <v>1664</v>
      </c>
      <c r="X90" t="n">
        <v>0</v>
      </c>
      <c r="Y90" t="n">
        <v>18</v>
      </c>
      <c r="Z90" t="n">
        <v>2658</v>
      </c>
    </row>
    <row r="91">
      <c r="A91" t="inlineStr">
        <is>
          <t>2025-11-04 06:48:19.638475+00:00</t>
        </is>
      </c>
      <c r="B91" t="inlineStr">
        <is>
          <t>Line Int</t>
        </is>
      </c>
      <c r="C91" t="inlineStr">
        <is>
          <t>HAV</t>
        </is>
      </c>
      <c r="D91" t="inlineStr">
        <is>
          <t>UA</t>
        </is>
      </c>
      <c r="E91" t="inlineStr">
        <is>
          <t>Express</t>
        </is>
      </c>
      <c r="F91" t="n">
        <v>0</v>
      </c>
      <c r="G91" t="n">
        <v>0</v>
      </c>
      <c r="H91" t="n">
        <v>0</v>
      </c>
      <c r="I91" t="n">
        <v>0</v>
      </c>
      <c r="J91" t="n">
        <v>0</v>
      </c>
      <c r="K91" t="n">
        <v>0</v>
      </c>
      <c r="L91" t="n">
        <v>0</v>
      </c>
      <c r="M91" t="n">
        <v>0</v>
      </c>
      <c r="N91" t="n">
        <v>0</v>
      </c>
      <c r="O91" t="n">
        <v>0</v>
      </c>
      <c r="P91" t="n">
        <v>0</v>
      </c>
      <c r="Q91" t="n">
        <v>0</v>
      </c>
      <c r="R91" t="n">
        <v>53</v>
      </c>
      <c r="S91" t="n">
        <v>52</v>
      </c>
      <c r="T91" t="n">
        <v>37</v>
      </c>
      <c r="U91" t="n">
        <v>39</v>
      </c>
      <c r="V91" t="n">
        <v>34</v>
      </c>
      <c r="W91" t="n">
        <v>34</v>
      </c>
      <c r="X91" t="n">
        <v>0</v>
      </c>
      <c r="Y91" t="n">
        <v>0</v>
      </c>
      <c r="Z91" t="n">
        <v>53</v>
      </c>
    </row>
    <row r="92">
      <c r="A92" t="inlineStr">
        <is>
          <t>2025-11-04 06:48:19.638475+00:00</t>
        </is>
      </c>
      <c r="B92" t="inlineStr">
        <is>
          <t>Line Dom</t>
        </is>
      </c>
      <c r="C92" t="inlineStr">
        <is>
          <t>DIK</t>
        </is>
      </c>
      <c r="D92" t="inlineStr">
        <is>
          <t>UA</t>
        </is>
      </c>
      <c r="E92" t="inlineStr">
        <is>
          <t>Express</t>
        </is>
      </c>
      <c r="F92" t="n">
        <v>0</v>
      </c>
      <c r="G92" t="n">
        <v>0</v>
      </c>
      <c r="H92" t="n">
        <v>0</v>
      </c>
      <c r="I92" t="n">
        <v>0</v>
      </c>
      <c r="J92" t="n">
        <v>0</v>
      </c>
      <c r="K92" t="n">
        <v>0</v>
      </c>
      <c r="L92" t="n">
        <v>4</v>
      </c>
      <c r="M92" t="n">
        <v>0</v>
      </c>
      <c r="N92" t="n">
        <v>4</v>
      </c>
      <c r="O92" t="n">
        <v>4</v>
      </c>
      <c r="P92" t="n">
        <v>3</v>
      </c>
      <c r="Q92" t="n">
        <v>3</v>
      </c>
      <c r="R92" t="n">
        <v>573</v>
      </c>
      <c r="S92" t="n">
        <v>562</v>
      </c>
      <c r="T92" t="n">
        <v>318</v>
      </c>
      <c r="U92" t="n">
        <v>388</v>
      </c>
      <c r="V92" t="n">
        <v>423</v>
      </c>
      <c r="W92" t="n">
        <v>423</v>
      </c>
      <c r="X92" t="n">
        <v>0</v>
      </c>
      <c r="Y92" t="n">
        <v>4</v>
      </c>
      <c r="Z92" t="n">
        <v>573</v>
      </c>
    </row>
    <row r="93">
      <c r="A93" t="inlineStr">
        <is>
          <t>2025-11-04 06:48:19.638475+00:00</t>
        </is>
      </c>
      <c r="B93" t="inlineStr">
        <is>
          <t>Line Int</t>
        </is>
      </c>
      <c r="C93" t="inlineStr">
        <is>
          <t>YQR</t>
        </is>
      </c>
      <c r="D93" t="inlineStr">
        <is>
          <t>UA</t>
        </is>
      </c>
      <c r="E93" t="inlineStr">
        <is>
          <t>Express</t>
        </is>
      </c>
      <c r="F93" t="n">
        <v>0</v>
      </c>
      <c r="G93" t="n">
        <v>0</v>
      </c>
      <c r="H93" t="n">
        <v>0</v>
      </c>
      <c r="I93" t="n">
        <v>0</v>
      </c>
      <c r="J93" t="n">
        <v>0</v>
      </c>
      <c r="K93" t="n">
        <v>0</v>
      </c>
      <c r="L93" t="n">
        <v>2</v>
      </c>
      <c r="M93" t="n">
        <v>0</v>
      </c>
      <c r="N93" t="n">
        <v>2</v>
      </c>
      <c r="O93" t="n">
        <v>2</v>
      </c>
      <c r="P93" t="n">
        <v>2</v>
      </c>
      <c r="Q93" t="n">
        <v>2</v>
      </c>
      <c r="R93" t="n">
        <v>171</v>
      </c>
      <c r="S93" t="n">
        <v>170</v>
      </c>
      <c r="T93" t="n">
        <v>81</v>
      </c>
      <c r="U93" t="n">
        <v>96</v>
      </c>
      <c r="V93" t="n">
        <v>120</v>
      </c>
      <c r="W93" t="n">
        <v>120</v>
      </c>
      <c r="X93" t="n">
        <v>0</v>
      </c>
      <c r="Y93" t="n">
        <v>2</v>
      </c>
      <c r="Z93" t="n">
        <v>172</v>
      </c>
    </row>
    <row r="94">
      <c r="A94" t="inlineStr">
        <is>
          <t>2025-11-04 06:48:19.638475+00:00</t>
        </is>
      </c>
      <c r="B94" t="inlineStr">
        <is>
          <t>Line Dom</t>
        </is>
      </c>
      <c r="C94" t="inlineStr">
        <is>
          <t>SUX</t>
        </is>
      </c>
      <c r="D94" t="inlineStr">
        <is>
          <t>UA</t>
        </is>
      </c>
      <c r="E94" t="inlineStr">
        <is>
          <t>Express</t>
        </is>
      </c>
      <c r="F94" t="n">
        <v>0</v>
      </c>
      <c r="G94" t="n">
        <v>0</v>
      </c>
      <c r="H94" t="n">
        <v>0</v>
      </c>
      <c r="I94" t="n">
        <v>0</v>
      </c>
      <c r="J94" t="n">
        <v>0</v>
      </c>
      <c r="K94" t="n">
        <v>0</v>
      </c>
      <c r="L94" t="n">
        <v>4</v>
      </c>
      <c r="M94" t="n">
        <v>0</v>
      </c>
      <c r="N94" t="n">
        <v>4</v>
      </c>
      <c r="O94" t="n">
        <v>4</v>
      </c>
      <c r="P94" t="n">
        <v>4</v>
      </c>
      <c r="Q94" t="n">
        <v>4</v>
      </c>
      <c r="R94" t="n">
        <v>612</v>
      </c>
      <c r="S94" t="n">
        <v>603</v>
      </c>
      <c r="T94" t="n">
        <v>316</v>
      </c>
      <c r="U94" t="n">
        <v>413</v>
      </c>
      <c r="V94" t="n">
        <v>394</v>
      </c>
      <c r="W94" t="n">
        <v>394</v>
      </c>
      <c r="X94" t="n">
        <v>0</v>
      </c>
      <c r="Y94" t="n">
        <v>4</v>
      </c>
      <c r="Z94" t="n">
        <v>612</v>
      </c>
    </row>
    <row r="95">
      <c r="A95" t="inlineStr">
        <is>
          <t>2025-11-04 06:48:19.638475+00:00</t>
        </is>
      </c>
      <c r="B95" t="inlineStr">
        <is>
          <t>Line Dom</t>
        </is>
      </c>
      <c r="C95" t="inlineStr">
        <is>
          <t>MGW</t>
        </is>
      </c>
      <c r="D95" t="inlineStr">
        <is>
          <t>UA</t>
        </is>
      </c>
      <c r="E95" t="inlineStr">
        <is>
          <t>Express</t>
        </is>
      </c>
      <c r="F95" t="n">
        <v>0</v>
      </c>
      <c r="G95" t="n">
        <v>0</v>
      </c>
      <c r="H95" t="n">
        <v>0</v>
      </c>
      <c r="I95" t="n">
        <v>0</v>
      </c>
      <c r="J95" t="n">
        <v>0</v>
      </c>
      <c r="K95" t="n">
        <v>0</v>
      </c>
      <c r="L95" t="n">
        <v>4</v>
      </c>
      <c r="M95" t="n">
        <v>0</v>
      </c>
      <c r="N95" t="n">
        <v>3</v>
      </c>
      <c r="O95" t="n">
        <v>4</v>
      </c>
      <c r="P95" t="n">
        <v>4</v>
      </c>
      <c r="Q95" t="n">
        <v>4</v>
      </c>
      <c r="R95" t="n">
        <v>612</v>
      </c>
      <c r="S95" t="n">
        <v>591</v>
      </c>
      <c r="T95" t="n">
        <v>367</v>
      </c>
      <c r="U95" t="n">
        <v>429</v>
      </c>
      <c r="V95" t="n">
        <v>451</v>
      </c>
      <c r="W95" t="n">
        <v>451</v>
      </c>
      <c r="X95" t="n">
        <v>0</v>
      </c>
      <c r="Y95" t="n">
        <v>4</v>
      </c>
      <c r="Z95" t="n">
        <v>612</v>
      </c>
    </row>
    <row r="96">
      <c r="A96" t="inlineStr">
        <is>
          <t>2025-11-04 06:48:19.638475+00:00</t>
        </is>
      </c>
      <c r="B96" t="inlineStr">
        <is>
          <t>Line Dom</t>
        </is>
      </c>
      <c r="C96" t="inlineStr">
        <is>
          <t>GRR</t>
        </is>
      </c>
      <c r="D96" t="inlineStr">
        <is>
          <t>UA</t>
        </is>
      </c>
      <c r="E96" t="inlineStr">
        <is>
          <t>Express</t>
        </is>
      </c>
      <c r="F96" t="n">
        <v>0</v>
      </c>
      <c r="G96" t="n">
        <v>0</v>
      </c>
      <c r="H96" t="n">
        <v>0</v>
      </c>
      <c r="I96" t="n">
        <v>0</v>
      </c>
      <c r="J96" t="n">
        <v>0</v>
      </c>
      <c r="K96" t="n">
        <v>0</v>
      </c>
      <c r="L96" t="n">
        <v>17</v>
      </c>
      <c r="M96" t="n">
        <v>0</v>
      </c>
      <c r="N96" t="n">
        <v>10</v>
      </c>
      <c r="O96" t="n">
        <v>13</v>
      </c>
      <c r="P96" t="n">
        <v>12</v>
      </c>
      <c r="Q96" t="n">
        <v>12</v>
      </c>
      <c r="R96" t="n">
        <v>2289</v>
      </c>
      <c r="S96" t="n">
        <v>2240</v>
      </c>
      <c r="T96" t="n">
        <v>1553</v>
      </c>
      <c r="U96" t="n">
        <v>1830</v>
      </c>
      <c r="V96" t="n">
        <v>1690</v>
      </c>
      <c r="W96" t="n">
        <v>1690</v>
      </c>
      <c r="X96" t="n">
        <v>0</v>
      </c>
      <c r="Y96" t="n">
        <v>17</v>
      </c>
      <c r="Z96" t="n">
        <v>2294</v>
      </c>
    </row>
    <row r="97">
      <c r="A97" t="inlineStr">
        <is>
          <t>2025-11-04 06:48:19.638475+00:00</t>
        </is>
      </c>
      <c r="B97" t="inlineStr">
        <is>
          <t>Line Dom</t>
        </is>
      </c>
      <c r="C97" t="inlineStr">
        <is>
          <t>CMX</t>
        </is>
      </c>
      <c r="D97" t="inlineStr">
        <is>
          <t>UA</t>
        </is>
      </c>
      <c r="E97" t="inlineStr">
        <is>
          <t>Express</t>
        </is>
      </c>
      <c r="F97" t="n">
        <v>0</v>
      </c>
      <c r="G97" t="n">
        <v>0</v>
      </c>
      <c r="H97" t="n">
        <v>0</v>
      </c>
      <c r="I97" t="n">
        <v>0</v>
      </c>
      <c r="J97" t="n">
        <v>0</v>
      </c>
      <c r="K97" t="n">
        <v>0</v>
      </c>
      <c r="L97" t="n">
        <v>4</v>
      </c>
      <c r="M97" t="n">
        <v>0</v>
      </c>
      <c r="N97" t="n">
        <v>4</v>
      </c>
      <c r="O97" t="n">
        <v>4</v>
      </c>
      <c r="P97" t="n">
        <v>4</v>
      </c>
      <c r="Q97" t="n">
        <v>4</v>
      </c>
      <c r="R97" t="n">
        <v>679</v>
      </c>
      <c r="S97" t="n">
        <v>656</v>
      </c>
      <c r="T97" t="n">
        <v>370</v>
      </c>
      <c r="U97" t="n">
        <v>451</v>
      </c>
      <c r="V97" t="n">
        <v>480</v>
      </c>
      <c r="W97" t="n">
        <v>480</v>
      </c>
      <c r="X97" t="n">
        <v>0</v>
      </c>
      <c r="Y97" t="n">
        <v>4</v>
      </c>
      <c r="Z97" t="n">
        <v>679</v>
      </c>
    </row>
    <row r="98">
      <c r="A98" t="inlineStr">
        <is>
          <t>2025-11-04 06:48:19.638475+00:00</t>
        </is>
      </c>
      <c r="B98" t="inlineStr">
        <is>
          <t>Line Dom</t>
        </is>
      </c>
      <c r="C98" t="inlineStr">
        <is>
          <t>SEA</t>
        </is>
      </c>
      <c r="D98" t="inlineStr">
        <is>
          <t>UA</t>
        </is>
      </c>
      <c r="E98" t="inlineStr">
        <is>
          <t>Express</t>
        </is>
      </c>
      <c r="F98" t="n">
        <v>0</v>
      </c>
      <c r="G98" t="n">
        <v>0</v>
      </c>
      <c r="H98" t="n">
        <v>0</v>
      </c>
      <c r="I98" t="n">
        <v>0</v>
      </c>
      <c r="J98" t="n">
        <v>0</v>
      </c>
      <c r="K98" t="n">
        <v>0</v>
      </c>
      <c r="L98" t="n">
        <v>6</v>
      </c>
      <c r="M98" t="n">
        <v>0</v>
      </c>
      <c r="N98" t="n">
        <v>5</v>
      </c>
      <c r="O98" t="n">
        <v>6</v>
      </c>
      <c r="P98" t="n">
        <v>5</v>
      </c>
      <c r="Q98" t="n">
        <v>5</v>
      </c>
      <c r="R98" t="n">
        <v>193</v>
      </c>
      <c r="S98" t="n">
        <v>193</v>
      </c>
      <c r="T98" t="n">
        <v>132</v>
      </c>
      <c r="U98" t="n">
        <v>162</v>
      </c>
      <c r="V98" t="n">
        <v>136</v>
      </c>
      <c r="W98" t="n">
        <v>136</v>
      </c>
      <c r="X98" t="n">
        <v>0</v>
      </c>
      <c r="Y98" t="n">
        <v>6</v>
      </c>
      <c r="Z98" t="n">
        <v>193</v>
      </c>
    </row>
    <row r="99">
      <c r="A99" t="inlineStr">
        <is>
          <t>2025-11-04 06:48:19.638475+00:00</t>
        </is>
      </c>
      <c r="B99" t="inlineStr">
        <is>
          <t>Line Dom</t>
        </is>
      </c>
      <c r="C99" t="inlineStr">
        <is>
          <t>MYR</t>
        </is>
      </c>
      <c r="D99" t="inlineStr">
        <is>
          <t>UA</t>
        </is>
      </c>
      <c r="E99" t="inlineStr">
        <is>
          <t>Express</t>
        </is>
      </c>
      <c r="F99" t="n">
        <v>0</v>
      </c>
      <c r="G99" t="n">
        <v>0</v>
      </c>
      <c r="H99" t="n">
        <v>0</v>
      </c>
      <c r="I99" t="n">
        <v>0</v>
      </c>
      <c r="J99" t="n">
        <v>0</v>
      </c>
      <c r="K99" t="n">
        <v>0</v>
      </c>
      <c r="L99" t="n">
        <v>1</v>
      </c>
      <c r="M99" t="n">
        <v>0</v>
      </c>
      <c r="N99" t="n">
        <v>0</v>
      </c>
      <c r="O99" t="n">
        <v>0</v>
      </c>
      <c r="P99" t="n">
        <v>0</v>
      </c>
      <c r="Q99" t="n">
        <v>0</v>
      </c>
      <c r="R99" t="n">
        <v>519</v>
      </c>
      <c r="S99" t="n">
        <v>488</v>
      </c>
      <c r="T99" t="n">
        <v>339</v>
      </c>
      <c r="U99" t="n">
        <v>407</v>
      </c>
      <c r="V99" t="n">
        <v>343</v>
      </c>
      <c r="W99" t="n">
        <v>343</v>
      </c>
      <c r="X99" t="n">
        <v>0</v>
      </c>
      <c r="Y99" t="n">
        <v>1</v>
      </c>
      <c r="Z99" t="n">
        <v>519</v>
      </c>
    </row>
    <row r="100">
      <c r="A100" t="inlineStr">
        <is>
          <t>2025-11-04 06:48:19.638475+00:00</t>
        </is>
      </c>
      <c r="B100" t="inlineStr">
        <is>
          <t>Line Dom</t>
        </is>
      </c>
      <c r="C100" t="inlineStr">
        <is>
          <t>IDA</t>
        </is>
      </c>
      <c r="D100" t="inlineStr">
        <is>
          <t>UA</t>
        </is>
      </c>
      <c r="E100" t="inlineStr">
        <is>
          <t>Express</t>
        </is>
      </c>
      <c r="F100" t="n">
        <v>0</v>
      </c>
      <c r="G100" t="n">
        <v>0</v>
      </c>
      <c r="H100" t="n">
        <v>0</v>
      </c>
      <c r="I100" t="n">
        <v>0</v>
      </c>
      <c r="J100" t="n">
        <v>0</v>
      </c>
      <c r="K100" t="n">
        <v>0</v>
      </c>
      <c r="L100" t="n">
        <v>9</v>
      </c>
      <c r="M100" t="n">
        <v>0</v>
      </c>
      <c r="N100" t="n">
        <v>6</v>
      </c>
      <c r="O100" t="n">
        <v>7</v>
      </c>
      <c r="P100" t="n">
        <v>7</v>
      </c>
      <c r="Q100" t="n">
        <v>7</v>
      </c>
      <c r="R100" t="n">
        <v>1471</v>
      </c>
      <c r="S100" t="n">
        <v>1452</v>
      </c>
      <c r="T100" t="n">
        <v>840</v>
      </c>
      <c r="U100" t="n">
        <v>1088</v>
      </c>
      <c r="V100" t="n">
        <v>1026</v>
      </c>
      <c r="W100" t="n">
        <v>1026</v>
      </c>
      <c r="X100" t="n">
        <v>0</v>
      </c>
      <c r="Y100" t="n">
        <v>9</v>
      </c>
      <c r="Z100" t="n">
        <v>1472</v>
      </c>
    </row>
    <row r="101">
      <c r="A101" t="inlineStr">
        <is>
          <t>2025-11-04 06:48:19.638475+00:00</t>
        </is>
      </c>
      <c r="B101" t="inlineStr">
        <is>
          <t>Line Dom</t>
        </is>
      </c>
      <c r="C101" t="inlineStr">
        <is>
          <t>FMN</t>
        </is>
      </c>
      <c r="D101" t="inlineStr">
        <is>
          <t>UA</t>
        </is>
      </c>
      <c r="E101" t="inlineStr">
        <is>
          <t>Express</t>
        </is>
      </c>
      <c r="F101" t="n">
        <v>0</v>
      </c>
      <c r="G101" t="n">
        <v>0</v>
      </c>
      <c r="H101" t="n">
        <v>0</v>
      </c>
      <c r="I101" t="n">
        <v>0</v>
      </c>
      <c r="J101" t="n">
        <v>0</v>
      </c>
      <c r="K101" t="n">
        <v>0</v>
      </c>
      <c r="L101" t="n">
        <v>2</v>
      </c>
      <c r="M101" t="n">
        <v>0</v>
      </c>
      <c r="N101" t="n">
        <v>1</v>
      </c>
      <c r="O101" t="n">
        <v>1</v>
      </c>
      <c r="P101" t="n">
        <v>2</v>
      </c>
      <c r="Q101" t="n">
        <v>2</v>
      </c>
      <c r="R101" t="n">
        <v>178</v>
      </c>
      <c r="S101" t="n">
        <v>177</v>
      </c>
      <c r="T101" t="n">
        <v>118</v>
      </c>
      <c r="U101" t="n">
        <v>136</v>
      </c>
      <c r="V101" t="n">
        <v>130</v>
      </c>
      <c r="W101" t="n">
        <v>130</v>
      </c>
      <c r="X101" t="n">
        <v>0</v>
      </c>
      <c r="Y101" t="n">
        <v>2</v>
      </c>
      <c r="Z101" t="n">
        <v>179</v>
      </c>
    </row>
    <row r="102">
      <c r="A102" t="inlineStr">
        <is>
          <t>2025-11-04 06:48:19.638475+00:00</t>
        </is>
      </c>
      <c r="B102" t="inlineStr">
        <is>
          <t>Line Dom</t>
        </is>
      </c>
      <c r="C102" t="inlineStr">
        <is>
          <t>OKC</t>
        </is>
      </c>
      <c r="D102" t="inlineStr">
        <is>
          <t>UA</t>
        </is>
      </c>
      <c r="E102" t="inlineStr">
        <is>
          <t>Express</t>
        </is>
      </c>
      <c r="F102" t="n">
        <v>0</v>
      </c>
      <c r="G102" t="n">
        <v>0</v>
      </c>
      <c r="H102" t="n">
        <v>0</v>
      </c>
      <c r="I102" t="n">
        <v>0</v>
      </c>
      <c r="J102" t="n">
        <v>0</v>
      </c>
      <c r="K102" t="n">
        <v>0</v>
      </c>
      <c r="L102" t="n">
        <v>26</v>
      </c>
      <c r="M102" t="n">
        <v>0</v>
      </c>
      <c r="N102" t="n">
        <v>18</v>
      </c>
      <c r="O102" t="n">
        <v>23</v>
      </c>
      <c r="P102" t="n">
        <v>20</v>
      </c>
      <c r="Q102" t="n">
        <v>20</v>
      </c>
      <c r="R102" t="n">
        <v>4578</v>
      </c>
      <c r="S102" t="n">
        <v>4527</v>
      </c>
      <c r="T102" t="n">
        <v>2888</v>
      </c>
      <c r="U102" t="n">
        <v>3470</v>
      </c>
      <c r="V102" t="n">
        <v>3474</v>
      </c>
      <c r="W102" t="n">
        <v>3474</v>
      </c>
      <c r="X102" t="n">
        <v>0</v>
      </c>
      <c r="Y102" t="n">
        <v>26</v>
      </c>
      <c r="Z102" t="n">
        <v>4578</v>
      </c>
    </row>
    <row r="103">
      <c r="A103" t="inlineStr">
        <is>
          <t>2025-11-04 06:48:19.638475+00:00</t>
        </is>
      </c>
      <c r="B103" t="inlineStr">
        <is>
          <t>Line Dom</t>
        </is>
      </c>
      <c r="C103" t="inlineStr">
        <is>
          <t>HDN</t>
        </is>
      </c>
      <c r="D103" t="inlineStr">
        <is>
          <t>UA</t>
        </is>
      </c>
      <c r="E103" t="inlineStr">
        <is>
          <t>Express</t>
        </is>
      </c>
      <c r="F103" t="n">
        <v>0</v>
      </c>
      <c r="G103" t="n">
        <v>0</v>
      </c>
      <c r="H103" t="n">
        <v>0</v>
      </c>
      <c r="I103" t="n">
        <v>0</v>
      </c>
      <c r="J103" t="n">
        <v>0</v>
      </c>
      <c r="K103" t="n">
        <v>0</v>
      </c>
      <c r="L103" t="n">
        <v>2</v>
      </c>
      <c r="M103" t="n">
        <v>0</v>
      </c>
      <c r="N103" t="n">
        <v>2</v>
      </c>
      <c r="O103" t="n">
        <v>2</v>
      </c>
      <c r="P103" t="n">
        <v>2</v>
      </c>
      <c r="Q103" t="n">
        <v>2</v>
      </c>
      <c r="R103" t="n">
        <v>505</v>
      </c>
      <c r="S103" t="n">
        <v>496</v>
      </c>
      <c r="T103" t="n">
        <v>292</v>
      </c>
      <c r="U103" t="n">
        <v>352</v>
      </c>
      <c r="V103" t="n">
        <v>355</v>
      </c>
      <c r="W103" t="n">
        <v>355</v>
      </c>
      <c r="X103" t="n">
        <v>0</v>
      </c>
      <c r="Y103" t="n">
        <v>2</v>
      </c>
      <c r="Z103" t="n">
        <v>506</v>
      </c>
    </row>
    <row r="104">
      <c r="A104" t="inlineStr">
        <is>
          <t>2025-11-04 06:48:19.638475+00:00</t>
        </is>
      </c>
      <c r="B104" t="inlineStr">
        <is>
          <t>Line Dom</t>
        </is>
      </c>
      <c r="C104" t="inlineStr">
        <is>
          <t>DVL</t>
        </is>
      </c>
      <c r="D104" t="inlineStr">
        <is>
          <t>UA</t>
        </is>
      </c>
      <c r="E104" t="inlineStr">
        <is>
          <t>Express</t>
        </is>
      </c>
      <c r="F104" t="n">
        <v>0</v>
      </c>
      <c r="G104" t="n">
        <v>0</v>
      </c>
      <c r="H104" t="n">
        <v>0</v>
      </c>
      <c r="I104" t="n">
        <v>0</v>
      </c>
      <c r="J104" t="n">
        <v>0</v>
      </c>
      <c r="K104" t="n">
        <v>0</v>
      </c>
      <c r="L104" t="n">
        <v>3</v>
      </c>
      <c r="M104" t="n">
        <v>0</v>
      </c>
      <c r="N104" t="n">
        <v>3</v>
      </c>
      <c r="O104" t="n">
        <v>3</v>
      </c>
      <c r="P104" t="n">
        <v>3</v>
      </c>
      <c r="Q104" t="n">
        <v>3</v>
      </c>
      <c r="R104" t="n">
        <v>550</v>
      </c>
      <c r="S104" t="n">
        <v>544</v>
      </c>
      <c r="T104" t="n">
        <v>393</v>
      </c>
      <c r="U104" t="n">
        <v>457</v>
      </c>
      <c r="V104" t="n">
        <v>372</v>
      </c>
      <c r="W104" t="n">
        <v>372</v>
      </c>
      <c r="X104" t="n">
        <v>0</v>
      </c>
      <c r="Y104" t="n">
        <v>3</v>
      </c>
      <c r="Z104" t="n">
        <v>551</v>
      </c>
    </row>
    <row r="105">
      <c r="A105" t="inlineStr">
        <is>
          <t>2025-11-04 06:48:19.638475+00:00</t>
        </is>
      </c>
      <c r="B105" t="inlineStr">
        <is>
          <t>Line Dom</t>
        </is>
      </c>
      <c r="C105" t="inlineStr">
        <is>
          <t>EUG</t>
        </is>
      </c>
      <c r="D105" t="inlineStr">
        <is>
          <t>UA</t>
        </is>
      </c>
      <c r="E105" t="inlineStr">
        <is>
          <t>Express</t>
        </is>
      </c>
      <c r="F105" t="n">
        <v>0</v>
      </c>
      <c r="G105" t="n">
        <v>0</v>
      </c>
      <c r="H105" t="n">
        <v>0</v>
      </c>
      <c r="I105" t="n">
        <v>0</v>
      </c>
      <c r="J105" t="n">
        <v>0</v>
      </c>
      <c r="K105" t="n">
        <v>0</v>
      </c>
      <c r="L105" t="n">
        <v>0</v>
      </c>
      <c r="M105" t="n">
        <v>0</v>
      </c>
      <c r="N105" t="n">
        <v>0</v>
      </c>
      <c r="O105" t="n">
        <v>0</v>
      </c>
      <c r="P105" t="n">
        <v>0</v>
      </c>
      <c r="Q105" t="n">
        <v>0</v>
      </c>
      <c r="R105" t="n">
        <v>385</v>
      </c>
      <c r="S105" t="n">
        <v>380</v>
      </c>
      <c r="T105" t="n">
        <v>289</v>
      </c>
      <c r="U105" t="n">
        <v>339</v>
      </c>
      <c r="V105" t="n">
        <v>254</v>
      </c>
      <c r="W105" t="n">
        <v>254</v>
      </c>
      <c r="X105" t="n">
        <v>0</v>
      </c>
      <c r="Y105" t="n">
        <v>0</v>
      </c>
      <c r="Z105" t="n">
        <v>384</v>
      </c>
    </row>
    <row r="106">
      <c r="A106" t="inlineStr">
        <is>
          <t>2025-11-04 06:48:19.638475+00:00</t>
        </is>
      </c>
      <c r="B106" t="inlineStr">
        <is>
          <t>Line Int</t>
        </is>
      </c>
      <c r="C106" t="inlineStr">
        <is>
          <t>YHZ</t>
        </is>
      </c>
      <c r="D106" t="inlineStr">
        <is>
          <t>UA</t>
        </is>
      </c>
      <c r="E106" t="inlineStr">
        <is>
          <t>Express</t>
        </is>
      </c>
      <c r="F106" t="n">
        <v>0</v>
      </c>
      <c r="G106" t="n">
        <v>0</v>
      </c>
      <c r="H106" t="n">
        <v>0</v>
      </c>
      <c r="I106" t="n">
        <v>0</v>
      </c>
      <c r="J106" t="n">
        <v>0</v>
      </c>
      <c r="K106" t="n">
        <v>0</v>
      </c>
      <c r="L106" t="n">
        <v>4</v>
      </c>
      <c r="M106" t="n">
        <v>1</v>
      </c>
      <c r="N106" t="n">
        <v>3</v>
      </c>
      <c r="O106" t="n">
        <v>3</v>
      </c>
      <c r="P106" t="n">
        <v>3</v>
      </c>
      <c r="Q106" t="n">
        <v>3</v>
      </c>
      <c r="R106" t="n">
        <v>458</v>
      </c>
      <c r="S106" t="n">
        <v>438</v>
      </c>
      <c r="T106" t="n">
        <v>298</v>
      </c>
      <c r="U106" t="n">
        <v>348</v>
      </c>
      <c r="V106" t="n">
        <v>312</v>
      </c>
      <c r="W106" t="n">
        <v>312</v>
      </c>
      <c r="X106" t="n">
        <v>0</v>
      </c>
      <c r="Y106" t="n">
        <v>4</v>
      </c>
      <c r="Z106" t="n">
        <v>459</v>
      </c>
    </row>
    <row r="107">
      <c r="A107" t="inlineStr">
        <is>
          <t>2025-11-04 06:48:19.638475+00:00</t>
        </is>
      </c>
      <c r="B107" t="inlineStr">
        <is>
          <t>Line Dom</t>
        </is>
      </c>
      <c r="C107" t="inlineStr">
        <is>
          <t>PLN</t>
        </is>
      </c>
      <c r="D107" t="inlineStr">
        <is>
          <t>UA</t>
        </is>
      </c>
      <c r="E107" t="inlineStr">
        <is>
          <t>Express</t>
        </is>
      </c>
      <c r="F107" t="n">
        <v>0</v>
      </c>
      <c r="G107" t="n">
        <v>0</v>
      </c>
      <c r="H107" t="n">
        <v>0</v>
      </c>
      <c r="I107" t="n">
        <v>0</v>
      </c>
      <c r="J107" t="n">
        <v>0</v>
      </c>
      <c r="K107" t="n">
        <v>0</v>
      </c>
      <c r="L107" t="n">
        <v>0</v>
      </c>
      <c r="M107" t="n">
        <v>0</v>
      </c>
      <c r="N107" t="n">
        <v>0</v>
      </c>
      <c r="O107" t="n">
        <v>0</v>
      </c>
      <c r="P107" t="n">
        <v>0</v>
      </c>
      <c r="Q107" t="n">
        <v>0</v>
      </c>
      <c r="R107" t="n">
        <v>253</v>
      </c>
      <c r="S107" t="n">
        <v>251</v>
      </c>
      <c r="T107" t="n">
        <v>137</v>
      </c>
      <c r="U107" t="n">
        <v>182</v>
      </c>
      <c r="V107" t="n">
        <v>159</v>
      </c>
      <c r="W107" t="n">
        <v>159</v>
      </c>
      <c r="X107" t="n">
        <v>0</v>
      </c>
      <c r="Y107" t="n">
        <v>0</v>
      </c>
      <c r="Z107" t="n">
        <v>253</v>
      </c>
    </row>
    <row r="108">
      <c r="A108" t="inlineStr">
        <is>
          <t>2025-11-04 06:48:19.638475+00:00</t>
        </is>
      </c>
      <c r="B108" t="inlineStr">
        <is>
          <t>Line Dom</t>
        </is>
      </c>
      <c r="C108" t="inlineStr">
        <is>
          <t>RDU</t>
        </is>
      </c>
      <c r="D108" t="inlineStr">
        <is>
          <t>UA</t>
        </is>
      </c>
      <c r="E108" t="inlineStr">
        <is>
          <t>Express</t>
        </is>
      </c>
      <c r="F108" t="n">
        <v>0</v>
      </c>
      <c r="G108" t="n">
        <v>0</v>
      </c>
      <c r="H108" t="n">
        <v>0</v>
      </c>
      <c r="I108" t="n">
        <v>0</v>
      </c>
      <c r="J108" t="n">
        <v>0</v>
      </c>
      <c r="K108" t="n">
        <v>0</v>
      </c>
      <c r="L108" t="n">
        <v>5</v>
      </c>
      <c r="M108" t="n">
        <v>0</v>
      </c>
      <c r="N108" t="n">
        <v>4</v>
      </c>
      <c r="O108" t="n">
        <v>5</v>
      </c>
      <c r="P108" t="n">
        <v>4</v>
      </c>
      <c r="Q108" t="n">
        <v>4</v>
      </c>
      <c r="R108" t="n">
        <v>1317</v>
      </c>
      <c r="S108" t="n">
        <v>1277</v>
      </c>
      <c r="T108" t="n">
        <v>889</v>
      </c>
      <c r="U108" t="n">
        <v>1046</v>
      </c>
      <c r="V108" t="n">
        <v>972</v>
      </c>
      <c r="W108" t="n">
        <v>973</v>
      </c>
      <c r="X108" t="n">
        <v>0</v>
      </c>
      <c r="Y108" t="n">
        <v>5</v>
      </c>
      <c r="Z108" t="n">
        <v>1317</v>
      </c>
    </row>
    <row r="109">
      <c r="A109" t="inlineStr">
        <is>
          <t>2025-11-04 06:48:19.638475+00:00</t>
        </is>
      </c>
      <c r="B109" t="inlineStr">
        <is>
          <t>Line Dom</t>
        </is>
      </c>
      <c r="C109" t="inlineStr">
        <is>
          <t>DTW</t>
        </is>
      </c>
      <c r="D109" t="inlineStr">
        <is>
          <t>UA</t>
        </is>
      </c>
      <c r="E109" t="inlineStr">
        <is>
          <t>Express</t>
        </is>
      </c>
      <c r="F109" t="n">
        <v>0</v>
      </c>
      <c r="G109" t="n">
        <v>0</v>
      </c>
      <c r="H109" t="n">
        <v>0</v>
      </c>
      <c r="I109" t="n">
        <v>0</v>
      </c>
      <c r="J109" t="n">
        <v>0</v>
      </c>
      <c r="K109" t="n">
        <v>0</v>
      </c>
      <c r="L109" t="n">
        <v>24</v>
      </c>
      <c r="M109" t="n">
        <v>2</v>
      </c>
      <c r="N109" t="n">
        <v>11</v>
      </c>
      <c r="O109" t="n">
        <v>17</v>
      </c>
      <c r="P109" t="n">
        <v>15</v>
      </c>
      <c r="Q109" t="n">
        <v>15</v>
      </c>
      <c r="R109" t="n">
        <v>3700</v>
      </c>
      <c r="S109" t="n">
        <v>3609</v>
      </c>
      <c r="T109" t="n">
        <v>2433</v>
      </c>
      <c r="U109" t="n">
        <v>2903</v>
      </c>
      <c r="V109" t="n">
        <v>2753</v>
      </c>
      <c r="W109" t="n">
        <v>2753</v>
      </c>
      <c r="X109" t="n">
        <v>0</v>
      </c>
      <c r="Y109" t="n">
        <v>25</v>
      </c>
      <c r="Z109" t="n">
        <v>3701</v>
      </c>
    </row>
    <row r="110">
      <c r="A110" t="inlineStr">
        <is>
          <t>2025-11-04 06:48:19.638475+00:00</t>
        </is>
      </c>
      <c r="B110" t="inlineStr">
        <is>
          <t>Line Dom</t>
        </is>
      </c>
      <c r="C110" t="inlineStr">
        <is>
          <t>CID</t>
        </is>
      </c>
      <c r="D110" t="inlineStr">
        <is>
          <t>UA</t>
        </is>
      </c>
      <c r="E110" t="inlineStr">
        <is>
          <t>Express</t>
        </is>
      </c>
      <c r="F110" t="n">
        <v>0</v>
      </c>
      <c r="G110" t="n">
        <v>0</v>
      </c>
      <c r="H110" t="n">
        <v>0</v>
      </c>
      <c r="I110" t="n">
        <v>0</v>
      </c>
      <c r="J110" t="n">
        <v>0</v>
      </c>
      <c r="K110" t="n">
        <v>0</v>
      </c>
      <c r="L110" t="n">
        <v>10</v>
      </c>
      <c r="M110" t="n">
        <v>0</v>
      </c>
      <c r="N110" t="n">
        <v>8</v>
      </c>
      <c r="O110" t="n">
        <v>9</v>
      </c>
      <c r="P110" t="n">
        <v>9</v>
      </c>
      <c r="Q110" t="n">
        <v>9</v>
      </c>
      <c r="R110" t="n">
        <v>1198</v>
      </c>
      <c r="S110" t="n">
        <v>1182</v>
      </c>
      <c r="T110" t="n">
        <v>729</v>
      </c>
      <c r="U110" t="n">
        <v>897</v>
      </c>
      <c r="V110" t="n">
        <v>778</v>
      </c>
      <c r="W110" t="n">
        <v>778</v>
      </c>
      <c r="X110" t="n">
        <v>0</v>
      </c>
      <c r="Y110" t="n">
        <v>10</v>
      </c>
      <c r="Z110" t="n">
        <v>1198</v>
      </c>
    </row>
    <row r="111">
      <c r="A111" t="inlineStr">
        <is>
          <t>2025-11-04 06:48:19.638475+00:00</t>
        </is>
      </c>
      <c r="B111" t="inlineStr">
        <is>
          <t>Line Dom</t>
        </is>
      </c>
      <c r="C111" t="inlineStr">
        <is>
          <t>MEM</t>
        </is>
      </c>
      <c r="D111" t="inlineStr">
        <is>
          <t>UA</t>
        </is>
      </c>
      <c r="E111" t="inlineStr">
        <is>
          <t>Express</t>
        </is>
      </c>
      <c r="F111" t="n">
        <v>0</v>
      </c>
      <c r="G111" t="n">
        <v>0</v>
      </c>
      <c r="H111" t="n">
        <v>0</v>
      </c>
      <c r="I111" t="n">
        <v>0</v>
      </c>
      <c r="J111" t="n">
        <v>0</v>
      </c>
      <c r="K111" t="n">
        <v>0</v>
      </c>
      <c r="L111" t="n">
        <v>18</v>
      </c>
      <c r="M111" t="n">
        <v>1</v>
      </c>
      <c r="N111" t="n">
        <v>10</v>
      </c>
      <c r="O111" t="n">
        <v>14</v>
      </c>
      <c r="P111" t="n">
        <v>10</v>
      </c>
      <c r="Q111" t="n">
        <v>10</v>
      </c>
      <c r="R111" t="n">
        <v>2169</v>
      </c>
      <c r="S111" t="n">
        <v>2125</v>
      </c>
      <c r="T111" t="n">
        <v>1407</v>
      </c>
      <c r="U111" t="n">
        <v>1672</v>
      </c>
      <c r="V111" t="n">
        <v>1433</v>
      </c>
      <c r="W111" t="n">
        <v>1433</v>
      </c>
      <c r="X111" t="n">
        <v>0</v>
      </c>
      <c r="Y111" t="n">
        <v>18</v>
      </c>
      <c r="Z111" t="n">
        <v>2171</v>
      </c>
    </row>
    <row r="112">
      <c r="A112" t="inlineStr">
        <is>
          <t>2025-11-04 06:48:19.638475+00:00</t>
        </is>
      </c>
      <c r="B112" t="inlineStr">
        <is>
          <t>Line Int</t>
        </is>
      </c>
      <c r="C112" t="inlineStr">
        <is>
          <t>AGU</t>
        </is>
      </c>
      <c r="D112" t="inlineStr">
        <is>
          <t>UA</t>
        </is>
      </c>
      <c r="E112" t="inlineStr">
        <is>
          <t>Express</t>
        </is>
      </c>
      <c r="F112" t="n">
        <v>0</v>
      </c>
      <c r="G112" t="n">
        <v>0</v>
      </c>
      <c r="H112" t="n">
        <v>0</v>
      </c>
      <c r="I112" t="n">
        <v>0</v>
      </c>
      <c r="J112" t="n">
        <v>0</v>
      </c>
      <c r="K112" t="n">
        <v>0</v>
      </c>
      <c r="L112" t="n">
        <v>4</v>
      </c>
      <c r="M112" t="n">
        <v>0</v>
      </c>
      <c r="N112" t="n">
        <v>4</v>
      </c>
      <c r="O112" t="n">
        <v>4</v>
      </c>
      <c r="P112" t="n">
        <v>4</v>
      </c>
      <c r="Q112" t="n">
        <v>4</v>
      </c>
      <c r="R112" t="n">
        <v>612</v>
      </c>
      <c r="S112" t="n">
        <v>607</v>
      </c>
      <c r="T112" t="n">
        <v>403</v>
      </c>
      <c r="U112" t="n">
        <v>484</v>
      </c>
      <c r="V112" t="n">
        <v>516</v>
      </c>
      <c r="W112" t="n">
        <v>516</v>
      </c>
      <c r="X112" t="n">
        <v>0</v>
      </c>
      <c r="Y112" t="n">
        <v>4</v>
      </c>
      <c r="Z112" t="n">
        <v>612</v>
      </c>
    </row>
    <row r="113">
      <c r="A113" t="inlineStr">
        <is>
          <t>2025-11-04 06:48:19.638475+00:00</t>
        </is>
      </c>
      <c r="B113" t="inlineStr">
        <is>
          <t>Line Dom</t>
        </is>
      </c>
      <c r="C113" t="inlineStr">
        <is>
          <t>BWI</t>
        </is>
      </c>
      <c r="D113" t="inlineStr">
        <is>
          <t>UA</t>
        </is>
      </c>
      <c r="E113" t="inlineStr">
        <is>
          <t>Express</t>
        </is>
      </c>
      <c r="F113" t="n">
        <v>0</v>
      </c>
      <c r="G113" t="n">
        <v>0</v>
      </c>
      <c r="H113" t="n">
        <v>0</v>
      </c>
      <c r="I113" t="n">
        <v>0</v>
      </c>
      <c r="J113" t="n">
        <v>0</v>
      </c>
      <c r="K113" t="n">
        <v>0</v>
      </c>
      <c r="L113" t="n">
        <v>0</v>
      </c>
      <c r="M113" t="n">
        <v>0</v>
      </c>
      <c r="N113" t="n">
        <v>0</v>
      </c>
      <c r="O113" t="n">
        <v>0</v>
      </c>
      <c r="P113" t="n">
        <v>0</v>
      </c>
      <c r="Q113" t="n">
        <v>0</v>
      </c>
      <c r="R113" t="n">
        <v>235</v>
      </c>
      <c r="S113" t="n">
        <v>234</v>
      </c>
      <c r="T113" t="n">
        <v>157</v>
      </c>
      <c r="U113" t="n">
        <v>189</v>
      </c>
      <c r="V113" t="n">
        <v>170</v>
      </c>
      <c r="W113" t="n">
        <v>170</v>
      </c>
      <c r="X113" t="n">
        <v>0</v>
      </c>
      <c r="Y113" t="n">
        <v>0</v>
      </c>
      <c r="Z113" t="n">
        <v>235</v>
      </c>
    </row>
    <row r="114">
      <c r="A114" t="inlineStr">
        <is>
          <t>2025-11-04 06:48:19.638475+00:00</t>
        </is>
      </c>
      <c r="B114" t="inlineStr">
        <is>
          <t>Line Dom</t>
        </is>
      </c>
      <c r="C114" t="inlineStr">
        <is>
          <t>BZN</t>
        </is>
      </c>
      <c r="D114" t="inlineStr">
        <is>
          <t>UA</t>
        </is>
      </c>
      <c r="E114" t="inlineStr">
        <is>
          <t>Express</t>
        </is>
      </c>
      <c r="F114" t="n">
        <v>0</v>
      </c>
      <c r="G114" t="n">
        <v>0</v>
      </c>
      <c r="H114" t="n">
        <v>0</v>
      </c>
      <c r="I114" t="n">
        <v>0</v>
      </c>
      <c r="J114" t="n">
        <v>0</v>
      </c>
      <c r="K114" t="n">
        <v>0</v>
      </c>
      <c r="L114" t="n">
        <v>4</v>
      </c>
      <c r="M114" t="n">
        <v>0</v>
      </c>
      <c r="N114" t="n">
        <v>3</v>
      </c>
      <c r="O114" t="n">
        <v>4</v>
      </c>
      <c r="P114" t="n">
        <v>3</v>
      </c>
      <c r="Q114" t="n">
        <v>3</v>
      </c>
      <c r="R114" t="n">
        <v>805</v>
      </c>
      <c r="S114" t="n">
        <v>799</v>
      </c>
      <c r="T114" t="n">
        <v>562</v>
      </c>
      <c r="U114" t="n">
        <v>677</v>
      </c>
      <c r="V114" t="n">
        <v>622</v>
      </c>
      <c r="W114" t="n">
        <v>622</v>
      </c>
      <c r="X114" t="n">
        <v>0</v>
      </c>
      <c r="Y114" t="n">
        <v>4</v>
      </c>
      <c r="Z114" t="n">
        <v>804</v>
      </c>
    </row>
    <row r="115">
      <c r="A115" t="inlineStr">
        <is>
          <t>2025-11-04 06:48:19.638475+00:00</t>
        </is>
      </c>
      <c r="B115" t="inlineStr">
        <is>
          <t>Line Dom</t>
        </is>
      </c>
      <c r="C115" t="inlineStr">
        <is>
          <t>MSO</t>
        </is>
      </c>
      <c r="D115" t="inlineStr">
        <is>
          <t>UA</t>
        </is>
      </c>
      <c r="E115" t="inlineStr">
        <is>
          <t>Express</t>
        </is>
      </c>
      <c r="F115" t="n">
        <v>0</v>
      </c>
      <c r="G115" t="n">
        <v>0</v>
      </c>
      <c r="H115" t="n">
        <v>0</v>
      </c>
      <c r="I115" t="n">
        <v>0</v>
      </c>
      <c r="J115" t="n">
        <v>0</v>
      </c>
      <c r="K115" t="n">
        <v>0</v>
      </c>
      <c r="L115" t="n">
        <v>2</v>
      </c>
      <c r="M115" t="n">
        <v>0</v>
      </c>
      <c r="N115" t="n">
        <v>2</v>
      </c>
      <c r="O115" t="n">
        <v>2</v>
      </c>
      <c r="P115" t="n">
        <v>2</v>
      </c>
      <c r="Q115" t="n">
        <v>2</v>
      </c>
      <c r="R115" t="n">
        <v>559</v>
      </c>
      <c r="S115" t="n">
        <v>555</v>
      </c>
      <c r="T115" t="n">
        <v>352</v>
      </c>
      <c r="U115" t="n">
        <v>463</v>
      </c>
      <c r="V115" t="n">
        <v>368</v>
      </c>
      <c r="W115" t="n">
        <v>368</v>
      </c>
      <c r="X115" t="n">
        <v>0</v>
      </c>
      <c r="Y115" t="n">
        <v>2</v>
      </c>
      <c r="Z115" t="n">
        <v>559</v>
      </c>
    </row>
    <row r="116">
      <c r="A116" t="inlineStr">
        <is>
          <t>2025-11-04 06:48:19.638475+00:00</t>
        </is>
      </c>
      <c r="B116" t="inlineStr">
        <is>
          <t>Line Dom</t>
        </is>
      </c>
      <c r="C116" t="inlineStr">
        <is>
          <t>LEX</t>
        </is>
      </c>
      <c r="D116" t="inlineStr">
        <is>
          <t>UA</t>
        </is>
      </c>
      <c r="E116" t="inlineStr">
        <is>
          <t>Express</t>
        </is>
      </c>
      <c r="F116" t="n">
        <v>0</v>
      </c>
      <c r="G116" t="n">
        <v>0</v>
      </c>
      <c r="H116" t="n">
        <v>0</v>
      </c>
      <c r="I116" t="n">
        <v>0</v>
      </c>
      <c r="J116" t="n">
        <v>0</v>
      </c>
      <c r="K116" t="n">
        <v>0</v>
      </c>
      <c r="L116" t="n">
        <v>10</v>
      </c>
      <c r="M116" t="n">
        <v>0</v>
      </c>
      <c r="N116" t="n">
        <v>4</v>
      </c>
      <c r="O116" t="n">
        <v>8</v>
      </c>
      <c r="P116" t="n">
        <v>8</v>
      </c>
      <c r="Q116" t="n">
        <v>8</v>
      </c>
      <c r="R116" t="n">
        <v>1494</v>
      </c>
      <c r="S116" t="n">
        <v>1481</v>
      </c>
      <c r="T116" t="n">
        <v>877</v>
      </c>
      <c r="U116" t="n">
        <v>1112</v>
      </c>
      <c r="V116" t="n">
        <v>1075</v>
      </c>
      <c r="W116" t="n">
        <v>1075</v>
      </c>
      <c r="X116" t="n">
        <v>0</v>
      </c>
      <c r="Y116" t="n">
        <v>10</v>
      </c>
      <c r="Z116" t="n">
        <v>1495</v>
      </c>
    </row>
    <row r="117">
      <c r="A117" t="inlineStr">
        <is>
          <t>2025-11-04 06:48:19.638475+00:00</t>
        </is>
      </c>
      <c r="B117" t="inlineStr">
        <is>
          <t>Line Dom</t>
        </is>
      </c>
      <c r="C117" t="inlineStr">
        <is>
          <t>DFW</t>
        </is>
      </c>
      <c r="D117" t="inlineStr">
        <is>
          <t>UA</t>
        </is>
      </c>
      <c r="E117" t="inlineStr">
        <is>
          <t>Express</t>
        </is>
      </c>
      <c r="F117" t="n">
        <v>0</v>
      </c>
      <c r="G117" t="n">
        <v>0</v>
      </c>
      <c r="H117" t="n">
        <v>0</v>
      </c>
      <c r="I117" t="n">
        <v>0</v>
      </c>
      <c r="J117" t="n">
        <v>0</v>
      </c>
      <c r="K117" t="n">
        <v>0</v>
      </c>
      <c r="L117" t="n">
        <v>6</v>
      </c>
      <c r="M117" t="n">
        <v>0</v>
      </c>
      <c r="N117" t="n">
        <v>4</v>
      </c>
      <c r="O117" t="n">
        <v>5</v>
      </c>
      <c r="P117" t="n">
        <v>4</v>
      </c>
      <c r="Q117" t="n">
        <v>4</v>
      </c>
      <c r="R117" t="n">
        <v>710</v>
      </c>
      <c r="S117" t="n">
        <v>688</v>
      </c>
      <c r="T117" t="n">
        <v>443</v>
      </c>
      <c r="U117" t="n">
        <v>534</v>
      </c>
      <c r="V117" t="n">
        <v>484</v>
      </c>
      <c r="W117" t="n">
        <v>484</v>
      </c>
      <c r="X117" t="n">
        <v>0</v>
      </c>
      <c r="Y117" t="n">
        <v>6</v>
      </c>
      <c r="Z117" t="n">
        <v>708</v>
      </c>
    </row>
    <row r="118">
      <c r="A118" t="inlineStr">
        <is>
          <t>2025-11-04 06:48:19.638475+00:00</t>
        </is>
      </c>
      <c r="B118" t="inlineStr">
        <is>
          <t>Line Dom</t>
        </is>
      </c>
      <c r="C118" t="inlineStr">
        <is>
          <t>BIS</t>
        </is>
      </c>
      <c r="D118" t="inlineStr">
        <is>
          <t>UA</t>
        </is>
      </c>
      <c r="E118" t="inlineStr">
        <is>
          <t>Express</t>
        </is>
      </c>
      <c r="F118" t="n">
        <v>0</v>
      </c>
      <c r="G118" t="n">
        <v>0</v>
      </c>
      <c r="H118" t="n">
        <v>0</v>
      </c>
      <c r="I118" t="n">
        <v>0</v>
      </c>
      <c r="J118" t="n">
        <v>0</v>
      </c>
      <c r="K118" t="n">
        <v>0</v>
      </c>
      <c r="L118" t="n">
        <v>7</v>
      </c>
      <c r="M118" t="n">
        <v>0</v>
      </c>
      <c r="N118" t="n">
        <v>4</v>
      </c>
      <c r="O118" t="n">
        <v>6</v>
      </c>
      <c r="P118" t="n">
        <v>5</v>
      </c>
      <c r="Q118" t="n">
        <v>5</v>
      </c>
      <c r="R118" t="n">
        <v>1334</v>
      </c>
      <c r="S118" t="n">
        <v>1322</v>
      </c>
      <c r="T118" t="n">
        <v>755</v>
      </c>
      <c r="U118" t="n">
        <v>951</v>
      </c>
      <c r="V118" t="n">
        <v>857</v>
      </c>
      <c r="W118" t="n">
        <v>857</v>
      </c>
      <c r="X118" t="n">
        <v>0</v>
      </c>
      <c r="Y118" t="n">
        <v>7</v>
      </c>
      <c r="Z118" t="n">
        <v>1334</v>
      </c>
    </row>
    <row r="119">
      <c r="A119" t="inlineStr">
        <is>
          <t>2025-11-04 06:48:19.638475+00:00</t>
        </is>
      </c>
      <c r="B119" t="inlineStr">
        <is>
          <t>Line Dom</t>
        </is>
      </c>
      <c r="C119" t="inlineStr">
        <is>
          <t>BIL</t>
        </is>
      </c>
      <c r="D119" t="inlineStr">
        <is>
          <t>UA</t>
        </is>
      </c>
      <c r="E119" t="inlineStr">
        <is>
          <t>Express</t>
        </is>
      </c>
      <c r="F119" t="n">
        <v>0</v>
      </c>
      <c r="G119" t="n">
        <v>0</v>
      </c>
      <c r="H119" t="n">
        <v>0</v>
      </c>
      <c r="I119" t="n">
        <v>0</v>
      </c>
      <c r="J119" t="n">
        <v>0</v>
      </c>
      <c r="K119" t="n">
        <v>0</v>
      </c>
      <c r="L119" t="n">
        <v>6</v>
      </c>
      <c r="M119" t="n">
        <v>0</v>
      </c>
      <c r="N119" t="n">
        <v>4</v>
      </c>
      <c r="O119" t="n">
        <v>4</v>
      </c>
      <c r="P119" t="n">
        <v>5</v>
      </c>
      <c r="Q119" t="n">
        <v>5</v>
      </c>
      <c r="R119" t="n">
        <v>1097</v>
      </c>
      <c r="S119" t="n">
        <v>1084</v>
      </c>
      <c r="T119" t="n">
        <v>610</v>
      </c>
      <c r="U119" t="n">
        <v>831</v>
      </c>
      <c r="V119" t="n">
        <v>817</v>
      </c>
      <c r="W119" t="n">
        <v>817</v>
      </c>
      <c r="X119" t="n">
        <v>0</v>
      </c>
      <c r="Y119" t="n">
        <v>6</v>
      </c>
      <c r="Z119" t="n">
        <v>1098</v>
      </c>
    </row>
    <row r="120">
      <c r="A120" t="inlineStr">
        <is>
          <t>2025-11-04 06:48:19.638475+00:00</t>
        </is>
      </c>
      <c r="B120" t="inlineStr">
        <is>
          <t>Line Dom</t>
        </is>
      </c>
      <c r="C120" t="inlineStr">
        <is>
          <t>ALB</t>
        </is>
      </c>
      <c r="D120" t="inlineStr">
        <is>
          <t>UA</t>
        </is>
      </c>
      <c r="E120" t="inlineStr">
        <is>
          <t>Express</t>
        </is>
      </c>
      <c r="F120" t="n">
        <v>0</v>
      </c>
      <c r="G120" t="n">
        <v>0</v>
      </c>
      <c r="H120" t="n">
        <v>0</v>
      </c>
      <c r="I120" t="n">
        <v>0</v>
      </c>
      <c r="J120" t="n">
        <v>0</v>
      </c>
      <c r="K120" t="n">
        <v>0</v>
      </c>
      <c r="L120" t="n">
        <v>13</v>
      </c>
      <c r="M120" t="n">
        <v>0</v>
      </c>
      <c r="N120" t="n">
        <v>6</v>
      </c>
      <c r="O120" t="n">
        <v>9</v>
      </c>
      <c r="P120" t="n">
        <v>10</v>
      </c>
      <c r="Q120" t="n">
        <v>10</v>
      </c>
      <c r="R120" t="n">
        <v>1810</v>
      </c>
      <c r="S120" t="n">
        <v>1776</v>
      </c>
      <c r="T120" t="n">
        <v>1093</v>
      </c>
      <c r="U120" t="n">
        <v>1364</v>
      </c>
      <c r="V120" t="n">
        <v>1193</v>
      </c>
      <c r="W120" t="n">
        <v>1193</v>
      </c>
      <c r="X120" t="n">
        <v>0</v>
      </c>
      <c r="Y120" t="n">
        <v>13</v>
      </c>
      <c r="Z120" t="n">
        <v>1809</v>
      </c>
    </row>
    <row r="121">
      <c r="A121" t="inlineStr">
        <is>
          <t>2025-11-04 06:48:19.638475+00:00</t>
        </is>
      </c>
      <c r="B121" t="inlineStr">
        <is>
          <t>Line Dom</t>
        </is>
      </c>
      <c r="C121" t="inlineStr">
        <is>
          <t>SMF</t>
        </is>
      </c>
      <c r="D121" t="inlineStr">
        <is>
          <t>UA</t>
        </is>
      </c>
      <c r="E121" t="inlineStr">
        <is>
          <t>Express</t>
        </is>
      </c>
      <c r="F121" t="n">
        <v>0</v>
      </c>
      <c r="G121" t="n">
        <v>0</v>
      </c>
      <c r="H121" t="n">
        <v>0</v>
      </c>
      <c r="I121" t="n">
        <v>0</v>
      </c>
      <c r="J121" t="n">
        <v>0</v>
      </c>
      <c r="K121" t="n">
        <v>0</v>
      </c>
      <c r="L121" t="n">
        <v>12</v>
      </c>
      <c r="M121" t="n">
        <v>0</v>
      </c>
      <c r="N121" t="n">
        <v>8</v>
      </c>
      <c r="O121" t="n">
        <v>9</v>
      </c>
      <c r="P121" t="n">
        <v>10</v>
      </c>
      <c r="Q121" t="n">
        <v>10</v>
      </c>
      <c r="R121" t="n">
        <v>1855</v>
      </c>
      <c r="S121" t="n">
        <v>1847</v>
      </c>
      <c r="T121" t="n">
        <v>1278</v>
      </c>
      <c r="U121" t="n">
        <v>1601</v>
      </c>
      <c r="V121" t="n">
        <v>1517</v>
      </c>
      <c r="W121" t="n">
        <v>1517</v>
      </c>
      <c r="X121" t="n">
        <v>0</v>
      </c>
      <c r="Y121" t="n">
        <v>11</v>
      </c>
      <c r="Z121" t="n">
        <v>1854</v>
      </c>
    </row>
    <row r="122">
      <c r="A122" t="inlineStr">
        <is>
          <t>2025-11-04 06:48:19.638475+00:00</t>
        </is>
      </c>
      <c r="B122" t="inlineStr">
        <is>
          <t>Line Dom</t>
        </is>
      </c>
      <c r="C122" t="inlineStr">
        <is>
          <t>GRB</t>
        </is>
      </c>
      <c r="D122" t="inlineStr">
        <is>
          <t>UA</t>
        </is>
      </c>
      <c r="E122" t="inlineStr">
        <is>
          <t>Express</t>
        </is>
      </c>
      <c r="F122" t="n">
        <v>0</v>
      </c>
      <c r="G122" t="n">
        <v>0</v>
      </c>
      <c r="H122" t="n">
        <v>0</v>
      </c>
      <c r="I122" t="n">
        <v>0</v>
      </c>
      <c r="J122" t="n">
        <v>0</v>
      </c>
      <c r="K122" t="n">
        <v>0</v>
      </c>
      <c r="L122" t="n">
        <v>12</v>
      </c>
      <c r="M122" t="n">
        <v>0</v>
      </c>
      <c r="N122" t="n">
        <v>6</v>
      </c>
      <c r="O122" t="n">
        <v>9</v>
      </c>
      <c r="P122" t="n">
        <v>11</v>
      </c>
      <c r="Q122" t="n">
        <v>11</v>
      </c>
      <c r="R122" t="n">
        <v>1684</v>
      </c>
      <c r="S122" t="n">
        <v>1672</v>
      </c>
      <c r="T122" t="n">
        <v>974</v>
      </c>
      <c r="U122" t="n">
        <v>1215</v>
      </c>
      <c r="V122" t="n">
        <v>1201</v>
      </c>
      <c r="W122" t="n">
        <v>1201</v>
      </c>
      <c r="X122" t="n">
        <v>0</v>
      </c>
      <c r="Y122" t="n">
        <v>12</v>
      </c>
      <c r="Z122" t="n">
        <v>1684</v>
      </c>
    </row>
    <row r="123">
      <c r="A123" t="inlineStr">
        <is>
          <t>2025-11-04 06:48:19.638475+00:00</t>
        </is>
      </c>
      <c r="B123" t="inlineStr">
        <is>
          <t>Line Dom</t>
        </is>
      </c>
      <c r="C123" t="inlineStr">
        <is>
          <t>IND</t>
        </is>
      </c>
      <c r="D123" t="inlineStr">
        <is>
          <t>UA</t>
        </is>
      </c>
      <c r="E123" t="inlineStr">
        <is>
          <t>Express</t>
        </is>
      </c>
      <c r="F123" t="n">
        <v>0</v>
      </c>
      <c r="G123" t="n">
        <v>0</v>
      </c>
      <c r="H123" t="n">
        <v>0</v>
      </c>
      <c r="I123" t="n">
        <v>0</v>
      </c>
      <c r="J123" t="n">
        <v>0</v>
      </c>
      <c r="K123" t="n">
        <v>0</v>
      </c>
      <c r="L123" t="n">
        <v>31</v>
      </c>
      <c r="M123" t="n">
        <v>1</v>
      </c>
      <c r="N123" t="n">
        <v>20</v>
      </c>
      <c r="O123" t="n">
        <v>26</v>
      </c>
      <c r="P123" t="n">
        <v>26</v>
      </c>
      <c r="Q123" t="n">
        <v>26</v>
      </c>
      <c r="R123" t="n">
        <v>5122</v>
      </c>
      <c r="S123" t="n">
        <v>5009</v>
      </c>
      <c r="T123" t="n">
        <v>3462</v>
      </c>
      <c r="U123" t="n">
        <v>4119</v>
      </c>
      <c r="V123" t="n">
        <v>4006</v>
      </c>
      <c r="W123" t="n">
        <v>4006</v>
      </c>
      <c r="X123" t="n">
        <v>0</v>
      </c>
      <c r="Y123" t="n">
        <v>31</v>
      </c>
      <c r="Z123" t="n">
        <v>5119</v>
      </c>
    </row>
    <row r="124">
      <c r="A124" t="inlineStr">
        <is>
          <t>2025-11-04 06:48:19.638475+00:00</t>
        </is>
      </c>
      <c r="B124" t="inlineStr">
        <is>
          <t>Line Dom</t>
        </is>
      </c>
      <c r="C124" t="inlineStr">
        <is>
          <t>PVD</t>
        </is>
      </c>
      <c r="D124" t="inlineStr">
        <is>
          <t>UA</t>
        </is>
      </c>
      <c r="E124" t="inlineStr">
        <is>
          <t>Express</t>
        </is>
      </c>
      <c r="F124" t="n">
        <v>0</v>
      </c>
      <c r="G124" t="n">
        <v>0</v>
      </c>
      <c r="H124" t="n">
        <v>0</v>
      </c>
      <c r="I124" t="n">
        <v>0</v>
      </c>
      <c r="J124" t="n">
        <v>0</v>
      </c>
      <c r="K124" t="n">
        <v>0</v>
      </c>
      <c r="L124" t="n">
        <v>9</v>
      </c>
      <c r="M124" t="n">
        <v>0</v>
      </c>
      <c r="N124" t="n">
        <v>4</v>
      </c>
      <c r="O124" t="n">
        <v>6</v>
      </c>
      <c r="P124" t="n">
        <v>8</v>
      </c>
      <c r="Q124" t="n">
        <v>8</v>
      </c>
      <c r="R124" t="n">
        <v>1487</v>
      </c>
      <c r="S124" t="n">
        <v>1462</v>
      </c>
      <c r="T124" t="n">
        <v>876</v>
      </c>
      <c r="U124" t="n">
        <v>1125</v>
      </c>
      <c r="V124" t="n">
        <v>1105</v>
      </c>
      <c r="W124" t="n">
        <v>1105</v>
      </c>
      <c r="X124" t="n">
        <v>0</v>
      </c>
      <c r="Y124" t="n">
        <v>9</v>
      </c>
      <c r="Z124" t="n">
        <v>1486</v>
      </c>
    </row>
    <row r="125">
      <c r="A125" t="inlineStr">
        <is>
          <t>2025-11-04 06:48:19.638475+00:00</t>
        </is>
      </c>
      <c r="B125" t="inlineStr">
        <is>
          <t>Line Dom</t>
        </is>
      </c>
      <c r="C125" t="inlineStr">
        <is>
          <t>PIT</t>
        </is>
      </c>
      <c r="D125" t="inlineStr">
        <is>
          <t>UA</t>
        </is>
      </c>
      <c r="E125" t="inlineStr">
        <is>
          <t>Express</t>
        </is>
      </c>
      <c r="F125" t="n">
        <v>0</v>
      </c>
      <c r="G125" t="n">
        <v>0</v>
      </c>
      <c r="H125" t="n">
        <v>0</v>
      </c>
      <c r="I125" t="n">
        <v>0</v>
      </c>
      <c r="J125" t="n">
        <v>0</v>
      </c>
      <c r="K125" t="n">
        <v>0</v>
      </c>
      <c r="L125" t="n">
        <v>25</v>
      </c>
      <c r="M125" t="n">
        <v>2</v>
      </c>
      <c r="N125" t="n">
        <v>16</v>
      </c>
      <c r="O125" t="n">
        <v>19</v>
      </c>
      <c r="P125" t="n">
        <v>19</v>
      </c>
      <c r="Q125" t="n">
        <v>19</v>
      </c>
      <c r="R125" t="n">
        <v>3954</v>
      </c>
      <c r="S125" t="n">
        <v>3865</v>
      </c>
      <c r="T125" t="n">
        <v>2645</v>
      </c>
      <c r="U125" t="n">
        <v>3135</v>
      </c>
      <c r="V125" t="n">
        <v>3176</v>
      </c>
      <c r="W125" t="n">
        <v>3179</v>
      </c>
      <c r="X125" t="n">
        <v>0</v>
      </c>
      <c r="Y125" t="n">
        <v>25</v>
      </c>
      <c r="Z125" t="n">
        <v>3947</v>
      </c>
    </row>
    <row r="126">
      <c r="A126" t="inlineStr">
        <is>
          <t>2025-11-04 06:48:19.638475+00:00</t>
        </is>
      </c>
      <c r="B126" t="inlineStr">
        <is>
          <t>Line Dom</t>
        </is>
      </c>
      <c r="C126" t="inlineStr">
        <is>
          <t>CVG</t>
        </is>
      </c>
      <c r="D126" t="inlineStr">
        <is>
          <t>UA</t>
        </is>
      </c>
      <c r="E126" t="inlineStr">
        <is>
          <t>Express</t>
        </is>
      </c>
      <c r="F126" t="n">
        <v>0</v>
      </c>
      <c r="G126" t="n">
        <v>0</v>
      </c>
      <c r="H126" t="n">
        <v>0</v>
      </c>
      <c r="I126" t="n">
        <v>0</v>
      </c>
      <c r="J126" t="n">
        <v>0</v>
      </c>
      <c r="K126" t="n">
        <v>0</v>
      </c>
      <c r="L126" t="n">
        <v>23</v>
      </c>
      <c r="M126" t="n">
        <v>2</v>
      </c>
      <c r="N126" t="n">
        <v>12</v>
      </c>
      <c r="O126" t="n">
        <v>19</v>
      </c>
      <c r="P126" t="n">
        <v>20</v>
      </c>
      <c r="Q126" t="n">
        <v>20</v>
      </c>
      <c r="R126" t="n">
        <v>3358</v>
      </c>
      <c r="S126" t="n">
        <v>3274</v>
      </c>
      <c r="T126" t="n">
        <v>2139</v>
      </c>
      <c r="U126" t="n">
        <v>2608</v>
      </c>
      <c r="V126" t="n">
        <v>2526</v>
      </c>
      <c r="W126" t="n">
        <v>2526</v>
      </c>
      <c r="X126" t="n">
        <v>0</v>
      </c>
      <c r="Y126" t="n">
        <v>23</v>
      </c>
      <c r="Z126" t="n">
        <v>3361</v>
      </c>
    </row>
    <row r="127">
      <c r="A127" t="inlineStr">
        <is>
          <t>2025-11-04 06:48:19.638475+00:00</t>
        </is>
      </c>
      <c r="B127" t="inlineStr">
        <is>
          <t>Line Int</t>
        </is>
      </c>
      <c r="C127" t="inlineStr">
        <is>
          <t>PBC</t>
        </is>
      </c>
      <c r="D127" t="inlineStr">
        <is>
          <t>UA</t>
        </is>
      </c>
      <c r="E127" t="inlineStr">
        <is>
          <t>Express</t>
        </is>
      </c>
      <c r="F127" t="n">
        <v>0</v>
      </c>
      <c r="G127" t="n">
        <v>0</v>
      </c>
      <c r="H127" t="n">
        <v>0</v>
      </c>
      <c r="I127" t="n">
        <v>0</v>
      </c>
      <c r="J127" t="n">
        <v>0</v>
      </c>
      <c r="K127" t="n">
        <v>0</v>
      </c>
      <c r="L127" t="n">
        <v>2</v>
      </c>
      <c r="M127" t="n">
        <v>0</v>
      </c>
      <c r="N127" t="n">
        <v>1</v>
      </c>
      <c r="O127" t="n">
        <v>1</v>
      </c>
      <c r="P127" t="n">
        <v>1</v>
      </c>
      <c r="Q127" t="n">
        <v>1</v>
      </c>
      <c r="R127" t="n">
        <v>306</v>
      </c>
      <c r="S127" t="n">
        <v>294</v>
      </c>
      <c r="T127" t="n">
        <v>191</v>
      </c>
      <c r="U127" t="n">
        <v>236</v>
      </c>
      <c r="V127" t="n">
        <v>254</v>
      </c>
      <c r="W127" t="n">
        <v>254</v>
      </c>
      <c r="X127" t="n">
        <v>0</v>
      </c>
      <c r="Y127" t="n">
        <v>2</v>
      </c>
      <c r="Z127" t="n">
        <v>306</v>
      </c>
    </row>
    <row r="128">
      <c r="A128" t="inlineStr">
        <is>
          <t>2025-11-04 06:48:19.638475+00:00</t>
        </is>
      </c>
      <c r="B128" t="inlineStr">
        <is>
          <t>Line Dom</t>
        </is>
      </c>
      <c r="C128" t="inlineStr">
        <is>
          <t>TUL</t>
        </is>
      </c>
      <c r="D128" t="inlineStr">
        <is>
          <t>UA</t>
        </is>
      </c>
      <c r="E128" t="inlineStr">
        <is>
          <t>Express</t>
        </is>
      </c>
      <c r="F128" t="n">
        <v>0</v>
      </c>
      <c r="G128" t="n">
        <v>0</v>
      </c>
      <c r="H128" t="n">
        <v>0</v>
      </c>
      <c r="I128" t="n">
        <v>0</v>
      </c>
      <c r="J128" t="n">
        <v>0</v>
      </c>
      <c r="K128" t="n">
        <v>0</v>
      </c>
      <c r="L128" t="n">
        <v>21</v>
      </c>
      <c r="M128" t="n">
        <v>0</v>
      </c>
      <c r="N128" t="n">
        <v>15</v>
      </c>
      <c r="O128" t="n">
        <v>17</v>
      </c>
      <c r="P128" t="n">
        <v>16</v>
      </c>
      <c r="Q128" t="n">
        <v>16</v>
      </c>
      <c r="R128" t="n">
        <v>3372</v>
      </c>
      <c r="S128" t="n">
        <v>3321</v>
      </c>
      <c r="T128" t="n">
        <v>2116</v>
      </c>
      <c r="U128" t="n">
        <v>2559</v>
      </c>
      <c r="V128" t="n">
        <v>2526</v>
      </c>
      <c r="W128" t="n">
        <v>2526</v>
      </c>
      <c r="X128" t="n">
        <v>0</v>
      </c>
      <c r="Y128" t="n">
        <v>21</v>
      </c>
      <c r="Z128" t="n">
        <v>3371</v>
      </c>
    </row>
    <row r="129">
      <c r="A129" t="inlineStr">
        <is>
          <t>2025-11-04 06:48:19.638475+00:00</t>
        </is>
      </c>
      <c r="B129" t="inlineStr">
        <is>
          <t>Line Dom</t>
        </is>
      </c>
      <c r="C129" t="inlineStr">
        <is>
          <t>LAS</t>
        </is>
      </c>
      <c r="D129" t="inlineStr">
        <is>
          <t>UA</t>
        </is>
      </c>
      <c r="E129" t="inlineStr">
        <is>
          <t>Express</t>
        </is>
      </c>
      <c r="F129" t="n">
        <v>0</v>
      </c>
      <c r="G129" t="n">
        <v>0</v>
      </c>
      <c r="H129" t="n">
        <v>0</v>
      </c>
      <c r="I129" t="n">
        <v>0</v>
      </c>
      <c r="J129" t="n">
        <v>0</v>
      </c>
      <c r="K129" t="n">
        <v>0</v>
      </c>
      <c r="L129" t="n">
        <v>0</v>
      </c>
      <c r="M129" t="n">
        <v>0</v>
      </c>
      <c r="N129" t="n">
        <v>0</v>
      </c>
      <c r="O129" t="n">
        <v>1</v>
      </c>
      <c r="P129" t="n">
        <v>0</v>
      </c>
      <c r="Q129" t="n">
        <v>0</v>
      </c>
      <c r="R129" t="n">
        <v>51</v>
      </c>
      <c r="S129" t="n">
        <v>51</v>
      </c>
      <c r="T129" t="n">
        <v>32</v>
      </c>
      <c r="U129" t="n">
        <v>48</v>
      </c>
      <c r="V129" t="n">
        <v>38</v>
      </c>
      <c r="W129" t="n">
        <v>38</v>
      </c>
      <c r="X129" t="n">
        <v>0</v>
      </c>
      <c r="Y129" t="n">
        <v>1</v>
      </c>
      <c r="Z129" t="n">
        <v>52</v>
      </c>
    </row>
    <row r="130">
      <c r="A130" t="inlineStr">
        <is>
          <t>2025-11-04 06:48:19.638475+00:00</t>
        </is>
      </c>
      <c r="B130" t="inlineStr">
        <is>
          <t>Line Dom</t>
        </is>
      </c>
      <c r="C130" t="inlineStr">
        <is>
          <t>SRQ</t>
        </is>
      </c>
      <c r="D130" t="inlineStr">
        <is>
          <t>UA</t>
        </is>
      </c>
      <c r="E130" t="inlineStr">
        <is>
          <t>Express</t>
        </is>
      </c>
      <c r="F130" t="n">
        <v>0</v>
      </c>
      <c r="G130" t="n">
        <v>0</v>
      </c>
      <c r="H130" t="n">
        <v>0</v>
      </c>
      <c r="I130" t="n">
        <v>0</v>
      </c>
      <c r="J130" t="n">
        <v>0</v>
      </c>
      <c r="K130" t="n">
        <v>0</v>
      </c>
      <c r="L130" t="n">
        <v>1</v>
      </c>
      <c r="M130" t="n">
        <v>1</v>
      </c>
      <c r="N130" t="n">
        <v>1</v>
      </c>
      <c r="O130" t="n">
        <v>1</v>
      </c>
      <c r="P130" t="n">
        <v>0</v>
      </c>
      <c r="Q130" t="n">
        <v>0</v>
      </c>
      <c r="R130" t="n">
        <v>141</v>
      </c>
      <c r="S130" t="n">
        <v>133</v>
      </c>
      <c r="T130" t="n">
        <v>115</v>
      </c>
      <c r="U130" t="n">
        <v>127</v>
      </c>
      <c r="V130" t="n">
        <v>104</v>
      </c>
      <c r="W130" t="n">
        <v>104</v>
      </c>
      <c r="X130" t="n">
        <v>0</v>
      </c>
      <c r="Y130" t="n">
        <v>1</v>
      </c>
      <c r="Z130" t="n">
        <v>141</v>
      </c>
    </row>
    <row r="131">
      <c r="A131" t="inlineStr">
        <is>
          <t>2025-11-04 06:48:19.638475+00:00</t>
        </is>
      </c>
      <c r="B131" t="inlineStr">
        <is>
          <t>Line Dom</t>
        </is>
      </c>
      <c r="C131" t="inlineStr">
        <is>
          <t>LBB</t>
        </is>
      </c>
      <c r="D131" t="inlineStr">
        <is>
          <t>UA</t>
        </is>
      </c>
      <c r="E131" t="inlineStr">
        <is>
          <t>Express</t>
        </is>
      </c>
      <c r="F131" t="n">
        <v>0</v>
      </c>
      <c r="G131" t="n">
        <v>0</v>
      </c>
      <c r="H131" t="n">
        <v>0</v>
      </c>
      <c r="I131" t="n">
        <v>0</v>
      </c>
      <c r="J131" t="n">
        <v>0</v>
      </c>
      <c r="K131" t="n">
        <v>0</v>
      </c>
      <c r="L131" t="n">
        <v>12</v>
      </c>
      <c r="M131" t="n">
        <v>0</v>
      </c>
      <c r="N131" t="n">
        <v>7</v>
      </c>
      <c r="O131" t="n">
        <v>9</v>
      </c>
      <c r="P131" t="n">
        <v>9</v>
      </c>
      <c r="Q131" t="n">
        <v>9</v>
      </c>
      <c r="R131" t="n">
        <v>1697</v>
      </c>
      <c r="S131" t="n">
        <v>1673</v>
      </c>
      <c r="T131" t="n">
        <v>1087</v>
      </c>
      <c r="U131" t="n">
        <v>1253</v>
      </c>
      <c r="V131" t="n">
        <v>1266</v>
      </c>
      <c r="W131" t="n">
        <v>1266</v>
      </c>
      <c r="X131" t="n">
        <v>0</v>
      </c>
      <c r="Y131" t="n">
        <v>12</v>
      </c>
      <c r="Z131" t="n">
        <v>1698</v>
      </c>
    </row>
    <row r="132">
      <c r="A132" t="inlineStr">
        <is>
          <t>2025-11-04 06:48:19.638475+00:00</t>
        </is>
      </c>
      <c r="B132" t="inlineStr">
        <is>
          <t>Line Int</t>
        </is>
      </c>
      <c r="C132" t="inlineStr">
        <is>
          <t>OAX</t>
        </is>
      </c>
      <c r="D132" t="inlineStr">
        <is>
          <t>UA</t>
        </is>
      </c>
      <c r="E132" t="inlineStr">
        <is>
          <t>Express</t>
        </is>
      </c>
      <c r="F132" t="n">
        <v>0</v>
      </c>
      <c r="G132" t="n">
        <v>0</v>
      </c>
      <c r="H132" t="n">
        <v>0</v>
      </c>
      <c r="I132" t="n">
        <v>0</v>
      </c>
      <c r="J132" t="n">
        <v>0</v>
      </c>
      <c r="K132" t="n">
        <v>0</v>
      </c>
      <c r="L132" t="n">
        <v>4</v>
      </c>
      <c r="M132" t="n">
        <v>0</v>
      </c>
      <c r="N132" t="n">
        <v>3</v>
      </c>
      <c r="O132" t="n">
        <v>4</v>
      </c>
      <c r="P132" t="n">
        <v>4</v>
      </c>
      <c r="Q132" t="n">
        <v>4</v>
      </c>
      <c r="R132" t="n">
        <v>312</v>
      </c>
      <c r="S132" t="n">
        <v>309</v>
      </c>
      <c r="T132" t="n">
        <v>223</v>
      </c>
      <c r="U132" t="n">
        <v>258</v>
      </c>
      <c r="V132" t="n">
        <v>257</v>
      </c>
      <c r="W132" t="n">
        <v>257</v>
      </c>
      <c r="X132" t="n">
        <v>0</v>
      </c>
      <c r="Y132" t="n">
        <v>4</v>
      </c>
      <c r="Z132" t="n">
        <v>312</v>
      </c>
    </row>
    <row r="133">
      <c r="A133" t="inlineStr">
        <is>
          <t>2025-11-04 06:48:19.638475+00:00</t>
        </is>
      </c>
      <c r="B133" t="inlineStr">
        <is>
          <t>Line Dom</t>
        </is>
      </c>
      <c r="C133" t="inlineStr">
        <is>
          <t>MBS</t>
        </is>
      </c>
      <c r="D133" t="inlineStr">
        <is>
          <t>UA</t>
        </is>
      </c>
      <c r="E133" t="inlineStr">
        <is>
          <t>Express</t>
        </is>
      </c>
      <c r="F133" t="n">
        <v>0</v>
      </c>
      <c r="G133" t="n">
        <v>0</v>
      </c>
      <c r="H133" t="n">
        <v>0</v>
      </c>
      <c r="I133" t="n">
        <v>0</v>
      </c>
      <c r="J133" t="n">
        <v>0</v>
      </c>
      <c r="K133" t="n">
        <v>0</v>
      </c>
      <c r="L133" t="n">
        <v>6</v>
      </c>
      <c r="M133" t="n">
        <v>0</v>
      </c>
      <c r="N133" t="n">
        <v>3</v>
      </c>
      <c r="O133" t="n">
        <v>4</v>
      </c>
      <c r="P133" t="n">
        <v>5</v>
      </c>
      <c r="Q133" t="n">
        <v>5</v>
      </c>
      <c r="R133" t="n">
        <v>911</v>
      </c>
      <c r="S133" t="n">
        <v>898</v>
      </c>
      <c r="T133" t="n">
        <v>529</v>
      </c>
      <c r="U133" t="n">
        <v>647</v>
      </c>
      <c r="V133" t="n">
        <v>584</v>
      </c>
      <c r="W133" t="n">
        <v>584</v>
      </c>
      <c r="X133" t="n">
        <v>0</v>
      </c>
      <c r="Y133" t="n">
        <v>6</v>
      </c>
      <c r="Z133" t="n">
        <v>911</v>
      </c>
    </row>
    <row r="134">
      <c r="A134" t="inlineStr">
        <is>
          <t>2025-11-04 06:48:19.638475+00:00</t>
        </is>
      </c>
      <c r="B134" t="inlineStr">
        <is>
          <t>Line Dom</t>
        </is>
      </c>
      <c r="C134" t="inlineStr">
        <is>
          <t>RDM</t>
        </is>
      </c>
      <c r="D134" t="inlineStr">
        <is>
          <t>UA</t>
        </is>
      </c>
      <c r="E134" t="inlineStr">
        <is>
          <t>Express</t>
        </is>
      </c>
      <c r="F134" t="n">
        <v>0</v>
      </c>
      <c r="G134" t="n">
        <v>0</v>
      </c>
      <c r="H134" t="n">
        <v>0</v>
      </c>
      <c r="I134" t="n">
        <v>0</v>
      </c>
      <c r="J134" t="n">
        <v>0</v>
      </c>
      <c r="K134" t="n">
        <v>0</v>
      </c>
      <c r="L134" t="n">
        <v>4</v>
      </c>
      <c r="M134" t="n">
        <v>0</v>
      </c>
      <c r="N134" t="n">
        <v>3</v>
      </c>
      <c r="O134" t="n">
        <v>3</v>
      </c>
      <c r="P134" t="n">
        <v>3</v>
      </c>
      <c r="Q134" t="n">
        <v>3</v>
      </c>
      <c r="R134" t="n">
        <v>712</v>
      </c>
      <c r="S134" t="n">
        <v>707</v>
      </c>
      <c r="T134" t="n">
        <v>485</v>
      </c>
      <c r="U134" t="n">
        <v>601</v>
      </c>
      <c r="V134" t="n">
        <v>590</v>
      </c>
      <c r="W134" t="n">
        <v>590</v>
      </c>
      <c r="X134" t="n">
        <v>0</v>
      </c>
      <c r="Y134" t="n">
        <v>4</v>
      </c>
      <c r="Z134" t="n">
        <v>710</v>
      </c>
    </row>
    <row r="135">
      <c r="A135" t="inlineStr">
        <is>
          <t>2025-11-04 06:48:19.638475+00:00</t>
        </is>
      </c>
      <c r="B135" t="inlineStr">
        <is>
          <t>Line Dom</t>
        </is>
      </c>
      <c r="C135" t="inlineStr">
        <is>
          <t>HLN</t>
        </is>
      </c>
      <c r="D135" t="inlineStr">
        <is>
          <t>UA</t>
        </is>
      </c>
      <c r="E135" t="inlineStr">
        <is>
          <t>Express</t>
        </is>
      </c>
      <c r="F135" t="n">
        <v>0</v>
      </c>
      <c r="G135" t="n">
        <v>0</v>
      </c>
      <c r="H135" t="n">
        <v>0</v>
      </c>
      <c r="I135" t="n">
        <v>0</v>
      </c>
      <c r="J135" t="n">
        <v>0</v>
      </c>
      <c r="K135" t="n">
        <v>0</v>
      </c>
      <c r="L135" t="n">
        <v>4</v>
      </c>
      <c r="M135" t="n">
        <v>0</v>
      </c>
      <c r="N135" t="n">
        <v>1</v>
      </c>
      <c r="O135" t="n">
        <v>4</v>
      </c>
      <c r="P135" t="n">
        <v>4</v>
      </c>
      <c r="Q135" t="n">
        <v>4</v>
      </c>
      <c r="R135" t="n">
        <v>767</v>
      </c>
      <c r="S135" t="n">
        <v>757</v>
      </c>
      <c r="T135" t="n">
        <v>437</v>
      </c>
      <c r="U135" t="n">
        <v>540</v>
      </c>
      <c r="V135" t="n">
        <v>495</v>
      </c>
      <c r="W135" t="n">
        <v>495</v>
      </c>
      <c r="X135" t="n">
        <v>0</v>
      </c>
      <c r="Y135" t="n">
        <v>4</v>
      </c>
      <c r="Z135" t="n">
        <v>767</v>
      </c>
    </row>
    <row r="136">
      <c r="A136" t="inlineStr">
        <is>
          <t>2025-11-04 06:48:19.638475+00:00</t>
        </is>
      </c>
      <c r="B136" t="inlineStr">
        <is>
          <t>Line Dom</t>
        </is>
      </c>
      <c r="C136" t="inlineStr">
        <is>
          <t>BNA</t>
        </is>
      </c>
      <c r="D136" t="inlineStr">
        <is>
          <t>UA</t>
        </is>
      </c>
      <c r="E136" t="inlineStr">
        <is>
          <t>Express</t>
        </is>
      </c>
      <c r="F136" t="n">
        <v>0</v>
      </c>
      <c r="G136" t="n">
        <v>0</v>
      </c>
      <c r="H136" t="n">
        <v>0</v>
      </c>
      <c r="I136" t="n">
        <v>0</v>
      </c>
      <c r="J136" t="n">
        <v>0</v>
      </c>
      <c r="K136" t="n">
        <v>0</v>
      </c>
      <c r="L136" t="n">
        <v>19</v>
      </c>
      <c r="M136" t="n">
        <v>2</v>
      </c>
      <c r="N136" t="n">
        <v>10</v>
      </c>
      <c r="O136" t="n">
        <v>12</v>
      </c>
      <c r="P136" t="n">
        <v>10</v>
      </c>
      <c r="Q136" t="n">
        <v>10</v>
      </c>
      <c r="R136" t="n">
        <v>1966</v>
      </c>
      <c r="S136" t="n">
        <v>1933</v>
      </c>
      <c r="T136" t="n">
        <v>1175</v>
      </c>
      <c r="U136" t="n">
        <v>1470</v>
      </c>
      <c r="V136" t="n">
        <v>1348</v>
      </c>
      <c r="W136" t="n">
        <v>1349</v>
      </c>
      <c r="X136" t="n">
        <v>0</v>
      </c>
      <c r="Y136" t="n">
        <v>19</v>
      </c>
      <c r="Z136" t="n">
        <v>1965</v>
      </c>
    </row>
    <row r="137">
      <c r="A137" t="inlineStr">
        <is>
          <t>2025-11-04 06:48:19.638475+00:00</t>
        </is>
      </c>
      <c r="B137" t="inlineStr">
        <is>
          <t>Line Dom</t>
        </is>
      </c>
      <c r="C137" t="inlineStr">
        <is>
          <t>WYS</t>
        </is>
      </c>
      <c r="D137" t="inlineStr">
        <is>
          <t>UA</t>
        </is>
      </c>
      <c r="E137" t="inlineStr">
        <is>
          <t>Express</t>
        </is>
      </c>
      <c r="F137" t="n">
        <v>0</v>
      </c>
      <c r="G137" t="n">
        <v>0</v>
      </c>
      <c r="H137" t="n">
        <v>0</v>
      </c>
      <c r="I137" t="n">
        <v>0</v>
      </c>
      <c r="J137" t="n">
        <v>0</v>
      </c>
      <c r="K137" t="n">
        <v>0</v>
      </c>
      <c r="L137" t="n">
        <v>0</v>
      </c>
      <c r="M137" t="n">
        <v>0</v>
      </c>
      <c r="N137" t="n">
        <v>0</v>
      </c>
      <c r="O137" t="n">
        <v>0</v>
      </c>
      <c r="P137" t="n">
        <v>0</v>
      </c>
      <c r="Q137" t="n">
        <v>0</v>
      </c>
      <c r="R137" t="n">
        <v>188</v>
      </c>
      <c r="S137" t="n">
        <v>186</v>
      </c>
      <c r="T137" t="n">
        <v>123</v>
      </c>
      <c r="U137" t="n">
        <v>146</v>
      </c>
      <c r="V137" t="n">
        <v>117</v>
      </c>
      <c r="W137" t="n">
        <v>117</v>
      </c>
      <c r="X137" t="n">
        <v>0</v>
      </c>
      <c r="Y137" t="n">
        <v>0</v>
      </c>
      <c r="Z137" t="n">
        <v>188</v>
      </c>
    </row>
    <row r="138">
      <c r="A138" t="inlineStr">
        <is>
          <t>2025-11-04 06:48:19.638475+00:00</t>
        </is>
      </c>
      <c r="B138" t="inlineStr">
        <is>
          <t>Line Int</t>
        </is>
      </c>
      <c r="C138" t="inlineStr">
        <is>
          <t>YQB</t>
        </is>
      </c>
      <c r="D138" t="inlineStr">
        <is>
          <t>UA</t>
        </is>
      </c>
      <c r="E138" t="inlineStr">
        <is>
          <t>Express</t>
        </is>
      </c>
      <c r="F138" t="n">
        <v>0</v>
      </c>
      <c r="G138" t="n">
        <v>0</v>
      </c>
      <c r="H138" t="n">
        <v>0</v>
      </c>
      <c r="I138" t="n">
        <v>0</v>
      </c>
      <c r="J138" t="n">
        <v>0</v>
      </c>
      <c r="K138" t="n">
        <v>0</v>
      </c>
      <c r="L138" t="n">
        <v>8</v>
      </c>
      <c r="M138" t="n">
        <v>1</v>
      </c>
      <c r="N138" t="n">
        <v>5</v>
      </c>
      <c r="O138" t="n">
        <v>6</v>
      </c>
      <c r="P138" t="n">
        <v>7</v>
      </c>
      <c r="Q138" t="n">
        <v>7</v>
      </c>
      <c r="R138" t="n">
        <v>960</v>
      </c>
      <c r="S138" t="n">
        <v>926</v>
      </c>
      <c r="T138" t="n">
        <v>631</v>
      </c>
      <c r="U138" t="n">
        <v>744</v>
      </c>
      <c r="V138" t="n">
        <v>700</v>
      </c>
      <c r="W138" t="n">
        <v>700</v>
      </c>
      <c r="X138" t="n">
        <v>0</v>
      </c>
      <c r="Y138" t="n">
        <v>8</v>
      </c>
      <c r="Z138" t="n">
        <v>960</v>
      </c>
    </row>
    <row r="139">
      <c r="A139" t="inlineStr">
        <is>
          <t>2025-11-04 06:48:19.638475+00:00</t>
        </is>
      </c>
      <c r="B139" t="inlineStr">
        <is>
          <t>Line Dom</t>
        </is>
      </c>
      <c r="C139" t="inlineStr">
        <is>
          <t>TYS</t>
        </is>
      </c>
      <c r="D139" t="inlineStr">
        <is>
          <t>UA</t>
        </is>
      </c>
      <c r="E139" t="inlineStr">
        <is>
          <t>Express</t>
        </is>
      </c>
      <c r="F139" t="n">
        <v>0</v>
      </c>
      <c r="G139" t="n">
        <v>0</v>
      </c>
      <c r="H139" t="n">
        <v>0</v>
      </c>
      <c r="I139" t="n">
        <v>0</v>
      </c>
      <c r="J139" t="n">
        <v>0</v>
      </c>
      <c r="K139" t="n">
        <v>0</v>
      </c>
      <c r="L139" t="n">
        <v>28</v>
      </c>
      <c r="M139" t="n">
        <v>0</v>
      </c>
      <c r="N139" t="n">
        <v>12</v>
      </c>
      <c r="O139" t="n">
        <v>21</v>
      </c>
      <c r="P139" t="n">
        <v>23</v>
      </c>
      <c r="Q139" t="n">
        <v>23</v>
      </c>
      <c r="R139" t="n">
        <v>3620</v>
      </c>
      <c r="S139" t="n">
        <v>3561</v>
      </c>
      <c r="T139" t="n">
        <v>2277</v>
      </c>
      <c r="U139" t="n">
        <v>2771</v>
      </c>
      <c r="V139" t="n">
        <v>2848</v>
      </c>
      <c r="W139" t="n">
        <v>2848</v>
      </c>
      <c r="X139" t="n">
        <v>0</v>
      </c>
      <c r="Y139" t="n">
        <v>28</v>
      </c>
      <c r="Z139" t="n">
        <v>3621</v>
      </c>
    </row>
    <row r="140">
      <c r="A140" t="inlineStr">
        <is>
          <t>2025-11-04 06:48:19.638475+00:00</t>
        </is>
      </c>
      <c r="B140" t="inlineStr">
        <is>
          <t>Line Int</t>
        </is>
      </c>
      <c r="C140" t="inlineStr">
        <is>
          <t>MLM</t>
        </is>
      </c>
      <c r="D140" t="inlineStr">
        <is>
          <t>UA</t>
        </is>
      </c>
      <c r="E140" t="inlineStr">
        <is>
          <t>Express</t>
        </is>
      </c>
      <c r="F140" t="n">
        <v>0</v>
      </c>
      <c r="G140" t="n">
        <v>0</v>
      </c>
      <c r="H140" t="n">
        <v>0</v>
      </c>
      <c r="I140" t="n">
        <v>0</v>
      </c>
      <c r="J140" t="n">
        <v>0</v>
      </c>
      <c r="K140" t="n">
        <v>0</v>
      </c>
      <c r="L140" t="n">
        <v>2</v>
      </c>
      <c r="M140" t="n">
        <v>0</v>
      </c>
      <c r="N140" t="n">
        <v>2</v>
      </c>
      <c r="O140" t="n">
        <v>2</v>
      </c>
      <c r="P140" t="n">
        <v>2</v>
      </c>
      <c r="Q140" t="n">
        <v>2</v>
      </c>
      <c r="R140" t="n">
        <v>311</v>
      </c>
      <c r="S140" t="n">
        <v>307</v>
      </c>
      <c r="T140" t="n">
        <v>160</v>
      </c>
      <c r="U140" t="n">
        <v>220</v>
      </c>
      <c r="V140" t="n">
        <v>265</v>
      </c>
      <c r="W140" t="n">
        <v>265</v>
      </c>
      <c r="X140" t="n">
        <v>0</v>
      </c>
      <c r="Y140" t="n">
        <v>2</v>
      </c>
      <c r="Z140" t="n">
        <v>311</v>
      </c>
    </row>
    <row r="141">
      <c r="A141" t="inlineStr">
        <is>
          <t>2025-11-04 06:48:19.638475+00:00</t>
        </is>
      </c>
      <c r="B141" t="inlineStr">
        <is>
          <t>Line Int</t>
        </is>
      </c>
      <c r="C141" t="inlineStr">
        <is>
          <t>YUL</t>
        </is>
      </c>
      <c r="D141" t="inlineStr">
        <is>
          <t>UA</t>
        </is>
      </c>
      <c r="E141" t="inlineStr">
        <is>
          <t>Express</t>
        </is>
      </c>
      <c r="F141" t="n">
        <v>0</v>
      </c>
      <c r="G141" t="n">
        <v>0</v>
      </c>
      <c r="H141" t="n">
        <v>0</v>
      </c>
      <c r="I141" t="n">
        <v>0</v>
      </c>
      <c r="J141" t="n">
        <v>0</v>
      </c>
      <c r="K141" t="n">
        <v>0</v>
      </c>
      <c r="L141" t="n">
        <v>12</v>
      </c>
      <c r="M141" t="n">
        <v>1</v>
      </c>
      <c r="N141" t="n">
        <v>7</v>
      </c>
      <c r="O141" t="n">
        <v>9</v>
      </c>
      <c r="P141" t="n">
        <v>6</v>
      </c>
      <c r="Q141" t="n">
        <v>6</v>
      </c>
      <c r="R141" t="n">
        <v>2015</v>
      </c>
      <c r="S141" t="n">
        <v>1968</v>
      </c>
      <c r="T141" t="n">
        <v>1280</v>
      </c>
      <c r="U141" t="n">
        <v>1580</v>
      </c>
      <c r="V141" t="n">
        <v>1596</v>
      </c>
      <c r="W141" t="n">
        <v>1596</v>
      </c>
      <c r="X141" t="n">
        <v>0</v>
      </c>
      <c r="Y141" t="n">
        <v>12</v>
      </c>
      <c r="Z141" t="n">
        <v>2016</v>
      </c>
    </row>
    <row r="142">
      <c r="A142" t="inlineStr">
        <is>
          <t>2025-11-04 06:48:19.638475+00:00</t>
        </is>
      </c>
      <c r="B142" t="inlineStr">
        <is>
          <t>Line Dom</t>
        </is>
      </c>
      <c r="C142" t="inlineStr">
        <is>
          <t>BTV</t>
        </is>
      </c>
      <c r="D142" t="inlineStr">
        <is>
          <t>UA</t>
        </is>
      </c>
      <c r="E142" t="inlineStr">
        <is>
          <t>Express</t>
        </is>
      </c>
      <c r="F142" t="n">
        <v>0</v>
      </c>
      <c r="G142" t="n">
        <v>0</v>
      </c>
      <c r="H142" t="n">
        <v>0</v>
      </c>
      <c r="I142" t="n">
        <v>0</v>
      </c>
      <c r="J142" t="n">
        <v>0</v>
      </c>
      <c r="K142" t="n">
        <v>0</v>
      </c>
      <c r="L142" t="n">
        <v>11</v>
      </c>
      <c r="M142" t="n">
        <v>1</v>
      </c>
      <c r="N142" t="n">
        <v>7</v>
      </c>
      <c r="O142" t="n">
        <v>9</v>
      </c>
      <c r="P142" t="n">
        <v>7</v>
      </c>
      <c r="Q142" t="n">
        <v>7</v>
      </c>
      <c r="R142" t="n">
        <v>1931</v>
      </c>
      <c r="S142" t="n">
        <v>1874</v>
      </c>
      <c r="T142" t="n">
        <v>1248</v>
      </c>
      <c r="U142" t="n">
        <v>1505</v>
      </c>
      <c r="V142" t="n">
        <v>1352</v>
      </c>
      <c r="W142" t="n">
        <v>1352</v>
      </c>
      <c r="X142" t="n">
        <v>0</v>
      </c>
      <c r="Y142" t="n">
        <v>11</v>
      </c>
      <c r="Z142" t="n">
        <v>1935</v>
      </c>
    </row>
    <row r="143">
      <c r="A143" t="inlineStr">
        <is>
          <t>2025-11-04 06:48:19.638475+00:00</t>
        </is>
      </c>
      <c r="B143" t="inlineStr">
        <is>
          <t>Line Dom</t>
        </is>
      </c>
      <c r="C143" t="inlineStr">
        <is>
          <t>JAC</t>
        </is>
      </c>
      <c r="D143" t="inlineStr">
        <is>
          <t>UA</t>
        </is>
      </c>
      <c r="E143" t="inlineStr">
        <is>
          <t>Express</t>
        </is>
      </c>
      <c r="F143" t="n">
        <v>0</v>
      </c>
      <c r="G143" t="n">
        <v>0</v>
      </c>
      <c r="H143" t="n">
        <v>0</v>
      </c>
      <c r="I143" t="n">
        <v>0</v>
      </c>
      <c r="J143" t="n">
        <v>0</v>
      </c>
      <c r="K143" t="n">
        <v>0</v>
      </c>
      <c r="L143" t="n">
        <v>4</v>
      </c>
      <c r="M143" t="n">
        <v>0</v>
      </c>
      <c r="N143" t="n">
        <v>3</v>
      </c>
      <c r="O143" t="n">
        <v>4</v>
      </c>
      <c r="P143" t="n">
        <v>4</v>
      </c>
      <c r="Q143" t="n">
        <v>4</v>
      </c>
      <c r="R143" t="n">
        <v>547</v>
      </c>
      <c r="S143" t="n">
        <v>545</v>
      </c>
      <c r="T143" t="n">
        <v>391</v>
      </c>
      <c r="U143" t="n">
        <v>464</v>
      </c>
      <c r="V143" t="n">
        <v>400</v>
      </c>
      <c r="W143" t="n">
        <v>400</v>
      </c>
      <c r="X143" t="n">
        <v>0</v>
      </c>
      <c r="Y143" t="n">
        <v>4</v>
      </c>
      <c r="Z143" t="n">
        <v>548</v>
      </c>
    </row>
    <row r="144">
      <c r="A144" t="inlineStr">
        <is>
          <t>2025-11-04 06:48:19.638475+00:00</t>
        </is>
      </c>
      <c r="B144" t="inlineStr">
        <is>
          <t>Line Dom</t>
        </is>
      </c>
      <c r="C144" t="inlineStr">
        <is>
          <t>AVP</t>
        </is>
      </c>
      <c r="D144" t="inlineStr">
        <is>
          <t>UA</t>
        </is>
      </c>
      <c r="E144" t="inlineStr">
        <is>
          <t>Express</t>
        </is>
      </c>
      <c r="F144" t="n">
        <v>0</v>
      </c>
      <c r="G144" t="n">
        <v>0</v>
      </c>
      <c r="H144" t="n">
        <v>0</v>
      </c>
      <c r="I144" t="n">
        <v>0</v>
      </c>
      <c r="J144" t="n">
        <v>0</v>
      </c>
      <c r="K144" t="n">
        <v>0</v>
      </c>
      <c r="L144" t="n">
        <v>9</v>
      </c>
      <c r="M144" t="n">
        <v>0</v>
      </c>
      <c r="N144" t="n">
        <v>5</v>
      </c>
      <c r="O144" t="n">
        <v>6</v>
      </c>
      <c r="P144" t="n">
        <v>8</v>
      </c>
      <c r="Q144" t="n">
        <v>8</v>
      </c>
      <c r="R144" t="n">
        <v>1326</v>
      </c>
      <c r="S144" t="n">
        <v>1313</v>
      </c>
      <c r="T144" t="n">
        <v>795</v>
      </c>
      <c r="U144" t="n">
        <v>988</v>
      </c>
      <c r="V144" t="n">
        <v>1007</v>
      </c>
      <c r="W144" t="n">
        <v>1007</v>
      </c>
      <c r="X144" t="n">
        <v>0</v>
      </c>
      <c r="Y144" t="n">
        <v>9</v>
      </c>
      <c r="Z144" t="n">
        <v>1326</v>
      </c>
    </row>
    <row r="145">
      <c r="A145" t="inlineStr">
        <is>
          <t>2025-11-04 06:48:19.638475+00:00</t>
        </is>
      </c>
      <c r="B145" t="inlineStr">
        <is>
          <t>Line Dom</t>
        </is>
      </c>
      <c r="C145" t="inlineStr">
        <is>
          <t>TVC</t>
        </is>
      </c>
      <c r="D145" t="inlineStr">
        <is>
          <t>UA</t>
        </is>
      </c>
      <c r="E145" t="inlineStr">
        <is>
          <t>Express</t>
        </is>
      </c>
      <c r="F145" t="n">
        <v>0</v>
      </c>
      <c r="G145" t="n">
        <v>0</v>
      </c>
      <c r="H145" t="n">
        <v>0</v>
      </c>
      <c r="I145" t="n">
        <v>0</v>
      </c>
      <c r="J145" t="n">
        <v>0</v>
      </c>
      <c r="K145" t="n">
        <v>0</v>
      </c>
      <c r="L145" t="n">
        <v>10</v>
      </c>
      <c r="M145" t="n">
        <v>0</v>
      </c>
      <c r="N145" t="n">
        <v>7</v>
      </c>
      <c r="O145" t="n">
        <v>8</v>
      </c>
      <c r="P145" t="n">
        <v>7</v>
      </c>
      <c r="Q145" t="n">
        <v>7</v>
      </c>
      <c r="R145" t="n">
        <v>1253</v>
      </c>
      <c r="S145" t="n">
        <v>1232</v>
      </c>
      <c r="T145" t="n">
        <v>781</v>
      </c>
      <c r="U145" t="n">
        <v>947</v>
      </c>
      <c r="V145" t="n">
        <v>819</v>
      </c>
      <c r="W145" t="n">
        <v>819</v>
      </c>
      <c r="X145" t="n">
        <v>0</v>
      </c>
      <c r="Y145" t="n">
        <v>10</v>
      </c>
      <c r="Z145" t="n">
        <v>1253</v>
      </c>
    </row>
    <row r="146">
      <c r="A146" t="inlineStr">
        <is>
          <t>2025-11-04 06:48:19.638475+00:00</t>
        </is>
      </c>
      <c r="B146" t="inlineStr">
        <is>
          <t>Line Dom</t>
        </is>
      </c>
      <c r="C146" t="inlineStr">
        <is>
          <t>PDX</t>
        </is>
      </c>
      <c r="D146" t="inlineStr">
        <is>
          <t>UA</t>
        </is>
      </c>
      <c r="E146" t="inlineStr">
        <is>
          <t>Express</t>
        </is>
      </c>
      <c r="F146" t="n">
        <v>0</v>
      </c>
      <c r="G146" t="n">
        <v>0</v>
      </c>
      <c r="H146" t="n">
        <v>0</v>
      </c>
      <c r="I146" t="n">
        <v>0</v>
      </c>
      <c r="J146" t="n">
        <v>0</v>
      </c>
      <c r="K146" t="n">
        <v>0</v>
      </c>
      <c r="L146" t="n">
        <v>0</v>
      </c>
      <c r="M146" t="n">
        <v>0</v>
      </c>
      <c r="N146" t="n">
        <v>0</v>
      </c>
      <c r="O146" t="n">
        <v>0</v>
      </c>
      <c r="P146" t="n">
        <v>0</v>
      </c>
      <c r="Q146" t="n">
        <v>0</v>
      </c>
      <c r="R146" t="n">
        <v>374</v>
      </c>
      <c r="S146" t="n">
        <v>373</v>
      </c>
      <c r="T146" t="n">
        <v>261</v>
      </c>
      <c r="U146" t="n">
        <v>317</v>
      </c>
      <c r="V146" t="n">
        <v>294</v>
      </c>
      <c r="W146" t="n">
        <v>294</v>
      </c>
      <c r="X146" t="n">
        <v>0</v>
      </c>
      <c r="Y146" t="n">
        <v>0</v>
      </c>
      <c r="Z146" t="n">
        <v>374</v>
      </c>
    </row>
    <row r="147">
      <c r="A147" t="inlineStr">
        <is>
          <t>2025-11-04 06:48:19.638475+00:00</t>
        </is>
      </c>
      <c r="B147" t="inlineStr">
        <is>
          <t>Line Dom</t>
        </is>
      </c>
      <c r="C147" t="inlineStr">
        <is>
          <t>BIH</t>
        </is>
      </c>
      <c r="D147" t="inlineStr">
        <is>
          <t>UA</t>
        </is>
      </c>
      <c r="E147" t="inlineStr">
        <is>
          <t>Express</t>
        </is>
      </c>
      <c r="F147" t="n">
        <v>0</v>
      </c>
      <c r="G147" t="n">
        <v>0</v>
      </c>
      <c r="H147" t="n">
        <v>0</v>
      </c>
      <c r="I147" t="n">
        <v>0</v>
      </c>
      <c r="J147" t="n">
        <v>0</v>
      </c>
      <c r="K147" t="n">
        <v>0</v>
      </c>
      <c r="L147" t="n">
        <v>0</v>
      </c>
      <c r="M147" t="n">
        <v>0</v>
      </c>
      <c r="N147" t="n">
        <v>0</v>
      </c>
      <c r="O147" t="n">
        <v>0</v>
      </c>
      <c r="P147" t="n">
        <v>0</v>
      </c>
      <c r="Q147" t="n">
        <v>0</v>
      </c>
      <c r="R147" t="n">
        <v>258</v>
      </c>
      <c r="S147" t="n">
        <v>257</v>
      </c>
      <c r="T147" t="n">
        <v>152</v>
      </c>
      <c r="U147" t="n">
        <v>196</v>
      </c>
      <c r="V147" t="n">
        <v>180</v>
      </c>
      <c r="W147" t="n">
        <v>180</v>
      </c>
      <c r="X147" t="n">
        <v>0</v>
      </c>
      <c r="Y147" t="n">
        <v>0</v>
      </c>
      <c r="Z147" t="n">
        <v>258</v>
      </c>
    </row>
    <row r="148">
      <c r="A148" t="inlineStr">
        <is>
          <t>2025-11-04 06:48:19.638475+00:00</t>
        </is>
      </c>
      <c r="B148" t="inlineStr">
        <is>
          <t>Line Dom</t>
        </is>
      </c>
      <c r="C148" t="inlineStr">
        <is>
          <t>SNA</t>
        </is>
      </c>
      <c r="D148" t="inlineStr">
        <is>
          <t>UA</t>
        </is>
      </c>
      <c r="E148" t="inlineStr">
        <is>
          <t>Express</t>
        </is>
      </c>
      <c r="F148" t="n">
        <v>0</v>
      </c>
      <c r="G148" t="n">
        <v>0</v>
      </c>
      <c r="H148" t="n">
        <v>0</v>
      </c>
      <c r="I148" t="n">
        <v>0</v>
      </c>
      <c r="J148" t="n">
        <v>0</v>
      </c>
      <c r="K148" t="n">
        <v>0</v>
      </c>
      <c r="L148" t="n">
        <v>8</v>
      </c>
      <c r="M148" t="n">
        <v>0</v>
      </c>
      <c r="N148" t="n">
        <v>4</v>
      </c>
      <c r="O148" t="n">
        <v>5</v>
      </c>
      <c r="P148" t="n">
        <v>5</v>
      </c>
      <c r="Q148" t="n">
        <v>5</v>
      </c>
      <c r="R148" t="n">
        <v>933</v>
      </c>
      <c r="S148" t="n">
        <v>930</v>
      </c>
      <c r="T148" t="n">
        <v>677</v>
      </c>
      <c r="U148" t="n">
        <v>804</v>
      </c>
      <c r="V148" t="n">
        <v>698</v>
      </c>
      <c r="W148" t="n">
        <v>699</v>
      </c>
      <c r="X148" t="n">
        <v>0</v>
      </c>
      <c r="Y148" t="n">
        <v>8</v>
      </c>
      <c r="Z148" t="n">
        <v>933</v>
      </c>
    </row>
    <row r="149">
      <c r="A149" t="inlineStr">
        <is>
          <t>2025-11-04 06:48:19.638475+00:00</t>
        </is>
      </c>
      <c r="B149" t="inlineStr">
        <is>
          <t>Line Dom</t>
        </is>
      </c>
      <c r="C149" t="inlineStr">
        <is>
          <t>MFE</t>
        </is>
      </c>
      <c r="D149" t="inlineStr">
        <is>
          <t>UA</t>
        </is>
      </c>
      <c r="E149" t="inlineStr">
        <is>
          <t>Express</t>
        </is>
      </c>
      <c r="F149" t="n">
        <v>0</v>
      </c>
      <c r="G149" t="n">
        <v>0</v>
      </c>
      <c r="H149" t="n">
        <v>0</v>
      </c>
      <c r="I149" t="n">
        <v>0</v>
      </c>
      <c r="J149" t="n">
        <v>0</v>
      </c>
      <c r="K149" t="n">
        <v>0</v>
      </c>
      <c r="L149" t="n">
        <v>10</v>
      </c>
      <c r="M149" t="n">
        <v>0</v>
      </c>
      <c r="N149" t="n">
        <v>6</v>
      </c>
      <c r="O149" t="n">
        <v>9</v>
      </c>
      <c r="P149" t="n">
        <v>7</v>
      </c>
      <c r="Q149" t="n">
        <v>7</v>
      </c>
      <c r="R149" t="n">
        <v>1629</v>
      </c>
      <c r="S149" t="n">
        <v>1600</v>
      </c>
      <c r="T149" t="n">
        <v>1144</v>
      </c>
      <c r="U149" t="n">
        <v>1323</v>
      </c>
      <c r="V149" t="n">
        <v>1315</v>
      </c>
      <c r="W149" t="n">
        <v>1315</v>
      </c>
      <c r="X149" t="n">
        <v>0</v>
      </c>
      <c r="Y149" t="n">
        <v>10</v>
      </c>
      <c r="Z149" t="n">
        <v>1629</v>
      </c>
    </row>
    <row r="150">
      <c r="A150" t="inlineStr">
        <is>
          <t>2025-11-04 06:48:19.638475+00:00</t>
        </is>
      </c>
      <c r="B150" t="inlineStr">
        <is>
          <t>Line Dom</t>
        </is>
      </c>
      <c r="C150" t="inlineStr">
        <is>
          <t>LFT</t>
        </is>
      </c>
      <c r="D150" t="inlineStr">
        <is>
          <t>UA</t>
        </is>
      </c>
      <c r="E150" t="inlineStr">
        <is>
          <t>Express</t>
        </is>
      </c>
      <c r="F150" t="n">
        <v>0</v>
      </c>
      <c r="G150" t="n">
        <v>0</v>
      </c>
      <c r="H150" t="n">
        <v>0</v>
      </c>
      <c r="I150" t="n">
        <v>0</v>
      </c>
      <c r="J150" t="n">
        <v>0</v>
      </c>
      <c r="K150" t="n">
        <v>0</v>
      </c>
      <c r="L150" t="n">
        <v>13</v>
      </c>
      <c r="M150" t="n">
        <v>0</v>
      </c>
      <c r="N150" t="n">
        <v>7</v>
      </c>
      <c r="O150" t="n">
        <v>8</v>
      </c>
      <c r="P150" t="n">
        <v>12</v>
      </c>
      <c r="Q150" t="n">
        <v>12</v>
      </c>
      <c r="R150" t="n">
        <v>1677</v>
      </c>
      <c r="S150" t="n">
        <v>1640</v>
      </c>
      <c r="T150" t="n">
        <v>1140</v>
      </c>
      <c r="U150" t="n">
        <v>1330</v>
      </c>
      <c r="V150" t="n">
        <v>1286</v>
      </c>
      <c r="W150" t="n">
        <v>1286</v>
      </c>
      <c r="X150" t="n">
        <v>0</v>
      </c>
      <c r="Y150" t="n">
        <v>13</v>
      </c>
      <c r="Z150" t="n">
        <v>1678</v>
      </c>
    </row>
    <row r="151">
      <c r="A151" t="inlineStr">
        <is>
          <t>2025-11-04 06:48:19.638475+00:00</t>
        </is>
      </c>
      <c r="B151" t="inlineStr">
        <is>
          <t>Line Dom</t>
        </is>
      </c>
      <c r="C151" t="inlineStr">
        <is>
          <t>MOT</t>
        </is>
      </c>
      <c r="D151" t="inlineStr">
        <is>
          <t>UA</t>
        </is>
      </c>
      <c r="E151" t="inlineStr">
        <is>
          <t>Express</t>
        </is>
      </c>
      <c r="F151" t="n">
        <v>0</v>
      </c>
      <c r="G151" t="n">
        <v>0</v>
      </c>
      <c r="H151" t="n">
        <v>0</v>
      </c>
      <c r="I151" t="n">
        <v>0</v>
      </c>
      <c r="J151" t="n">
        <v>0</v>
      </c>
      <c r="K151" t="n">
        <v>0</v>
      </c>
      <c r="L151" t="n">
        <v>5</v>
      </c>
      <c r="M151" t="n">
        <v>0</v>
      </c>
      <c r="N151" t="n">
        <v>4</v>
      </c>
      <c r="O151" t="n">
        <v>5</v>
      </c>
      <c r="P151" t="n">
        <v>4</v>
      </c>
      <c r="Q151" t="n">
        <v>4</v>
      </c>
      <c r="R151" t="n">
        <v>1031</v>
      </c>
      <c r="S151" t="n">
        <v>1020</v>
      </c>
      <c r="T151" t="n">
        <v>630</v>
      </c>
      <c r="U151" t="n">
        <v>769</v>
      </c>
      <c r="V151" t="n">
        <v>715</v>
      </c>
      <c r="W151" t="n">
        <v>716</v>
      </c>
      <c r="X151" t="n">
        <v>0</v>
      </c>
      <c r="Y151" t="n">
        <v>5</v>
      </c>
      <c r="Z151" t="n">
        <v>1031</v>
      </c>
    </row>
    <row r="152">
      <c r="A152" t="inlineStr">
        <is>
          <t>2025-11-04 06:48:19.638475+00:00</t>
        </is>
      </c>
      <c r="B152" t="inlineStr">
        <is>
          <t>Line Dom</t>
        </is>
      </c>
      <c r="C152" t="inlineStr">
        <is>
          <t>COS</t>
        </is>
      </c>
      <c r="D152" t="inlineStr">
        <is>
          <t>UA</t>
        </is>
      </c>
      <c r="E152" t="inlineStr">
        <is>
          <t>Express</t>
        </is>
      </c>
      <c r="F152" t="n">
        <v>0</v>
      </c>
      <c r="G152" t="n">
        <v>0</v>
      </c>
      <c r="H152" t="n">
        <v>0</v>
      </c>
      <c r="I152" t="n">
        <v>0</v>
      </c>
      <c r="J152" t="n">
        <v>0</v>
      </c>
      <c r="K152" t="n">
        <v>0</v>
      </c>
      <c r="L152" t="n">
        <v>25</v>
      </c>
      <c r="M152" t="n">
        <v>0</v>
      </c>
      <c r="N152" t="n">
        <v>19</v>
      </c>
      <c r="O152" t="n">
        <v>21</v>
      </c>
      <c r="P152" t="n">
        <v>21</v>
      </c>
      <c r="Q152" t="n">
        <v>21</v>
      </c>
      <c r="R152" t="n">
        <v>3825</v>
      </c>
      <c r="S152" t="n">
        <v>3782</v>
      </c>
      <c r="T152" t="n">
        <v>2199</v>
      </c>
      <c r="U152" t="n">
        <v>2718</v>
      </c>
      <c r="V152" t="n">
        <v>2694</v>
      </c>
      <c r="W152" t="n">
        <v>2694</v>
      </c>
      <c r="X152" t="n">
        <v>0</v>
      </c>
      <c r="Y152" t="n">
        <v>25</v>
      </c>
      <c r="Z152" t="n">
        <v>3825</v>
      </c>
    </row>
    <row r="153">
      <c r="A153" t="inlineStr">
        <is>
          <t>2025-11-04 06:48:19.638475+00:00</t>
        </is>
      </c>
      <c r="B153" t="inlineStr">
        <is>
          <t>Line Dom</t>
        </is>
      </c>
      <c r="C153" t="inlineStr">
        <is>
          <t>TUS</t>
        </is>
      </c>
      <c r="D153" t="inlineStr">
        <is>
          <t>UA</t>
        </is>
      </c>
      <c r="E153" t="inlineStr">
        <is>
          <t>Express</t>
        </is>
      </c>
      <c r="F153" t="n">
        <v>0</v>
      </c>
      <c r="G153" t="n">
        <v>0</v>
      </c>
      <c r="H153" t="n">
        <v>0</v>
      </c>
      <c r="I153" t="n">
        <v>0</v>
      </c>
      <c r="J153" t="n">
        <v>0</v>
      </c>
      <c r="K153" t="n">
        <v>0</v>
      </c>
      <c r="L153" t="n">
        <v>20</v>
      </c>
      <c r="M153" t="n">
        <v>0</v>
      </c>
      <c r="N153" t="n">
        <v>14</v>
      </c>
      <c r="O153" t="n">
        <v>17</v>
      </c>
      <c r="P153" t="n">
        <v>18</v>
      </c>
      <c r="Q153" t="n">
        <v>18</v>
      </c>
      <c r="R153" t="n">
        <v>1969</v>
      </c>
      <c r="S153" t="n">
        <v>1959</v>
      </c>
      <c r="T153" t="n">
        <v>1355</v>
      </c>
      <c r="U153" t="n">
        <v>1634</v>
      </c>
      <c r="V153" t="n">
        <v>1504</v>
      </c>
      <c r="W153" t="n">
        <v>1504</v>
      </c>
      <c r="X153" t="n">
        <v>0</v>
      </c>
      <c r="Y153" t="n">
        <v>20</v>
      </c>
      <c r="Z153" t="n">
        <v>1972</v>
      </c>
    </row>
    <row r="154">
      <c r="A154" t="inlineStr">
        <is>
          <t>2025-11-04 06:48:19.638475+00:00</t>
        </is>
      </c>
      <c r="B154" t="inlineStr">
        <is>
          <t>Line Dom</t>
        </is>
      </c>
      <c r="C154" t="inlineStr">
        <is>
          <t>PRC</t>
        </is>
      </c>
      <c r="D154" t="inlineStr">
        <is>
          <t>UA</t>
        </is>
      </c>
      <c r="E154" t="inlineStr">
        <is>
          <t>Express</t>
        </is>
      </c>
      <c r="F154" t="n">
        <v>0</v>
      </c>
      <c r="G154" t="n">
        <v>0</v>
      </c>
      <c r="H154" t="n">
        <v>0</v>
      </c>
      <c r="I154" t="n">
        <v>0</v>
      </c>
      <c r="J154" t="n">
        <v>0</v>
      </c>
      <c r="K154" t="n">
        <v>0</v>
      </c>
      <c r="L154" t="n">
        <v>6</v>
      </c>
      <c r="M154" t="n">
        <v>0</v>
      </c>
      <c r="N154" t="n">
        <v>5</v>
      </c>
      <c r="O154" t="n">
        <v>6</v>
      </c>
      <c r="P154" t="n">
        <v>6</v>
      </c>
      <c r="Q154" t="n">
        <v>6</v>
      </c>
      <c r="R154" t="n">
        <v>620</v>
      </c>
      <c r="S154" t="n">
        <v>613</v>
      </c>
      <c r="T154" t="n">
        <v>382</v>
      </c>
      <c r="U154" t="n">
        <v>448</v>
      </c>
      <c r="V154" t="n">
        <v>425</v>
      </c>
      <c r="W154" t="n">
        <v>425</v>
      </c>
      <c r="X154" t="n">
        <v>0</v>
      </c>
      <c r="Y154" t="n">
        <v>6</v>
      </c>
      <c r="Z154" t="n">
        <v>620</v>
      </c>
    </row>
    <row r="155">
      <c r="A155" t="inlineStr">
        <is>
          <t>2025-11-04 06:48:19.638475+00:00</t>
        </is>
      </c>
      <c r="B155" t="inlineStr">
        <is>
          <t>Line Dom</t>
        </is>
      </c>
      <c r="C155" t="inlineStr">
        <is>
          <t>GUC</t>
        </is>
      </c>
      <c r="D155" t="inlineStr">
        <is>
          <t>UA</t>
        </is>
      </c>
      <c r="E155" t="inlineStr">
        <is>
          <t>Express</t>
        </is>
      </c>
      <c r="F155" t="n">
        <v>0</v>
      </c>
      <c r="G155" t="n">
        <v>0</v>
      </c>
      <c r="H155" t="n">
        <v>0</v>
      </c>
      <c r="I155" t="n">
        <v>0</v>
      </c>
      <c r="J155" t="n">
        <v>0</v>
      </c>
      <c r="K155" t="n">
        <v>0</v>
      </c>
      <c r="L155" t="n">
        <v>4</v>
      </c>
      <c r="M155" t="n">
        <v>0</v>
      </c>
      <c r="N155" t="n">
        <v>2</v>
      </c>
      <c r="O155" t="n">
        <v>3</v>
      </c>
      <c r="P155" t="n">
        <v>3</v>
      </c>
      <c r="Q155" t="n">
        <v>3</v>
      </c>
      <c r="R155" t="n">
        <v>962</v>
      </c>
      <c r="S155" t="n">
        <v>957</v>
      </c>
      <c r="T155" t="n">
        <v>629</v>
      </c>
      <c r="U155" t="n">
        <v>765</v>
      </c>
      <c r="V155" t="n">
        <v>684</v>
      </c>
      <c r="W155" t="n">
        <v>684</v>
      </c>
      <c r="X155" t="n">
        <v>0</v>
      </c>
      <c r="Y155" t="n">
        <v>4</v>
      </c>
      <c r="Z155" t="n">
        <v>962</v>
      </c>
    </row>
    <row r="156">
      <c r="A156" t="inlineStr">
        <is>
          <t>2025-11-04 06:48:19.638475+00:00</t>
        </is>
      </c>
      <c r="B156" t="inlineStr">
        <is>
          <t>Line Dom</t>
        </is>
      </c>
      <c r="C156" t="inlineStr">
        <is>
          <t>LIT</t>
        </is>
      </c>
      <c r="D156" t="inlineStr">
        <is>
          <t>UA</t>
        </is>
      </c>
      <c r="E156" t="inlineStr">
        <is>
          <t>Express</t>
        </is>
      </c>
      <c r="F156" t="n">
        <v>0</v>
      </c>
      <c r="G156" t="n">
        <v>0</v>
      </c>
      <c r="H156" t="n">
        <v>0</v>
      </c>
      <c r="I156" t="n">
        <v>0</v>
      </c>
      <c r="J156" t="n">
        <v>0</v>
      </c>
      <c r="K156" t="n">
        <v>0</v>
      </c>
      <c r="L156" t="n">
        <v>24</v>
      </c>
      <c r="M156" t="n">
        <v>0</v>
      </c>
      <c r="N156" t="n">
        <v>19</v>
      </c>
      <c r="O156" t="n">
        <v>21</v>
      </c>
      <c r="P156" t="n">
        <v>20</v>
      </c>
      <c r="Q156" t="n">
        <v>20</v>
      </c>
      <c r="R156" t="n">
        <v>3259</v>
      </c>
      <c r="S156" t="n">
        <v>3209</v>
      </c>
      <c r="T156" t="n">
        <v>2097</v>
      </c>
      <c r="U156" t="n">
        <v>2497</v>
      </c>
      <c r="V156" t="n">
        <v>2195</v>
      </c>
      <c r="W156" t="n">
        <v>2195</v>
      </c>
      <c r="X156" t="n">
        <v>0</v>
      </c>
      <c r="Y156" t="n">
        <v>24</v>
      </c>
      <c r="Z156" t="n">
        <v>3260</v>
      </c>
    </row>
    <row r="157">
      <c r="A157" t="inlineStr">
        <is>
          <t>2025-11-04 06:48:19.638475+00:00</t>
        </is>
      </c>
      <c r="B157" t="inlineStr">
        <is>
          <t>Line Dom</t>
        </is>
      </c>
      <c r="C157" t="inlineStr">
        <is>
          <t>GJT</t>
        </is>
      </c>
      <c r="D157" t="inlineStr">
        <is>
          <t>UA</t>
        </is>
      </c>
      <c r="E157" t="inlineStr">
        <is>
          <t>Express</t>
        </is>
      </c>
      <c r="F157" t="n">
        <v>0</v>
      </c>
      <c r="G157" t="n">
        <v>0</v>
      </c>
      <c r="H157" t="n">
        <v>0</v>
      </c>
      <c r="I157" t="n">
        <v>0</v>
      </c>
      <c r="J157" t="n">
        <v>0</v>
      </c>
      <c r="K157" t="n">
        <v>0</v>
      </c>
      <c r="L157" t="n">
        <v>8</v>
      </c>
      <c r="M157" t="n">
        <v>0</v>
      </c>
      <c r="N157" t="n">
        <v>6</v>
      </c>
      <c r="O157" t="n">
        <v>6</v>
      </c>
      <c r="P157" t="n">
        <v>6</v>
      </c>
      <c r="Q157" t="n">
        <v>6</v>
      </c>
      <c r="R157" t="n">
        <v>1219</v>
      </c>
      <c r="S157" t="n">
        <v>1204</v>
      </c>
      <c r="T157" t="n">
        <v>741</v>
      </c>
      <c r="U157" t="n">
        <v>897</v>
      </c>
      <c r="V157" t="n">
        <v>783</v>
      </c>
      <c r="W157" t="n">
        <v>783</v>
      </c>
      <c r="X157" t="n">
        <v>0</v>
      </c>
      <c r="Y157" t="n">
        <v>8</v>
      </c>
      <c r="Z157" t="n">
        <v>1219</v>
      </c>
    </row>
    <row r="158">
      <c r="A158" t="inlineStr">
        <is>
          <t>2025-11-04 06:48:19.638475+00:00</t>
        </is>
      </c>
      <c r="B158" t="inlineStr">
        <is>
          <t>Line Int</t>
        </is>
      </c>
      <c r="C158" t="inlineStr">
        <is>
          <t>MTY</t>
        </is>
      </c>
      <c r="D158" t="inlineStr">
        <is>
          <t>UA</t>
        </is>
      </c>
      <c r="E158" t="inlineStr">
        <is>
          <t>Express</t>
        </is>
      </c>
      <c r="F158" t="n">
        <v>0</v>
      </c>
      <c r="G158" t="n">
        <v>0</v>
      </c>
      <c r="H158" t="n">
        <v>0</v>
      </c>
      <c r="I158" t="n">
        <v>0</v>
      </c>
      <c r="J158" t="n">
        <v>0</v>
      </c>
      <c r="K158" t="n">
        <v>0</v>
      </c>
      <c r="L158" t="n">
        <v>12</v>
      </c>
      <c r="M158" t="n">
        <v>0</v>
      </c>
      <c r="N158" t="n">
        <v>5</v>
      </c>
      <c r="O158" t="n">
        <v>8</v>
      </c>
      <c r="P158" t="n">
        <v>12</v>
      </c>
      <c r="Q158" t="n">
        <v>12</v>
      </c>
      <c r="R158" t="n">
        <v>1687</v>
      </c>
      <c r="S158" t="n">
        <v>1677</v>
      </c>
      <c r="T158" t="n">
        <v>1007</v>
      </c>
      <c r="U158" t="n">
        <v>1306</v>
      </c>
      <c r="V158" t="n">
        <v>1435</v>
      </c>
      <c r="W158" t="n">
        <v>1435</v>
      </c>
      <c r="X158" t="n">
        <v>0</v>
      </c>
      <c r="Y158" t="n">
        <v>12</v>
      </c>
      <c r="Z158" t="n">
        <v>1687</v>
      </c>
    </row>
    <row r="159">
      <c r="A159" t="inlineStr">
        <is>
          <t>2025-11-04 06:48:19.638475+00:00</t>
        </is>
      </c>
      <c r="B159" t="inlineStr">
        <is>
          <t>Line Dom</t>
        </is>
      </c>
      <c r="C159" t="inlineStr">
        <is>
          <t>BUR</t>
        </is>
      </c>
      <c r="D159" t="inlineStr">
        <is>
          <t>UA</t>
        </is>
      </c>
      <c r="E159" t="inlineStr">
        <is>
          <t>Express</t>
        </is>
      </c>
      <c r="F159" t="n">
        <v>0</v>
      </c>
      <c r="G159" t="n">
        <v>0</v>
      </c>
      <c r="H159" t="n">
        <v>0</v>
      </c>
      <c r="I159" t="n">
        <v>0</v>
      </c>
      <c r="J159" t="n">
        <v>0</v>
      </c>
      <c r="K159" t="n">
        <v>0</v>
      </c>
      <c r="L159" t="n">
        <v>4</v>
      </c>
      <c r="M159" t="n">
        <v>0</v>
      </c>
      <c r="N159" t="n">
        <v>3</v>
      </c>
      <c r="O159" t="n">
        <v>3</v>
      </c>
      <c r="P159" t="n">
        <v>3</v>
      </c>
      <c r="Q159" t="n">
        <v>3</v>
      </c>
      <c r="R159" t="n">
        <v>795</v>
      </c>
      <c r="S159" t="n">
        <v>785</v>
      </c>
      <c r="T159" t="n">
        <v>581</v>
      </c>
      <c r="U159" t="n">
        <v>696</v>
      </c>
      <c r="V159" t="n">
        <v>624</v>
      </c>
      <c r="W159" t="n">
        <v>624</v>
      </c>
      <c r="X159" t="n">
        <v>0</v>
      </c>
      <c r="Y159" t="n">
        <v>4</v>
      </c>
      <c r="Z159" t="n">
        <v>795</v>
      </c>
    </row>
    <row r="160">
      <c r="A160" t="inlineStr">
        <is>
          <t>2025-11-04 06:48:19.638475+00:00</t>
        </is>
      </c>
      <c r="B160" t="inlineStr">
        <is>
          <t>Line Dom</t>
        </is>
      </c>
      <c r="C160" t="inlineStr">
        <is>
          <t>PIB</t>
        </is>
      </c>
      <c r="D160" t="inlineStr">
        <is>
          <t>UA</t>
        </is>
      </c>
      <c r="E160" t="inlineStr">
        <is>
          <t>Express</t>
        </is>
      </c>
      <c r="F160" t="n">
        <v>0</v>
      </c>
      <c r="G160" t="n">
        <v>0</v>
      </c>
      <c r="H160" t="n">
        <v>0</v>
      </c>
      <c r="I160" t="n">
        <v>0</v>
      </c>
      <c r="J160" t="n">
        <v>0</v>
      </c>
      <c r="K160" t="n">
        <v>0</v>
      </c>
      <c r="L160" t="n">
        <v>3</v>
      </c>
      <c r="M160" t="n">
        <v>0</v>
      </c>
      <c r="N160" t="n">
        <v>3</v>
      </c>
      <c r="O160" t="n">
        <v>3</v>
      </c>
      <c r="P160" t="n">
        <v>3</v>
      </c>
      <c r="Q160" t="n">
        <v>3</v>
      </c>
      <c r="R160" t="n">
        <v>525</v>
      </c>
      <c r="S160" t="n">
        <v>513</v>
      </c>
      <c r="T160" t="n">
        <v>342</v>
      </c>
      <c r="U160" t="n">
        <v>376</v>
      </c>
      <c r="V160" t="n">
        <v>382</v>
      </c>
      <c r="W160" t="n">
        <v>382</v>
      </c>
      <c r="X160" t="n">
        <v>0</v>
      </c>
      <c r="Y160" t="n">
        <v>3</v>
      </c>
      <c r="Z160" t="n">
        <v>525</v>
      </c>
    </row>
    <row r="161">
      <c r="A161" t="inlineStr">
        <is>
          <t>2025-11-04 06:48:19.638475+00:00</t>
        </is>
      </c>
      <c r="B161" t="inlineStr">
        <is>
          <t>Line Int</t>
        </is>
      </c>
      <c r="C161" t="inlineStr">
        <is>
          <t>YYZ</t>
        </is>
      </c>
      <c r="D161" t="inlineStr">
        <is>
          <t>UA</t>
        </is>
      </c>
      <c r="E161" t="inlineStr">
        <is>
          <t>Express</t>
        </is>
      </c>
      <c r="F161" t="n">
        <v>0</v>
      </c>
      <c r="G161" t="n">
        <v>0</v>
      </c>
      <c r="H161" t="n">
        <v>0</v>
      </c>
      <c r="I161" t="n">
        <v>0</v>
      </c>
      <c r="J161" t="n">
        <v>0</v>
      </c>
      <c r="K161" t="n">
        <v>0</v>
      </c>
      <c r="L161" t="n">
        <v>23</v>
      </c>
      <c r="M161" t="n">
        <v>1</v>
      </c>
      <c r="N161" t="n">
        <v>10</v>
      </c>
      <c r="O161" t="n">
        <v>15</v>
      </c>
      <c r="P161" t="n">
        <v>15</v>
      </c>
      <c r="Q161" t="n">
        <v>15</v>
      </c>
      <c r="R161" t="n">
        <v>4124</v>
      </c>
      <c r="S161" t="n">
        <v>3988</v>
      </c>
      <c r="T161" t="n">
        <v>2664</v>
      </c>
      <c r="U161" t="n">
        <v>3222</v>
      </c>
      <c r="V161" t="n">
        <v>3179</v>
      </c>
      <c r="W161" t="n">
        <v>3179</v>
      </c>
      <c r="X161" t="n">
        <v>0</v>
      </c>
      <c r="Y161" t="n">
        <v>23</v>
      </c>
      <c r="Z161" t="n">
        <v>4121</v>
      </c>
    </row>
    <row r="162">
      <c r="A162" t="inlineStr">
        <is>
          <t>2025-11-04 06:48:19.638475+00:00</t>
        </is>
      </c>
      <c r="B162" t="inlineStr">
        <is>
          <t>Line Dom</t>
        </is>
      </c>
      <c r="C162" t="inlineStr">
        <is>
          <t>HHH</t>
        </is>
      </c>
      <c r="D162" t="inlineStr">
        <is>
          <t>UA</t>
        </is>
      </c>
      <c r="E162" t="inlineStr">
        <is>
          <t>Express</t>
        </is>
      </c>
      <c r="F162" t="n">
        <v>0</v>
      </c>
      <c r="G162" t="n">
        <v>0</v>
      </c>
      <c r="H162" t="n">
        <v>0</v>
      </c>
      <c r="I162" t="n">
        <v>0</v>
      </c>
      <c r="J162" t="n">
        <v>0</v>
      </c>
      <c r="K162" t="n">
        <v>0</v>
      </c>
      <c r="L162" t="n">
        <v>0</v>
      </c>
      <c r="M162" t="n">
        <v>0</v>
      </c>
      <c r="N162" t="n">
        <v>0</v>
      </c>
      <c r="O162" t="n">
        <v>0</v>
      </c>
      <c r="P162" t="n">
        <v>0</v>
      </c>
      <c r="Q162" t="n">
        <v>0</v>
      </c>
      <c r="R162" t="n">
        <v>234</v>
      </c>
      <c r="S162" t="n">
        <v>223</v>
      </c>
      <c r="T162" t="n">
        <v>158</v>
      </c>
      <c r="U162" t="n">
        <v>188</v>
      </c>
      <c r="V162" t="n">
        <v>149</v>
      </c>
      <c r="W162" t="n">
        <v>149</v>
      </c>
      <c r="X162" t="n">
        <v>0</v>
      </c>
      <c r="Y162" t="n">
        <v>0</v>
      </c>
      <c r="Z162" t="n">
        <v>234</v>
      </c>
    </row>
    <row r="163">
      <c r="A163" t="inlineStr">
        <is>
          <t>2025-11-04 06:48:19.638475+00:00</t>
        </is>
      </c>
      <c r="B163" t="inlineStr">
        <is>
          <t>Line Dom</t>
        </is>
      </c>
      <c r="C163" t="inlineStr">
        <is>
          <t>RHI</t>
        </is>
      </c>
      <c r="D163" t="inlineStr">
        <is>
          <t>UA</t>
        </is>
      </c>
      <c r="E163" t="inlineStr">
        <is>
          <t>Express</t>
        </is>
      </c>
      <c r="F163" t="n">
        <v>0</v>
      </c>
      <c r="G163" t="n">
        <v>0</v>
      </c>
      <c r="H163" t="n">
        <v>0</v>
      </c>
      <c r="I163" t="n">
        <v>0</v>
      </c>
      <c r="J163" t="n">
        <v>0</v>
      </c>
      <c r="K163" t="n">
        <v>0</v>
      </c>
      <c r="L163" t="n">
        <v>0</v>
      </c>
      <c r="M163" t="n">
        <v>0</v>
      </c>
      <c r="N163" t="n">
        <v>0</v>
      </c>
      <c r="O163" t="n">
        <v>0</v>
      </c>
      <c r="P163" t="n">
        <v>0</v>
      </c>
      <c r="Q163" t="n">
        <v>0</v>
      </c>
      <c r="R163" t="n">
        <v>201</v>
      </c>
      <c r="S163" t="n">
        <v>194</v>
      </c>
      <c r="T163" t="n">
        <v>107</v>
      </c>
      <c r="U163" t="n">
        <v>140</v>
      </c>
      <c r="V163" t="n">
        <v>132</v>
      </c>
      <c r="W163" t="n">
        <v>132</v>
      </c>
      <c r="X163" t="n">
        <v>0</v>
      </c>
      <c r="Y163" t="n">
        <v>0</v>
      </c>
      <c r="Z163" t="n">
        <v>201</v>
      </c>
    </row>
    <row r="164">
      <c r="A164" t="inlineStr">
        <is>
          <t>2025-11-04 06:48:19.638475+00:00</t>
        </is>
      </c>
      <c r="B164" t="inlineStr">
        <is>
          <t>Line Dom</t>
        </is>
      </c>
      <c r="C164" t="inlineStr">
        <is>
          <t>FCA</t>
        </is>
      </c>
      <c r="D164" t="inlineStr">
        <is>
          <t>UA</t>
        </is>
      </c>
      <c r="E164" t="inlineStr">
        <is>
          <t>Express</t>
        </is>
      </c>
      <c r="F164" t="n">
        <v>0</v>
      </c>
      <c r="G164" t="n">
        <v>0</v>
      </c>
      <c r="H164" t="n">
        <v>0</v>
      </c>
      <c r="I164" t="n">
        <v>0</v>
      </c>
      <c r="J164" t="n">
        <v>0</v>
      </c>
      <c r="K164" t="n">
        <v>0</v>
      </c>
      <c r="L164" t="n">
        <v>0</v>
      </c>
      <c r="M164" t="n">
        <v>0</v>
      </c>
      <c r="N164" t="n">
        <v>0</v>
      </c>
      <c r="O164" t="n">
        <v>0</v>
      </c>
      <c r="P164" t="n">
        <v>0</v>
      </c>
      <c r="Q164" t="n">
        <v>0</v>
      </c>
      <c r="R164" t="n">
        <v>796</v>
      </c>
      <c r="S164" t="n">
        <v>793</v>
      </c>
      <c r="T164" t="n">
        <v>527</v>
      </c>
      <c r="U164" t="n">
        <v>665</v>
      </c>
      <c r="V164" t="n">
        <v>599</v>
      </c>
      <c r="W164" t="n">
        <v>600</v>
      </c>
      <c r="X164" t="n">
        <v>0</v>
      </c>
      <c r="Y164" t="n">
        <v>0</v>
      </c>
      <c r="Z164" t="n">
        <v>796</v>
      </c>
    </row>
    <row r="165">
      <c r="A165" t="inlineStr">
        <is>
          <t>2025-11-04 06:48:19.638475+00:00</t>
        </is>
      </c>
      <c r="B165" t="inlineStr">
        <is>
          <t>Line Dom</t>
        </is>
      </c>
      <c r="C165" t="inlineStr">
        <is>
          <t>FWA</t>
        </is>
      </c>
      <c r="D165" t="inlineStr">
        <is>
          <t>UA</t>
        </is>
      </c>
      <c r="E165" t="inlineStr">
        <is>
          <t>Express</t>
        </is>
      </c>
      <c r="F165" t="n">
        <v>0</v>
      </c>
      <c r="G165" t="n">
        <v>0</v>
      </c>
      <c r="H165" t="n">
        <v>0</v>
      </c>
      <c r="I165" t="n">
        <v>0</v>
      </c>
      <c r="J165" t="n">
        <v>0</v>
      </c>
      <c r="K165" t="n">
        <v>0</v>
      </c>
      <c r="L165" t="n">
        <v>10</v>
      </c>
      <c r="M165" t="n">
        <v>0</v>
      </c>
      <c r="N165" t="n">
        <v>4</v>
      </c>
      <c r="O165" t="n">
        <v>6</v>
      </c>
      <c r="P165" t="n">
        <v>8</v>
      </c>
      <c r="Q165" t="n">
        <v>8</v>
      </c>
      <c r="R165" t="n">
        <v>1259</v>
      </c>
      <c r="S165" t="n">
        <v>1233</v>
      </c>
      <c r="T165" t="n">
        <v>673</v>
      </c>
      <c r="U165" t="n">
        <v>878</v>
      </c>
      <c r="V165" t="n">
        <v>839</v>
      </c>
      <c r="W165" t="n">
        <v>839</v>
      </c>
      <c r="X165" t="n">
        <v>0</v>
      </c>
      <c r="Y165" t="n">
        <v>10</v>
      </c>
      <c r="Z165" t="n">
        <v>1260</v>
      </c>
    </row>
    <row r="166">
      <c r="A166" t="inlineStr">
        <is>
          <t>2025-11-04 06:48:19.638475+00:00</t>
        </is>
      </c>
      <c r="B166" t="inlineStr">
        <is>
          <t>Line Dom</t>
        </is>
      </c>
      <c r="C166" t="inlineStr">
        <is>
          <t>JAN</t>
        </is>
      </c>
      <c r="D166" t="inlineStr">
        <is>
          <t>UA</t>
        </is>
      </c>
      <c r="E166" t="inlineStr">
        <is>
          <t>Express</t>
        </is>
      </c>
      <c r="F166" t="n">
        <v>0</v>
      </c>
      <c r="G166" t="n">
        <v>0</v>
      </c>
      <c r="H166" t="n">
        <v>0</v>
      </c>
      <c r="I166" t="n">
        <v>0</v>
      </c>
      <c r="J166" t="n">
        <v>0</v>
      </c>
      <c r="K166" t="n">
        <v>0</v>
      </c>
      <c r="L166" t="n">
        <v>9</v>
      </c>
      <c r="M166" t="n">
        <v>0</v>
      </c>
      <c r="N166" t="n">
        <v>4</v>
      </c>
      <c r="O166" t="n">
        <v>5</v>
      </c>
      <c r="P166" t="n">
        <v>6</v>
      </c>
      <c r="Q166" t="n">
        <v>6</v>
      </c>
      <c r="R166" t="n">
        <v>1306</v>
      </c>
      <c r="S166" t="n">
        <v>1284</v>
      </c>
      <c r="T166" t="n">
        <v>935</v>
      </c>
      <c r="U166" t="n">
        <v>1044</v>
      </c>
      <c r="V166" t="n">
        <v>1022</v>
      </c>
      <c r="W166" t="n">
        <v>1022</v>
      </c>
      <c r="X166" t="n">
        <v>0</v>
      </c>
      <c r="Y166" t="n">
        <v>9</v>
      </c>
      <c r="Z166" t="n">
        <v>1307</v>
      </c>
    </row>
    <row r="167">
      <c r="A167" t="inlineStr">
        <is>
          <t>2025-11-04 06:48:19.638475+00:00</t>
        </is>
      </c>
      <c r="B167" t="inlineStr">
        <is>
          <t>Line Int</t>
        </is>
      </c>
      <c r="C167" t="inlineStr">
        <is>
          <t>TAM</t>
        </is>
      </c>
      <c r="D167" t="inlineStr">
        <is>
          <t>UA</t>
        </is>
      </c>
      <c r="E167" t="inlineStr">
        <is>
          <t>Express</t>
        </is>
      </c>
      <c r="F167" t="n">
        <v>0</v>
      </c>
      <c r="G167" t="n">
        <v>0</v>
      </c>
      <c r="H167" t="n">
        <v>0</v>
      </c>
      <c r="I167" t="n">
        <v>0</v>
      </c>
      <c r="J167" t="n">
        <v>0</v>
      </c>
      <c r="K167" t="n">
        <v>0</v>
      </c>
      <c r="L167" t="n">
        <v>4</v>
      </c>
      <c r="M167" t="n">
        <v>0</v>
      </c>
      <c r="N167" t="n">
        <v>1</v>
      </c>
      <c r="O167" t="n">
        <v>3</v>
      </c>
      <c r="P167" t="n">
        <v>4</v>
      </c>
      <c r="Q167" t="n">
        <v>4</v>
      </c>
      <c r="R167" t="n">
        <v>419</v>
      </c>
      <c r="S167" t="n">
        <v>417</v>
      </c>
      <c r="T167" t="n">
        <v>302</v>
      </c>
      <c r="U167" t="n">
        <v>349</v>
      </c>
      <c r="V167" t="n">
        <v>368</v>
      </c>
      <c r="W167" t="n">
        <v>368</v>
      </c>
      <c r="X167" t="n">
        <v>0</v>
      </c>
      <c r="Y167" t="n">
        <v>4</v>
      </c>
      <c r="Z167" t="n">
        <v>420</v>
      </c>
    </row>
    <row r="168">
      <c r="A168" t="inlineStr">
        <is>
          <t>2025-11-04 06:48:19.638475+00:00</t>
        </is>
      </c>
      <c r="B168" t="inlineStr">
        <is>
          <t>Line Dom</t>
        </is>
      </c>
      <c r="C168" t="inlineStr">
        <is>
          <t>GCC</t>
        </is>
      </c>
      <c r="D168" t="inlineStr">
        <is>
          <t>UA</t>
        </is>
      </c>
      <c r="E168" t="inlineStr">
        <is>
          <t>Express</t>
        </is>
      </c>
      <c r="F168" t="n">
        <v>0</v>
      </c>
      <c r="G168" t="n">
        <v>0</v>
      </c>
      <c r="H168" t="n">
        <v>0</v>
      </c>
      <c r="I168" t="n">
        <v>0</v>
      </c>
      <c r="J168" t="n">
        <v>0</v>
      </c>
      <c r="K168" t="n">
        <v>0</v>
      </c>
      <c r="L168" t="n">
        <v>4</v>
      </c>
      <c r="M168" t="n">
        <v>0</v>
      </c>
      <c r="N168" t="n">
        <v>4</v>
      </c>
      <c r="O168" t="n">
        <v>4</v>
      </c>
      <c r="P168" t="n">
        <v>4</v>
      </c>
      <c r="Q168" t="n">
        <v>4</v>
      </c>
      <c r="R168" t="n">
        <v>612</v>
      </c>
      <c r="S168" t="n">
        <v>599</v>
      </c>
      <c r="T168" t="n">
        <v>382</v>
      </c>
      <c r="U168" t="n">
        <v>467</v>
      </c>
      <c r="V168" t="n">
        <v>444</v>
      </c>
      <c r="W168" t="n">
        <v>444</v>
      </c>
      <c r="X168" t="n">
        <v>0</v>
      </c>
      <c r="Y168" t="n">
        <v>4</v>
      </c>
      <c r="Z168" t="n">
        <v>612</v>
      </c>
    </row>
    <row r="169">
      <c r="A169" t="inlineStr">
        <is>
          <t>2025-11-04 06:48:19.638475+00:00</t>
        </is>
      </c>
      <c r="B169" t="inlineStr">
        <is>
          <t>Line Dom</t>
        </is>
      </c>
      <c r="C169" t="inlineStr">
        <is>
          <t>PNS</t>
        </is>
      </c>
      <c r="D169" t="inlineStr">
        <is>
          <t>UA</t>
        </is>
      </c>
      <c r="E169" t="inlineStr">
        <is>
          <t>Express</t>
        </is>
      </c>
      <c r="F169" t="n">
        <v>0</v>
      </c>
      <c r="G169" t="n">
        <v>0</v>
      </c>
      <c r="H169" t="n">
        <v>0</v>
      </c>
      <c r="I169" t="n">
        <v>0</v>
      </c>
      <c r="J169" t="n">
        <v>0</v>
      </c>
      <c r="K169" t="n">
        <v>0</v>
      </c>
      <c r="L169" t="n">
        <v>10</v>
      </c>
      <c r="M169" t="n">
        <v>0</v>
      </c>
      <c r="N169" t="n">
        <v>7</v>
      </c>
      <c r="O169" t="n">
        <v>8</v>
      </c>
      <c r="P169" t="n">
        <v>8</v>
      </c>
      <c r="Q169" t="n">
        <v>8</v>
      </c>
      <c r="R169" t="n">
        <v>1030</v>
      </c>
      <c r="S169" t="n">
        <v>1008</v>
      </c>
      <c r="T169" t="n">
        <v>696</v>
      </c>
      <c r="U169" t="n">
        <v>803</v>
      </c>
      <c r="V169" t="n">
        <v>784</v>
      </c>
      <c r="W169" t="n">
        <v>785</v>
      </c>
      <c r="X169" t="n">
        <v>0</v>
      </c>
      <c r="Y169" t="n">
        <v>10</v>
      </c>
      <c r="Z169" t="n">
        <v>1031</v>
      </c>
    </row>
    <row r="170">
      <c r="A170" t="inlineStr">
        <is>
          <t>2025-11-04 06:48:19.638475+00:00</t>
        </is>
      </c>
      <c r="B170" t="inlineStr">
        <is>
          <t>Line Dom</t>
        </is>
      </c>
      <c r="C170" t="inlineStr">
        <is>
          <t>DRO</t>
        </is>
      </c>
      <c r="D170" t="inlineStr">
        <is>
          <t>UA</t>
        </is>
      </c>
      <c r="E170" t="inlineStr">
        <is>
          <t>Express</t>
        </is>
      </c>
      <c r="F170" t="n">
        <v>0</v>
      </c>
      <c r="G170" t="n">
        <v>0</v>
      </c>
      <c r="H170" t="n">
        <v>0</v>
      </c>
      <c r="I170" t="n">
        <v>0</v>
      </c>
      <c r="J170" t="n">
        <v>0</v>
      </c>
      <c r="K170" t="n">
        <v>0</v>
      </c>
      <c r="L170" t="n">
        <v>8</v>
      </c>
      <c r="M170" t="n">
        <v>0</v>
      </c>
      <c r="N170" t="n">
        <v>7</v>
      </c>
      <c r="O170" t="n">
        <v>8</v>
      </c>
      <c r="P170" t="n">
        <v>7</v>
      </c>
      <c r="Q170" t="n">
        <v>7</v>
      </c>
      <c r="R170" t="n">
        <v>1284</v>
      </c>
      <c r="S170" t="n">
        <v>1271</v>
      </c>
      <c r="T170" t="n">
        <v>834</v>
      </c>
      <c r="U170" t="n">
        <v>984</v>
      </c>
      <c r="V170" t="n">
        <v>826</v>
      </c>
      <c r="W170" t="n">
        <v>826</v>
      </c>
      <c r="X170" t="n">
        <v>0</v>
      </c>
      <c r="Y170" t="n">
        <v>8</v>
      </c>
      <c r="Z170" t="n">
        <v>1284</v>
      </c>
    </row>
    <row r="171">
      <c r="A171" t="inlineStr">
        <is>
          <t>2025-11-04 06:48:19.638475+00:00</t>
        </is>
      </c>
      <c r="B171" t="inlineStr">
        <is>
          <t>Line Dom</t>
        </is>
      </c>
      <c r="C171" t="inlineStr">
        <is>
          <t>SYR</t>
        </is>
      </c>
      <c r="D171" t="inlineStr">
        <is>
          <t>UA</t>
        </is>
      </c>
      <c r="E171" t="inlineStr">
        <is>
          <t>Express</t>
        </is>
      </c>
      <c r="F171" t="n">
        <v>0</v>
      </c>
      <c r="G171" t="n">
        <v>0</v>
      </c>
      <c r="H171" t="n">
        <v>0</v>
      </c>
      <c r="I171" t="n">
        <v>0</v>
      </c>
      <c r="J171" t="n">
        <v>0</v>
      </c>
      <c r="K171" t="n">
        <v>0</v>
      </c>
      <c r="L171" t="n">
        <v>13</v>
      </c>
      <c r="M171" t="n">
        <v>0</v>
      </c>
      <c r="N171" t="n">
        <v>9</v>
      </c>
      <c r="O171" t="n">
        <v>11</v>
      </c>
      <c r="P171" t="n">
        <v>11</v>
      </c>
      <c r="Q171" t="n">
        <v>11</v>
      </c>
      <c r="R171" t="n">
        <v>2155</v>
      </c>
      <c r="S171" t="n">
        <v>2098</v>
      </c>
      <c r="T171" t="n">
        <v>1360</v>
      </c>
      <c r="U171" t="n">
        <v>1646</v>
      </c>
      <c r="V171" t="n">
        <v>1566</v>
      </c>
      <c r="W171" t="n">
        <v>1566</v>
      </c>
      <c r="X171" t="n">
        <v>0</v>
      </c>
      <c r="Y171" t="n">
        <v>13</v>
      </c>
      <c r="Z171" t="n">
        <v>2149</v>
      </c>
    </row>
    <row r="172">
      <c r="A172" t="inlineStr">
        <is>
          <t>2025-11-04 06:48:19.638475+00:00</t>
        </is>
      </c>
      <c r="B172" t="inlineStr">
        <is>
          <t>Line Int</t>
        </is>
      </c>
      <c r="C172" t="inlineStr">
        <is>
          <t>ACA</t>
        </is>
      </c>
      <c r="D172" t="inlineStr">
        <is>
          <t>UA</t>
        </is>
      </c>
      <c r="E172" t="inlineStr">
        <is>
          <t>Express</t>
        </is>
      </c>
      <c r="F172" t="n">
        <v>0</v>
      </c>
      <c r="G172" t="n">
        <v>0</v>
      </c>
      <c r="H172" t="n">
        <v>0</v>
      </c>
      <c r="I172" t="n">
        <v>0</v>
      </c>
      <c r="J172" t="n">
        <v>0</v>
      </c>
      <c r="K172" t="n">
        <v>0</v>
      </c>
      <c r="L172" t="n">
        <v>1</v>
      </c>
      <c r="M172" t="n">
        <v>0</v>
      </c>
      <c r="N172" t="n">
        <v>0</v>
      </c>
      <c r="O172" t="n">
        <v>0</v>
      </c>
      <c r="P172" t="n">
        <v>0</v>
      </c>
      <c r="Q172" t="n">
        <v>0</v>
      </c>
      <c r="R172" t="n">
        <v>45</v>
      </c>
      <c r="S172" t="n">
        <v>45</v>
      </c>
      <c r="T172" t="n">
        <v>28</v>
      </c>
      <c r="U172" t="n">
        <v>41</v>
      </c>
      <c r="V172" t="n">
        <v>40</v>
      </c>
      <c r="W172" t="n">
        <v>40</v>
      </c>
      <c r="X172" t="n">
        <v>0</v>
      </c>
      <c r="Y172" t="n">
        <v>1</v>
      </c>
      <c r="Z172" t="n">
        <v>45</v>
      </c>
    </row>
    <row r="173">
      <c r="A173" t="inlineStr">
        <is>
          <t>2025-11-04 06:48:19.638475+00:00</t>
        </is>
      </c>
      <c r="B173" t="inlineStr">
        <is>
          <t>Line Dom</t>
        </is>
      </c>
      <c r="C173" t="inlineStr">
        <is>
          <t>SDF</t>
        </is>
      </c>
      <c r="D173" t="inlineStr">
        <is>
          <t>UA</t>
        </is>
      </c>
      <c r="E173" t="inlineStr">
        <is>
          <t>Express</t>
        </is>
      </c>
      <c r="F173" t="n">
        <v>0</v>
      </c>
      <c r="G173" t="n">
        <v>0</v>
      </c>
      <c r="H173" t="n">
        <v>0</v>
      </c>
      <c r="I173" t="n">
        <v>0</v>
      </c>
      <c r="J173" t="n">
        <v>0</v>
      </c>
      <c r="K173" t="n">
        <v>0</v>
      </c>
      <c r="L173" t="n">
        <v>25</v>
      </c>
      <c r="M173" t="n">
        <v>1</v>
      </c>
      <c r="N173" t="n">
        <v>13</v>
      </c>
      <c r="O173" t="n">
        <v>19</v>
      </c>
      <c r="P173" t="n">
        <v>15</v>
      </c>
      <c r="Q173" t="n">
        <v>15</v>
      </c>
      <c r="R173" t="n">
        <v>3898</v>
      </c>
      <c r="S173" t="n">
        <v>3821</v>
      </c>
      <c r="T173" t="n">
        <v>2552</v>
      </c>
      <c r="U173" t="n">
        <v>3066</v>
      </c>
      <c r="V173" t="n">
        <v>2896</v>
      </c>
      <c r="W173" t="n">
        <v>2898</v>
      </c>
      <c r="X173" t="n">
        <v>0</v>
      </c>
      <c r="Y173" t="n">
        <v>25</v>
      </c>
      <c r="Z173" t="n">
        <v>3900</v>
      </c>
    </row>
    <row r="174">
      <c r="A174" t="inlineStr">
        <is>
          <t>2025-11-04 06:48:19.638475+00:00</t>
        </is>
      </c>
      <c r="B174" t="inlineStr">
        <is>
          <t>Line Int</t>
        </is>
      </c>
      <c r="C174" t="inlineStr">
        <is>
          <t>GDL</t>
        </is>
      </c>
      <c r="D174" t="inlineStr">
        <is>
          <t>UA</t>
        </is>
      </c>
      <c r="E174" t="inlineStr">
        <is>
          <t>Express</t>
        </is>
      </c>
      <c r="F174" t="n">
        <v>0</v>
      </c>
      <c r="G174" t="n">
        <v>0</v>
      </c>
      <c r="H174" t="n">
        <v>0</v>
      </c>
      <c r="I174" t="n">
        <v>0</v>
      </c>
      <c r="J174" t="n">
        <v>0</v>
      </c>
      <c r="K174" t="n">
        <v>0</v>
      </c>
      <c r="L174" t="n">
        <v>2</v>
      </c>
      <c r="M174" t="n">
        <v>0</v>
      </c>
      <c r="N174" t="n">
        <v>1</v>
      </c>
      <c r="O174" t="n">
        <v>1</v>
      </c>
      <c r="P174" t="n">
        <v>1</v>
      </c>
      <c r="Q174" t="n">
        <v>1</v>
      </c>
      <c r="R174" t="n">
        <v>322</v>
      </c>
      <c r="S174" t="n">
        <v>317</v>
      </c>
      <c r="T174" t="n">
        <v>204</v>
      </c>
      <c r="U174" t="n">
        <v>265</v>
      </c>
      <c r="V174" t="n">
        <v>264</v>
      </c>
      <c r="W174" t="n">
        <v>264</v>
      </c>
      <c r="X174" t="n">
        <v>0</v>
      </c>
      <c r="Y174" t="n">
        <v>2</v>
      </c>
      <c r="Z174" t="n">
        <v>322</v>
      </c>
    </row>
    <row r="175">
      <c r="A175" t="inlineStr">
        <is>
          <t>2025-11-04 06:48:19.638475+00:00</t>
        </is>
      </c>
      <c r="B175" t="inlineStr">
        <is>
          <t>Line Dom</t>
        </is>
      </c>
      <c r="C175" t="inlineStr">
        <is>
          <t>ELP</t>
        </is>
      </c>
      <c r="D175" t="inlineStr">
        <is>
          <t>UA</t>
        </is>
      </c>
      <c r="E175" t="inlineStr">
        <is>
          <t>Express</t>
        </is>
      </c>
      <c r="F175" t="n">
        <v>0</v>
      </c>
      <c r="G175" t="n">
        <v>0</v>
      </c>
      <c r="H175" t="n">
        <v>0</v>
      </c>
      <c r="I175" t="n">
        <v>0</v>
      </c>
      <c r="J175" t="n">
        <v>0</v>
      </c>
      <c r="K175" t="n">
        <v>0</v>
      </c>
      <c r="L175" t="n">
        <v>12</v>
      </c>
      <c r="M175" t="n">
        <v>0</v>
      </c>
      <c r="N175" t="n">
        <v>11</v>
      </c>
      <c r="O175" t="n">
        <v>12</v>
      </c>
      <c r="P175" t="n">
        <v>10</v>
      </c>
      <c r="Q175" t="n">
        <v>10</v>
      </c>
      <c r="R175" t="n">
        <v>2170</v>
      </c>
      <c r="S175" t="n">
        <v>2134</v>
      </c>
      <c r="T175" t="n">
        <v>1375</v>
      </c>
      <c r="U175" t="n">
        <v>1667</v>
      </c>
      <c r="V175" t="n">
        <v>1680</v>
      </c>
      <c r="W175" t="n">
        <v>1680</v>
      </c>
      <c r="X175" t="n">
        <v>0</v>
      </c>
      <c r="Y175" t="n">
        <v>12</v>
      </c>
      <c r="Z175" t="n">
        <v>2170</v>
      </c>
    </row>
    <row r="176">
      <c r="A176" t="inlineStr">
        <is>
          <t>2025-11-04 06:48:19.638475+00:00</t>
        </is>
      </c>
      <c r="B176" t="inlineStr">
        <is>
          <t>Line Dom</t>
        </is>
      </c>
      <c r="C176" t="inlineStr">
        <is>
          <t>SAT</t>
        </is>
      </c>
      <c r="D176" t="inlineStr">
        <is>
          <t>UA</t>
        </is>
      </c>
      <c r="E176" t="inlineStr">
        <is>
          <t>Express</t>
        </is>
      </c>
      <c r="F176" t="n">
        <v>0</v>
      </c>
      <c r="G176" t="n">
        <v>0</v>
      </c>
      <c r="H176" t="n">
        <v>0</v>
      </c>
      <c r="I176" t="n">
        <v>0</v>
      </c>
      <c r="J176" t="n">
        <v>0</v>
      </c>
      <c r="K176" t="n">
        <v>0</v>
      </c>
      <c r="L176" t="n">
        <v>6</v>
      </c>
      <c r="M176" t="n">
        <v>0</v>
      </c>
      <c r="N176" t="n">
        <v>4</v>
      </c>
      <c r="O176" t="n">
        <v>6</v>
      </c>
      <c r="P176" t="n">
        <v>6</v>
      </c>
      <c r="Q176" t="n">
        <v>6</v>
      </c>
      <c r="R176" t="n">
        <v>1029</v>
      </c>
      <c r="S176" t="n">
        <v>1015</v>
      </c>
      <c r="T176" t="n">
        <v>668</v>
      </c>
      <c r="U176" t="n">
        <v>805</v>
      </c>
      <c r="V176" t="n">
        <v>785</v>
      </c>
      <c r="W176" t="n">
        <v>785</v>
      </c>
      <c r="X176" t="n">
        <v>0</v>
      </c>
      <c r="Y176" t="n">
        <v>6</v>
      </c>
      <c r="Z176" t="n">
        <v>1030</v>
      </c>
    </row>
    <row r="177">
      <c r="A177" t="inlineStr">
        <is>
          <t>2025-11-04 06:48:19.638475+00:00</t>
        </is>
      </c>
      <c r="B177" t="inlineStr">
        <is>
          <t>Line Dom</t>
        </is>
      </c>
      <c r="C177" t="inlineStr">
        <is>
          <t>RNO</t>
        </is>
      </c>
      <c r="D177" t="inlineStr">
        <is>
          <t>UA</t>
        </is>
      </c>
      <c r="E177" t="inlineStr">
        <is>
          <t>Express</t>
        </is>
      </c>
      <c r="F177" t="n">
        <v>0</v>
      </c>
      <c r="G177" t="n">
        <v>0</v>
      </c>
      <c r="H177" t="n">
        <v>0</v>
      </c>
      <c r="I177" t="n">
        <v>0</v>
      </c>
      <c r="J177" t="n">
        <v>0</v>
      </c>
      <c r="K177" t="n">
        <v>0</v>
      </c>
      <c r="L177" t="n">
        <v>11</v>
      </c>
      <c r="M177" t="n">
        <v>0</v>
      </c>
      <c r="N177" t="n">
        <v>8</v>
      </c>
      <c r="O177" t="n">
        <v>9</v>
      </c>
      <c r="P177" t="n">
        <v>8</v>
      </c>
      <c r="Q177" t="n">
        <v>8</v>
      </c>
      <c r="R177" t="n">
        <v>1664</v>
      </c>
      <c r="S177" t="n">
        <v>1646</v>
      </c>
      <c r="T177" t="n">
        <v>1231</v>
      </c>
      <c r="U177" t="n">
        <v>1438</v>
      </c>
      <c r="V177" t="n">
        <v>1326</v>
      </c>
      <c r="W177" t="n">
        <v>1326</v>
      </c>
      <c r="X177" t="n">
        <v>0</v>
      </c>
      <c r="Y177" t="n">
        <v>11</v>
      </c>
      <c r="Z177" t="n">
        <v>1663</v>
      </c>
    </row>
    <row r="178">
      <c r="A178" t="inlineStr">
        <is>
          <t>2025-11-04 06:48:19.638475+00:00</t>
        </is>
      </c>
      <c r="B178" t="inlineStr">
        <is>
          <t>Line Int</t>
        </is>
      </c>
      <c r="C178" t="inlineStr">
        <is>
          <t>YVR</t>
        </is>
      </c>
      <c r="D178" t="inlineStr">
        <is>
          <t>UA</t>
        </is>
      </c>
      <c r="E178" t="inlineStr">
        <is>
          <t>Express</t>
        </is>
      </c>
      <c r="F178" t="n">
        <v>0</v>
      </c>
      <c r="G178" t="n">
        <v>0</v>
      </c>
      <c r="H178" t="n">
        <v>0</v>
      </c>
      <c r="I178" t="n">
        <v>0</v>
      </c>
      <c r="J178" t="n">
        <v>0</v>
      </c>
      <c r="K178" t="n">
        <v>0</v>
      </c>
      <c r="L178" t="n">
        <v>0</v>
      </c>
      <c r="M178" t="n">
        <v>0</v>
      </c>
      <c r="N178" t="n">
        <v>0</v>
      </c>
      <c r="O178" t="n">
        <v>0</v>
      </c>
      <c r="P178" t="n">
        <v>0</v>
      </c>
      <c r="Q178" t="n">
        <v>0</v>
      </c>
      <c r="R178" t="n">
        <v>77</v>
      </c>
      <c r="S178" t="n">
        <v>77</v>
      </c>
      <c r="T178" t="n">
        <v>63</v>
      </c>
      <c r="U178" t="n">
        <v>69</v>
      </c>
      <c r="V178" t="n">
        <v>60</v>
      </c>
      <c r="W178" t="n">
        <v>60</v>
      </c>
      <c r="X178" t="n">
        <v>0</v>
      </c>
      <c r="Y178" t="n">
        <v>0</v>
      </c>
      <c r="Z178" t="n">
        <v>77</v>
      </c>
    </row>
    <row r="179">
      <c r="A179" t="inlineStr">
        <is>
          <t>2025-11-04 06:48:19.638475+00:00</t>
        </is>
      </c>
      <c r="B179" t="inlineStr">
        <is>
          <t>Line Dom</t>
        </is>
      </c>
      <c r="C179" t="inlineStr">
        <is>
          <t>GPT</t>
        </is>
      </c>
      <c r="D179" t="inlineStr">
        <is>
          <t>UA</t>
        </is>
      </c>
      <c r="E179" t="inlineStr">
        <is>
          <t>Express</t>
        </is>
      </c>
      <c r="F179" t="n">
        <v>0</v>
      </c>
      <c r="G179" t="n">
        <v>0</v>
      </c>
      <c r="H179" t="n">
        <v>0</v>
      </c>
      <c r="I179" t="n">
        <v>0</v>
      </c>
      <c r="J179" t="n">
        <v>0</v>
      </c>
      <c r="K179" t="n">
        <v>0</v>
      </c>
      <c r="L179" t="n">
        <v>7</v>
      </c>
      <c r="M179" t="n">
        <v>0</v>
      </c>
      <c r="N179" t="n">
        <v>4</v>
      </c>
      <c r="O179" t="n">
        <v>7</v>
      </c>
      <c r="P179" t="n">
        <v>4</v>
      </c>
      <c r="Q179" t="n">
        <v>4</v>
      </c>
      <c r="R179" t="n">
        <v>936</v>
      </c>
      <c r="S179" t="n">
        <v>917</v>
      </c>
      <c r="T179" t="n">
        <v>672</v>
      </c>
      <c r="U179" t="n">
        <v>764</v>
      </c>
      <c r="V179" t="n">
        <v>735</v>
      </c>
      <c r="W179" t="n">
        <v>735</v>
      </c>
      <c r="X179" t="n">
        <v>0</v>
      </c>
      <c r="Y179" t="n">
        <v>7</v>
      </c>
      <c r="Z179" t="n">
        <v>936</v>
      </c>
    </row>
    <row r="180">
      <c r="A180" t="inlineStr">
        <is>
          <t>2025-11-04 06:48:19.638475+00:00</t>
        </is>
      </c>
      <c r="B180" t="inlineStr">
        <is>
          <t>Line Dom</t>
        </is>
      </c>
      <c r="C180" t="inlineStr">
        <is>
          <t>AVL</t>
        </is>
      </c>
      <c r="D180" t="inlineStr">
        <is>
          <t>UA</t>
        </is>
      </c>
      <c r="E180" t="inlineStr">
        <is>
          <t>Express</t>
        </is>
      </c>
      <c r="F180" t="n">
        <v>0</v>
      </c>
      <c r="G180" t="n">
        <v>0</v>
      </c>
      <c r="H180" t="n">
        <v>0</v>
      </c>
      <c r="I180" t="n">
        <v>0</v>
      </c>
      <c r="J180" t="n">
        <v>0</v>
      </c>
      <c r="K180" t="n">
        <v>0</v>
      </c>
      <c r="L180" t="n">
        <v>10</v>
      </c>
      <c r="M180" t="n">
        <v>1</v>
      </c>
      <c r="N180" t="n">
        <v>3</v>
      </c>
      <c r="O180" t="n">
        <v>7</v>
      </c>
      <c r="P180" t="n">
        <v>7</v>
      </c>
      <c r="Q180" t="n">
        <v>7</v>
      </c>
      <c r="R180" t="n">
        <v>1360</v>
      </c>
      <c r="S180" t="n">
        <v>1326</v>
      </c>
      <c r="T180" t="n">
        <v>809</v>
      </c>
      <c r="U180" t="n">
        <v>1035</v>
      </c>
      <c r="V180" t="n">
        <v>940</v>
      </c>
      <c r="W180" t="n">
        <v>940</v>
      </c>
      <c r="X180" t="n">
        <v>0</v>
      </c>
      <c r="Y180" t="n">
        <v>10</v>
      </c>
      <c r="Z180" t="n">
        <v>1360</v>
      </c>
    </row>
    <row r="181">
      <c r="A181" t="inlineStr">
        <is>
          <t>2025-11-04 06:48:19.638475+00:00</t>
        </is>
      </c>
      <c r="B181" t="inlineStr">
        <is>
          <t>Line Dom</t>
        </is>
      </c>
      <c r="C181" t="inlineStr">
        <is>
          <t>EAU</t>
        </is>
      </c>
      <c r="D181" t="inlineStr">
        <is>
          <t>UA</t>
        </is>
      </c>
      <c r="E181" t="inlineStr">
        <is>
          <t>Express</t>
        </is>
      </c>
      <c r="F181" t="n">
        <v>0</v>
      </c>
      <c r="G181" t="n">
        <v>0</v>
      </c>
      <c r="H181" t="n">
        <v>0</v>
      </c>
      <c r="I181" t="n">
        <v>0</v>
      </c>
      <c r="J181" t="n">
        <v>0</v>
      </c>
      <c r="K181" t="n">
        <v>0</v>
      </c>
      <c r="L181" t="n">
        <v>3</v>
      </c>
      <c r="M181" t="n">
        <v>0</v>
      </c>
      <c r="N181" t="n">
        <v>2</v>
      </c>
      <c r="O181" t="n">
        <v>3</v>
      </c>
      <c r="P181" t="n">
        <v>2</v>
      </c>
      <c r="Q181" t="n">
        <v>2</v>
      </c>
      <c r="R181" t="n">
        <v>525</v>
      </c>
      <c r="S181" t="n">
        <v>516</v>
      </c>
      <c r="T181" t="n">
        <v>293</v>
      </c>
      <c r="U181" t="n">
        <v>365</v>
      </c>
      <c r="V181" t="n">
        <v>401</v>
      </c>
      <c r="W181" t="n">
        <v>401</v>
      </c>
      <c r="X181" t="n">
        <v>0</v>
      </c>
      <c r="Y181" t="n">
        <v>3</v>
      </c>
      <c r="Z181" t="n">
        <v>525</v>
      </c>
    </row>
    <row r="182">
      <c r="A182" t="inlineStr">
        <is>
          <t>2025-11-04 06:48:19.638475+00:00</t>
        </is>
      </c>
      <c r="B182" t="inlineStr">
        <is>
          <t>Line Dom</t>
        </is>
      </c>
      <c r="C182" t="inlineStr">
        <is>
          <t>DEC</t>
        </is>
      </c>
      <c r="D182" t="inlineStr">
        <is>
          <t>UA</t>
        </is>
      </c>
      <c r="E182" t="inlineStr">
        <is>
          <t>Express</t>
        </is>
      </c>
      <c r="F182" t="n">
        <v>0</v>
      </c>
      <c r="G182" t="n">
        <v>0</v>
      </c>
      <c r="H182" t="n">
        <v>0</v>
      </c>
      <c r="I182" t="n">
        <v>0</v>
      </c>
      <c r="J182" t="n">
        <v>0</v>
      </c>
      <c r="K182" t="n">
        <v>0</v>
      </c>
      <c r="L182" t="n">
        <v>3</v>
      </c>
      <c r="M182" t="n">
        <v>0</v>
      </c>
      <c r="N182" t="n">
        <v>2</v>
      </c>
      <c r="O182" t="n">
        <v>2</v>
      </c>
      <c r="P182" t="n">
        <v>2</v>
      </c>
      <c r="Q182" t="n">
        <v>2</v>
      </c>
      <c r="R182" t="n">
        <v>525</v>
      </c>
      <c r="S182" t="n">
        <v>515</v>
      </c>
      <c r="T182" t="n">
        <v>332</v>
      </c>
      <c r="U182" t="n">
        <v>414</v>
      </c>
      <c r="V182" t="n">
        <v>410</v>
      </c>
      <c r="W182" t="n">
        <v>410</v>
      </c>
      <c r="X182" t="n">
        <v>0</v>
      </c>
      <c r="Y182" t="n">
        <v>3</v>
      </c>
      <c r="Z182" t="n">
        <v>525</v>
      </c>
    </row>
    <row r="183">
      <c r="A183" t="inlineStr">
        <is>
          <t>2025-11-04 06:48:19.638475+00:00</t>
        </is>
      </c>
      <c r="B183" t="inlineStr">
        <is>
          <t>Line Dom</t>
        </is>
      </c>
      <c r="C183" t="inlineStr">
        <is>
          <t>COD</t>
        </is>
      </c>
      <c r="D183" t="inlineStr">
        <is>
          <t>UA</t>
        </is>
      </c>
      <c r="E183" t="inlineStr">
        <is>
          <t>Express</t>
        </is>
      </c>
      <c r="F183" t="n">
        <v>0</v>
      </c>
      <c r="G183" t="n">
        <v>0</v>
      </c>
      <c r="H183" t="n">
        <v>0</v>
      </c>
      <c r="I183" t="n">
        <v>0</v>
      </c>
      <c r="J183" t="n">
        <v>0</v>
      </c>
      <c r="K183" t="n">
        <v>0</v>
      </c>
      <c r="L183" t="n">
        <v>4</v>
      </c>
      <c r="M183" t="n">
        <v>0</v>
      </c>
      <c r="N183" t="n">
        <v>3</v>
      </c>
      <c r="O183" t="n">
        <v>4</v>
      </c>
      <c r="P183" t="n">
        <v>2</v>
      </c>
      <c r="Q183" t="n">
        <v>2</v>
      </c>
      <c r="R183" t="n">
        <v>812</v>
      </c>
      <c r="S183" t="n">
        <v>793</v>
      </c>
      <c r="T183" t="n">
        <v>460</v>
      </c>
      <c r="U183" t="n">
        <v>572</v>
      </c>
      <c r="V183" t="n">
        <v>484</v>
      </c>
      <c r="W183" t="n">
        <v>484</v>
      </c>
      <c r="X183" t="n">
        <v>0</v>
      </c>
      <c r="Y183" t="n">
        <v>4</v>
      </c>
      <c r="Z183" t="n">
        <v>813</v>
      </c>
    </row>
    <row r="184">
      <c r="A184" t="inlineStr">
        <is>
          <t>2025-11-04 06:48:19.638475+00:00</t>
        </is>
      </c>
      <c r="B184" t="inlineStr">
        <is>
          <t>Line Dom</t>
        </is>
      </c>
      <c r="C184" t="inlineStr">
        <is>
          <t>HRL</t>
        </is>
      </c>
      <c r="D184" t="inlineStr">
        <is>
          <t>UA</t>
        </is>
      </c>
      <c r="E184" t="inlineStr">
        <is>
          <t>Express</t>
        </is>
      </c>
      <c r="F184" t="n">
        <v>0</v>
      </c>
      <c r="G184" t="n">
        <v>0</v>
      </c>
      <c r="H184" t="n">
        <v>0</v>
      </c>
      <c r="I184" t="n">
        <v>0</v>
      </c>
      <c r="J184" t="n">
        <v>0</v>
      </c>
      <c r="K184" t="n">
        <v>0</v>
      </c>
      <c r="L184" t="n">
        <v>8</v>
      </c>
      <c r="M184" t="n">
        <v>0</v>
      </c>
      <c r="N184" t="n">
        <v>3</v>
      </c>
      <c r="O184" t="n">
        <v>7</v>
      </c>
      <c r="P184" t="n">
        <v>6</v>
      </c>
      <c r="Q184" t="n">
        <v>6</v>
      </c>
      <c r="R184" t="n">
        <v>1261</v>
      </c>
      <c r="S184" t="n">
        <v>1224</v>
      </c>
      <c r="T184" t="n">
        <v>843</v>
      </c>
      <c r="U184" t="n">
        <v>988</v>
      </c>
      <c r="V184" t="n">
        <v>990</v>
      </c>
      <c r="W184" t="n">
        <v>990</v>
      </c>
      <c r="X184" t="n">
        <v>0</v>
      </c>
      <c r="Y184" t="n">
        <v>8</v>
      </c>
      <c r="Z184" t="n">
        <v>1261</v>
      </c>
    </row>
    <row r="185">
      <c r="A185" t="inlineStr">
        <is>
          <t>2025-11-04 06:48:19.638475+00:00</t>
        </is>
      </c>
      <c r="B185" t="inlineStr">
        <is>
          <t>Line Dom</t>
        </is>
      </c>
      <c r="C185" t="inlineStr">
        <is>
          <t>BOS</t>
        </is>
      </c>
      <c r="D185" t="inlineStr">
        <is>
          <t>UA</t>
        </is>
      </c>
      <c r="E185" t="inlineStr">
        <is>
          <t>Express</t>
        </is>
      </c>
      <c r="F185" t="n">
        <v>0</v>
      </c>
      <c r="G185" t="n">
        <v>0</v>
      </c>
      <c r="H185" t="n">
        <v>0</v>
      </c>
      <c r="I185" t="n">
        <v>0</v>
      </c>
      <c r="J185" t="n">
        <v>0</v>
      </c>
      <c r="K185" t="n">
        <v>0</v>
      </c>
      <c r="L185" t="n">
        <v>1</v>
      </c>
      <c r="M185" t="n">
        <v>0</v>
      </c>
      <c r="N185" t="n">
        <v>1</v>
      </c>
      <c r="O185" t="n">
        <v>1</v>
      </c>
      <c r="P185" t="n">
        <v>1</v>
      </c>
      <c r="Q185" t="n">
        <v>1</v>
      </c>
      <c r="R185" t="n">
        <v>162</v>
      </c>
      <c r="S185" t="n">
        <v>146</v>
      </c>
      <c r="T185" t="n">
        <v>98</v>
      </c>
      <c r="U185" t="n">
        <v>120</v>
      </c>
      <c r="V185" t="n">
        <v>88</v>
      </c>
      <c r="W185" t="n">
        <v>88</v>
      </c>
      <c r="X185" t="n">
        <v>0</v>
      </c>
      <c r="Y185" t="n">
        <v>1</v>
      </c>
      <c r="Z185" t="n">
        <v>163</v>
      </c>
    </row>
    <row r="186">
      <c r="A186" t="inlineStr">
        <is>
          <t>2025-11-04 06:48:19.638475+00:00</t>
        </is>
      </c>
      <c r="B186" t="inlineStr">
        <is>
          <t>Line Dom</t>
        </is>
      </c>
      <c r="C186" t="inlineStr">
        <is>
          <t>LGA</t>
        </is>
      </c>
      <c r="D186" t="inlineStr">
        <is>
          <t>UA</t>
        </is>
      </c>
      <c r="E186" t="inlineStr">
        <is>
          <t>Express</t>
        </is>
      </c>
      <c r="F186" t="n">
        <v>0</v>
      </c>
      <c r="G186" t="n">
        <v>0</v>
      </c>
      <c r="H186" t="n">
        <v>0</v>
      </c>
      <c r="I186" t="n">
        <v>0</v>
      </c>
      <c r="J186" t="n">
        <v>0</v>
      </c>
      <c r="K186" t="n">
        <v>0</v>
      </c>
      <c r="L186" t="n">
        <v>8</v>
      </c>
      <c r="M186" t="n">
        <v>0</v>
      </c>
      <c r="N186" t="n">
        <v>5</v>
      </c>
      <c r="O186" t="n">
        <v>6</v>
      </c>
      <c r="P186" t="n">
        <v>5</v>
      </c>
      <c r="Q186" t="n">
        <v>5</v>
      </c>
      <c r="R186" t="n">
        <v>1715</v>
      </c>
      <c r="S186" t="n">
        <v>1640</v>
      </c>
      <c r="T186" t="n">
        <v>1032</v>
      </c>
      <c r="U186" t="n">
        <v>1240</v>
      </c>
      <c r="V186" t="n">
        <v>1151</v>
      </c>
      <c r="W186" t="n">
        <v>1153</v>
      </c>
      <c r="X186" t="n">
        <v>0</v>
      </c>
      <c r="Y186" t="n">
        <v>8</v>
      </c>
      <c r="Z186" t="n">
        <v>1715</v>
      </c>
    </row>
    <row r="187">
      <c r="A187" t="inlineStr">
        <is>
          <t>2025-11-04 06:48:19.638475+00:00</t>
        </is>
      </c>
      <c r="B187" t="inlineStr">
        <is>
          <t>Line Dom</t>
        </is>
      </c>
      <c r="C187" t="inlineStr">
        <is>
          <t>MHT</t>
        </is>
      </c>
      <c r="D187" t="inlineStr">
        <is>
          <t>UA</t>
        </is>
      </c>
      <c r="E187" t="inlineStr">
        <is>
          <t>Express</t>
        </is>
      </c>
      <c r="F187" t="n">
        <v>0</v>
      </c>
      <c r="G187" t="n">
        <v>0</v>
      </c>
      <c r="H187" t="n">
        <v>0</v>
      </c>
      <c r="I187" t="n">
        <v>0</v>
      </c>
      <c r="J187" t="n">
        <v>0</v>
      </c>
      <c r="K187" t="n">
        <v>0</v>
      </c>
      <c r="L187" t="n">
        <v>3</v>
      </c>
      <c r="M187" t="n">
        <v>0</v>
      </c>
      <c r="N187" t="n">
        <v>2</v>
      </c>
      <c r="O187" t="n">
        <v>3</v>
      </c>
      <c r="P187" t="n">
        <v>2</v>
      </c>
      <c r="Q187" t="n">
        <v>2</v>
      </c>
      <c r="R187" t="n">
        <v>645</v>
      </c>
      <c r="S187" t="n">
        <v>633</v>
      </c>
      <c r="T187" t="n">
        <v>359</v>
      </c>
      <c r="U187" t="n">
        <v>429</v>
      </c>
      <c r="V187" t="n">
        <v>490</v>
      </c>
      <c r="W187" t="n">
        <v>490</v>
      </c>
      <c r="X187" t="n">
        <v>0</v>
      </c>
      <c r="Y187" t="n">
        <v>3</v>
      </c>
      <c r="Z187" t="n">
        <v>646</v>
      </c>
    </row>
    <row r="188">
      <c r="A188" t="inlineStr">
        <is>
          <t>2025-11-04 06:48:19.638475+00:00</t>
        </is>
      </c>
      <c r="B188" t="inlineStr">
        <is>
          <t>Line Dom</t>
        </is>
      </c>
      <c r="C188" t="inlineStr">
        <is>
          <t>PWM</t>
        </is>
      </c>
      <c r="D188" t="inlineStr">
        <is>
          <t>UA</t>
        </is>
      </c>
      <c r="E188" t="inlineStr">
        <is>
          <t>Express</t>
        </is>
      </c>
      <c r="F188" t="n">
        <v>0</v>
      </c>
      <c r="G188" t="n">
        <v>0</v>
      </c>
      <c r="H188" t="n">
        <v>0</v>
      </c>
      <c r="I188" t="n">
        <v>0</v>
      </c>
      <c r="J188" t="n">
        <v>0</v>
      </c>
      <c r="K188" t="n">
        <v>0</v>
      </c>
      <c r="L188" t="n">
        <v>14</v>
      </c>
      <c r="M188" t="n">
        <v>1</v>
      </c>
      <c r="N188" t="n">
        <v>12</v>
      </c>
      <c r="O188" t="n">
        <v>13</v>
      </c>
      <c r="P188" t="n">
        <v>11</v>
      </c>
      <c r="Q188" t="n">
        <v>11</v>
      </c>
      <c r="R188" t="n">
        <v>2104</v>
      </c>
      <c r="S188" t="n">
        <v>2040</v>
      </c>
      <c r="T188" t="n">
        <v>1464</v>
      </c>
      <c r="U188" t="n">
        <v>1716</v>
      </c>
      <c r="V188" t="n">
        <v>1665</v>
      </c>
      <c r="W188" t="n">
        <v>1665</v>
      </c>
      <c r="X188" t="n">
        <v>0</v>
      </c>
      <c r="Y188" t="n">
        <v>14</v>
      </c>
      <c r="Z188" t="n">
        <v>2105</v>
      </c>
    </row>
    <row r="189">
      <c r="A189" t="inlineStr">
        <is>
          <t>2025-11-04 06:48:19.638475+00:00</t>
        </is>
      </c>
      <c r="B189" t="inlineStr">
        <is>
          <t>Line Dom</t>
        </is>
      </c>
      <c r="C189" t="inlineStr">
        <is>
          <t>FAR</t>
        </is>
      </c>
      <c r="D189" t="inlineStr">
        <is>
          <t>UA</t>
        </is>
      </c>
      <c r="E189" t="inlineStr">
        <is>
          <t>Express</t>
        </is>
      </c>
      <c r="F189" t="n">
        <v>0</v>
      </c>
      <c r="G189" t="n">
        <v>0</v>
      </c>
      <c r="H189" t="n">
        <v>0</v>
      </c>
      <c r="I189" t="n">
        <v>0</v>
      </c>
      <c r="J189" t="n">
        <v>0</v>
      </c>
      <c r="K189" t="n">
        <v>0</v>
      </c>
      <c r="L189" t="n">
        <v>11</v>
      </c>
      <c r="M189" t="n">
        <v>0</v>
      </c>
      <c r="N189" t="n">
        <v>4</v>
      </c>
      <c r="O189" t="n">
        <v>9</v>
      </c>
      <c r="P189" t="n">
        <v>10</v>
      </c>
      <c r="Q189" t="n">
        <v>10</v>
      </c>
      <c r="R189" t="n">
        <v>1866</v>
      </c>
      <c r="S189" t="n">
        <v>1855</v>
      </c>
      <c r="T189" t="n">
        <v>1027</v>
      </c>
      <c r="U189" t="n">
        <v>1336</v>
      </c>
      <c r="V189" t="n">
        <v>1190</v>
      </c>
      <c r="W189" t="n">
        <v>1190</v>
      </c>
      <c r="X189" t="n">
        <v>0</v>
      </c>
      <c r="Y189" t="n">
        <v>11</v>
      </c>
      <c r="Z189" t="n">
        <v>1867</v>
      </c>
    </row>
    <row r="190">
      <c r="A190" t="inlineStr">
        <is>
          <t>2025-11-04 06:48:19.638475+00:00</t>
        </is>
      </c>
      <c r="B190" t="inlineStr">
        <is>
          <t>Line Dom</t>
        </is>
      </c>
      <c r="C190" t="inlineStr">
        <is>
          <t>LBL</t>
        </is>
      </c>
      <c r="D190" t="inlineStr">
        <is>
          <t>UA</t>
        </is>
      </c>
      <c r="E190" t="inlineStr">
        <is>
          <t>Express</t>
        </is>
      </c>
      <c r="F190" t="n">
        <v>0</v>
      </c>
      <c r="G190" t="n">
        <v>0</v>
      </c>
      <c r="H190" t="n">
        <v>0</v>
      </c>
      <c r="I190" t="n">
        <v>0</v>
      </c>
      <c r="J190" t="n">
        <v>0</v>
      </c>
      <c r="K190" t="n">
        <v>0</v>
      </c>
      <c r="L190" t="n">
        <v>3</v>
      </c>
      <c r="M190" t="n">
        <v>0</v>
      </c>
      <c r="N190" t="n">
        <v>3</v>
      </c>
      <c r="O190" t="n">
        <v>3</v>
      </c>
      <c r="P190" t="n">
        <v>3</v>
      </c>
      <c r="Q190" t="n">
        <v>3</v>
      </c>
      <c r="R190" t="n">
        <v>525</v>
      </c>
      <c r="S190" t="n">
        <v>509</v>
      </c>
      <c r="T190" t="n">
        <v>341</v>
      </c>
      <c r="U190" t="n">
        <v>401</v>
      </c>
      <c r="V190" t="n">
        <v>385</v>
      </c>
      <c r="W190" t="n">
        <v>385</v>
      </c>
      <c r="X190" t="n">
        <v>0</v>
      </c>
      <c r="Y190" t="n">
        <v>3</v>
      </c>
      <c r="Z190" t="n">
        <v>526</v>
      </c>
    </row>
    <row r="191">
      <c r="A191" t="inlineStr">
        <is>
          <t>2025-11-04 06:48:19.638475+00:00</t>
        </is>
      </c>
      <c r="B191" t="inlineStr">
        <is>
          <t>Line Dom</t>
        </is>
      </c>
      <c r="C191" t="inlineStr">
        <is>
          <t>JST</t>
        </is>
      </c>
      <c r="D191" t="inlineStr">
        <is>
          <t>UA</t>
        </is>
      </c>
      <c r="E191" t="inlineStr">
        <is>
          <t>Express</t>
        </is>
      </c>
      <c r="F191" t="n">
        <v>0</v>
      </c>
      <c r="G191" t="n">
        <v>0</v>
      </c>
      <c r="H191" t="n">
        <v>0</v>
      </c>
      <c r="I191" t="n">
        <v>0</v>
      </c>
      <c r="J191" t="n">
        <v>0</v>
      </c>
      <c r="K191" t="n">
        <v>0</v>
      </c>
      <c r="L191" t="n">
        <v>4</v>
      </c>
      <c r="M191" t="n">
        <v>0</v>
      </c>
      <c r="N191" t="n">
        <v>2</v>
      </c>
      <c r="O191" t="n">
        <v>3</v>
      </c>
      <c r="P191" t="n">
        <v>4</v>
      </c>
      <c r="Q191" t="n">
        <v>4</v>
      </c>
      <c r="R191" t="n">
        <v>612</v>
      </c>
      <c r="S191" t="n">
        <v>600</v>
      </c>
      <c r="T191" t="n">
        <v>352</v>
      </c>
      <c r="U191" t="n">
        <v>436</v>
      </c>
      <c r="V191" t="n">
        <v>468</v>
      </c>
      <c r="W191" t="n">
        <v>468</v>
      </c>
      <c r="X191" t="n">
        <v>0</v>
      </c>
      <c r="Y191" t="n">
        <v>4</v>
      </c>
      <c r="Z191" t="n">
        <v>612</v>
      </c>
    </row>
    <row r="192">
      <c r="A192" t="inlineStr">
        <is>
          <t>2025-11-04 06:48:19.638475+00:00</t>
        </is>
      </c>
      <c r="B192" t="inlineStr">
        <is>
          <t>Line Dom</t>
        </is>
      </c>
      <c r="C192" t="inlineStr">
        <is>
          <t>CHA</t>
        </is>
      </c>
      <c r="D192" t="inlineStr">
        <is>
          <t>UA</t>
        </is>
      </c>
      <c r="E192" t="inlineStr">
        <is>
          <t>Express</t>
        </is>
      </c>
      <c r="F192" t="n">
        <v>0</v>
      </c>
      <c r="G192" t="n">
        <v>0</v>
      </c>
      <c r="H192" t="n">
        <v>0</v>
      </c>
      <c r="I192" t="n">
        <v>0</v>
      </c>
      <c r="J192" t="n">
        <v>0</v>
      </c>
      <c r="K192" t="n">
        <v>0</v>
      </c>
      <c r="L192" t="n">
        <v>10</v>
      </c>
      <c r="M192" t="n">
        <v>0</v>
      </c>
      <c r="N192" t="n">
        <v>5</v>
      </c>
      <c r="O192" t="n">
        <v>6</v>
      </c>
      <c r="P192" t="n">
        <v>5</v>
      </c>
      <c r="Q192" t="n">
        <v>5</v>
      </c>
      <c r="R192" t="n">
        <v>1052</v>
      </c>
      <c r="S192" t="n">
        <v>1037</v>
      </c>
      <c r="T192" t="n">
        <v>625</v>
      </c>
      <c r="U192" t="n">
        <v>772</v>
      </c>
      <c r="V192" t="n">
        <v>679</v>
      </c>
      <c r="W192" t="n">
        <v>679</v>
      </c>
      <c r="X192" t="n">
        <v>0</v>
      </c>
      <c r="Y192" t="n">
        <v>10</v>
      </c>
      <c r="Z192" t="n">
        <v>1053</v>
      </c>
    </row>
    <row r="193">
      <c r="A193" t="inlineStr">
        <is>
          <t>2025-11-04 06:48:19.638475+00:00</t>
        </is>
      </c>
      <c r="B193" t="inlineStr">
        <is>
          <t>Line Int</t>
        </is>
      </c>
      <c r="C193" t="inlineStr">
        <is>
          <t>SLP</t>
        </is>
      </c>
      <c r="D193" t="inlineStr">
        <is>
          <t>UA</t>
        </is>
      </c>
      <c r="E193" t="inlineStr">
        <is>
          <t>Express</t>
        </is>
      </c>
      <c r="F193" t="n">
        <v>0</v>
      </c>
      <c r="G193" t="n">
        <v>0</v>
      </c>
      <c r="H193" t="n">
        <v>0</v>
      </c>
      <c r="I193" t="n">
        <v>0</v>
      </c>
      <c r="J193" t="n">
        <v>0</v>
      </c>
      <c r="K193" t="n">
        <v>0</v>
      </c>
      <c r="L193" t="n">
        <v>4</v>
      </c>
      <c r="M193" t="n">
        <v>0</v>
      </c>
      <c r="N193" t="n">
        <v>3</v>
      </c>
      <c r="O193" t="n">
        <v>3</v>
      </c>
      <c r="P193" t="n">
        <v>4</v>
      </c>
      <c r="Q193" t="n">
        <v>4</v>
      </c>
      <c r="R193" t="n">
        <v>518</v>
      </c>
      <c r="S193" t="n">
        <v>514</v>
      </c>
      <c r="T193" t="n">
        <v>257</v>
      </c>
      <c r="U193" t="n">
        <v>369</v>
      </c>
      <c r="V193" t="n">
        <v>426</v>
      </c>
      <c r="W193" t="n">
        <v>426</v>
      </c>
      <c r="X193" t="n">
        <v>0</v>
      </c>
      <c r="Y193" t="n">
        <v>4</v>
      </c>
      <c r="Z193" t="n">
        <v>518</v>
      </c>
    </row>
    <row r="194">
      <c r="A194" t="inlineStr">
        <is>
          <t>2025-11-04 06:48:19.638475+00:00</t>
        </is>
      </c>
      <c r="B194" t="inlineStr">
        <is>
          <t>Line Dom</t>
        </is>
      </c>
      <c r="C194" t="inlineStr">
        <is>
          <t>SLN</t>
        </is>
      </c>
      <c r="D194" t="inlineStr">
        <is>
          <t>UA</t>
        </is>
      </c>
      <c r="E194" t="inlineStr">
        <is>
          <t>Express</t>
        </is>
      </c>
      <c r="F194" t="n">
        <v>0</v>
      </c>
      <c r="G194" t="n">
        <v>0</v>
      </c>
      <c r="H194" t="n">
        <v>0</v>
      </c>
      <c r="I194" t="n">
        <v>0</v>
      </c>
      <c r="J194" t="n">
        <v>0</v>
      </c>
      <c r="K194" t="n">
        <v>0</v>
      </c>
      <c r="L194" t="n">
        <v>6</v>
      </c>
      <c r="M194" t="n">
        <v>0</v>
      </c>
      <c r="N194" t="n">
        <v>5</v>
      </c>
      <c r="O194" t="n">
        <v>6</v>
      </c>
      <c r="P194" t="n">
        <v>6</v>
      </c>
      <c r="Q194" t="n">
        <v>6</v>
      </c>
      <c r="R194" t="n">
        <v>797</v>
      </c>
      <c r="S194" t="n">
        <v>784</v>
      </c>
      <c r="T194" t="n">
        <v>397</v>
      </c>
      <c r="U194" t="n">
        <v>520</v>
      </c>
      <c r="V194" t="n">
        <v>617</v>
      </c>
      <c r="W194" t="n">
        <v>617</v>
      </c>
      <c r="X194" t="n">
        <v>0</v>
      </c>
      <c r="Y194" t="n">
        <v>6</v>
      </c>
      <c r="Z194" t="n">
        <v>799</v>
      </c>
    </row>
    <row r="195">
      <c r="A195" t="inlineStr">
        <is>
          <t>2025-11-04 06:48:19.638475+00:00</t>
        </is>
      </c>
      <c r="B195" t="inlineStr">
        <is>
          <t>Line Dom</t>
        </is>
      </c>
      <c r="C195" t="inlineStr">
        <is>
          <t>PHX</t>
        </is>
      </c>
      <c r="D195" t="inlineStr">
        <is>
          <t>UA</t>
        </is>
      </c>
      <c r="E195" t="inlineStr">
        <is>
          <t>Express</t>
        </is>
      </c>
      <c r="F195" t="n">
        <v>0</v>
      </c>
      <c r="G195" t="n">
        <v>0</v>
      </c>
      <c r="H195" t="n">
        <v>0</v>
      </c>
      <c r="I195" t="n">
        <v>0</v>
      </c>
      <c r="J195" t="n">
        <v>0</v>
      </c>
      <c r="K195" t="n">
        <v>0</v>
      </c>
      <c r="L195" t="n">
        <v>4</v>
      </c>
      <c r="M195" t="n">
        <v>0</v>
      </c>
      <c r="N195" t="n">
        <v>4</v>
      </c>
      <c r="O195" t="n">
        <v>4</v>
      </c>
      <c r="P195" t="n">
        <v>4</v>
      </c>
      <c r="Q195" t="n">
        <v>4</v>
      </c>
      <c r="R195" t="n">
        <v>855</v>
      </c>
      <c r="S195" t="n">
        <v>848</v>
      </c>
      <c r="T195" t="n">
        <v>590</v>
      </c>
      <c r="U195" t="n">
        <v>738</v>
      </c>
      <c r="V195" t="n">
        <v>671</v>
      </c>
      <c r="W195" t="n">
        <v>671</v>
      </c>
      <c r="X195" t="n">
        <v>0</v>
      </c>
      <c r="Y195" t="n">
        <v>4</v>
      </c>
      <c r="Z195" t="n">
        <v>854</v>
      </c>
    </row>
    <row r="196">
      <c r="A196" t="inlineStr">
        <is>
          <t>2025-11-04 06:48:19.638475+00:00</t>
        </is>
      </c>
      <c r="B196" t="inlineStr">
        <is>
          <t>Line Dom</t>
        </is>
      </c>
      <c r="C196" t="inlineStr">
        <is>
          <t>RIC</t>
        </is>
      </c>
      <c r="D196" t="inlineStr">
        <is>
          <t>UA</t>
        </is>
      </c>
      <c r="E196" t="inlineStr">
        <is>
          <t>Express</t>
        </is>
      </c>
      <c r="F196" t="n">
        <v>0</v>
      </c>
      <c r="G196" t="n">
        <v>0</v>
      </c>
      <c r="H196" t="n">
        <v>0</v>
      </c>
      <c r="I196" t="n">
        <v>0</v>
      </c>
      <c r="J196" t="n">
        <v>0</v>
      </c>
      <c r="K196" t="n">
        <v>0</v>
      </c>
      <c r="L196" t="n">
        <v>26</v>
      </c>
      <c r="M196" t="n">
        <v>1</v>
      </c>
      <c r="N196" t="n">
        <v>10</v>
      </c>
      <c r="O196" t="n">
        <v>14</v>
      </c>
      <c r="P196" t="n">
        <v>16</v>
      </c>
      <c r="Q196" t="n">
        <v>16</v>
      </c>
      <c r="R196" t="n">
        <v>3640</v>
      </c>
      <c r="S196" t="n">
        <v>3541</v>
      </c>
      <c r="T196" t="n">
        <v>2198</v>
      </c>
      <c r="U196" t="n">
        <v>2657</v>
      </c>
      <c r="V196" t="n">
        <v>2573</v>
      </c>
      <c r="W196" t="n">
        <v>2573</v>
      </c>
      <c r="X196" t="n">
        <v>0</v>
      </c>
      <c r="Y196" t="n">
        <v>26</v>
      </c>
      <c r="Z196" t="n">
        <v>3638</v>
      </c>
    </row>
    <row r="197">
      <c r="A197" t="inlineStr">
        <is>
          <t>2025-11-04 06:48:19.638475+00:00</t>
        </is>
      </c>
      <c r="B197" t="inlineStr">
        <is>
          <t>Line Dom</t>
        </is>
      </c>
      <c r="C197" t="inlineStr">
        <is>
          <t>FNT</t>
        </is>
      </c>
      <c r="D197" t="inlineStr">
        <is>
          <t>UA</t>
        </is>
      </c>
      <c r="E197" t="inlineStr">
        <is>
          <t>Express</t>
        </is>
      </c>
      <c r="F197" t="n">
        <v>0</v>
      </c>
      <c r="G197" t="n">
        <v>0</v>
      </c>
      <c r="H197" t="n">
        <v>0</v>
      </c>
      <c r="I197" t="n">
        <v>0</v>
      </c>
      <c r="J197" t="n">
        <v>0</v>
      </c>
      <c r="K197" t="n">
        <v>0</v>
      </c>
      <c r="L197" t="n">
        <v>6</v>
      </c>
      <c r="M197" t="n">
        <v>0</v>
      </c>
      <c r="N197" t="n">
        <v>3</v>
      </c>
      <c r="O197" t="n">
        <v>4</v>
      </c>
      <c r="P197" t="n">
        <v>5</v>
      </c>
      <c r="Q197" t="n">
        <v>5</v>
      </c>
      <c r="R197" t="n">
        <v>829</v>
      </c>
      <c r="S197" t="n">
        <v>819</v>
      </c>
      <c r="T197" t="n">
        <v>465</v>
      </c>
      <c r="U197" t="n">
        <v>585</v>
      </c>
      <c r="V197" t="n">
        <v>539</v>
      </c>
      <c r="W197" t="n">
        <v>539</v>
      </c>
      <c r="X197" t="n">
        <v>0</v>
      </c>
      <c r="Y197" t="n">
        <v>6</v>
      </c>
      <c r="Z197" t="n">
        <v>829</v>
      </c>
    </row>
    <row r="198">
      <c r="A198" t="inlineStr">
        <is>
          <t>2025-11-04 06:48:19.638475+00:00</t>
        </is>
      </c>
      <c r="B198" t="inlineStr">
        <is>
          <t>Line Dom</t>
        </is>
      </c>
      <c r="C198" t="inlineStr">
        <is>
          <t>BDL</t>
        </is>
      </c>
      <c r="D198" t="inlineStr">
        <is>
          <t>UA</t>
        </is>
      </c>
      <c r="E198" t="inlineStr">
        <is>
          <t>Express</t>
        </is>
      </c>
      <c r="F198" t="n">
        <v>0</v>
      </c>
      <c r="G198" t="n">
        <v>0</v>
      </c>
      <c r="H198" t="n">
        <v>0</v>
      </c>
      <c r="I198" t="n">
        <v>0</v>
      </c>
      <c r="J198" t="n">
        <v>0</v>
      </c>
      <c r="K198" t="n">
        <v>0</v>
      </c>
      <c r="L198" t="n">
        <v>8</v>
      </c>
      <c r="M198" t="n">
        <v>0</v>
      </c>
      <c r="N198" t="n">
        <v>5</v>
      </c>
      <c r="O198" t="n">
        <v>7</v>
      </c>
      <c r="P198" t="n">
        <v>7</v>
      </c>
      <c r="Q198" t="n">
        <v>7</v>
      </c>
      <c r="R198" t="n">
        <v>875</v>
      </c>
      <c r="S198" t="n">
        <v>859</v>
      </c>
      <c r="T198" t="n">
        <v>606</v>
      </c>
      <c r="U198" t="n">
        <v>714</v>
      </c>
      <c r="V198" t="n">
        <v>645</v>
      </c>
      <c r="W198" t="n">
        <v>646</v>
      </c>
      <c r="X198" t="n">
        <v>0</v>
      </c>
      <c r="Y198" t="n">
        <v>8</v>
      </c>
      <c r="Z198" t="n">
        <v>875</v>
      </c>
    </row>
    <row r="199">
      <c r="A199" t="inlineStr">
        <is>
          <t>2025-11-04 06:48:19.638475+00:00</t>
        </is>
      </c>
      <c r="B199" t="inlineStr">
        <is>
          <t>Line Dom</t>
        </is>
      </c>
      <c r="C199" t="inlineStr">
        <is>
          <t>ASE</t>
        </is>
      </c>
      <c r="D199" t="inlineStr">
        <is>
          <t>UA</t>
        </is>
      </c>
      <c r="E199" t="inlineStr">
        <is>
          <t>Express</t>
        </is>
      </c>
      <c r="F199" t="n">
        <v>0</v>
      </c>
      <c r="G199" t="n">
        <v>0</v>
      </c>
      <c r="H199" t="n">
        <v>0</v>
      </c>
      <c r="I199" t="n">
        <v>0</v>
      </c>
      <c r="J199" t="n">
        <v>0</v>
      </c>
      <c r="K199" t="n">
        <v>0</v>
      </c>
      <c r="L199" t="n">
        <v>14</v>
      </c>
      <c r="M199" t="n">
        <v>0</v>
      </c>
      <c r="N199" t="n">
        <v>8</v>
      </c>
      <c r="O199" t="n">
        <v>10</v>
      </c>
      <c r="P199" t="n">
        <v>10</v>
      </c>
      <c r="Q199" t="n">
        <v>10</v>
      </c>
      <c r="R199" t="n">
        <v>4221</v>
      </c>
      <c r="S199" t="n">
        <v>4005</v>
      </c>
      <c r="T199" t="n">
        <v>2258</v>
      </c>
      <c r="U199" t="n">
        <v>2792</v>
      </c>
      <c r="V199" t="n">
        <v>2308</v>
      </c>
      <c r="W199" t="n">
        <v>2308</v>
      </c>
      <c r="X199" t="n">
        <v>0</v>
      </c>
      <c r="Y199" t="n">
        <v>14</v>
      </c>
      <c r="Z199" t="n">
        <v>4217</v>
      </c>
    </row>
    <row r="200">
      <c r="A200" t="inlineStr">
        <is>
          <t>2025-11-04 06:48:19.638475+00:00</t>
        </is>
      </c>
      <c r="B200" t="inlineStr">
        <is>
          <t>Line Dom</t>
        </is>
      </c>
      <c r="C200" t="inlineStr">
        <is>
          <t>CHO</t>
        </is>
      </c>
      <c r="D200" t="inlineStr">
        <is>
          <t>UA</t>
        </is>
      </c>
      <c r="E200" t="inlineStr">
        <is>
          <t>Express</t>
        </is>
      </c>
      <c r="F200" t="n">
        <v>0</v>
      </c>
      <c r="G200" t="n">
        <v>0</v>
      </c>
      <c r="H200" t="n">
        <v>0</v>
      </c>
      <c r="I200" t="n">
        <v>0</v>
      </c>
      <c r="J200" t="n">
        <v>0</v>
      </c>
      <c r="K200" t="n">
        <v>0</v>
      </c>
      <c r="L200" t="n">
        <v>15</v>
      </c>
      <c r="M200" t="n">
        <v>0</v>
      </c>
      <c r="N200" t="n">
        <v>10</v>
      </c>
      <c r="O200" t="n">
        <v>14</v>
      </c>
      <c r="P200" t="n">
        <v>13</v>
      </c>
      <c r="Q200" t="n">
        <v>13</v>
      </c>
      <c r="R200" t="n">
        <v>1717</v>
      </c>
      <c r="S200" t="n">
        <v>1688</v>
      </c>
      <c r="T200" t="n">
        <v>997</v>
      </c>
      <c r="U200" t="n">
        <v>1289</v>
      </c>
      <c r="V200" t="n">
        <v>1257</v>
      </c>
      <c r="W200" t="n">
        <v>1257</v>
      </c>
      <c r="X200" t="n">
        <v>0</v>
      </c>
      <c r="Y200" t="n">
        <v>15</v>
      </c>
      <c r="Z200" t="n">
        <v>1718</v>
      </c>
    </row>
    <row r="201">
      <c r="A201" t="inlineStr">
        <is>
          <t>2025-11-04 06:48:19.638475+00:00</t>
        </is>
      </c>
      <c r="B201" t="inlineStr">
        <is>
          <t>Line Dom</t>
        </is>
      </c>
      <c r="C201" t="inlineStr">
        <is>
          <t>EGE</t>
        </is>
      </c>
      <c r="D201" t="inlineStr">
        <is>
          <t>UA</t>
        </is>
      </c>
      <c r="E201" t="inlineStr">
        <is>
          <t>Express</t>
        </is>
      </c>
      <c r="F201" t="n">
        <v>0</v>
      </c>
      <c r="G201" t="n">
        <v>0</v>
      </c>
      <c r="H201" t="n">
        <v>0</v>
      </c>
      <c r="I201" t="n">
        <v>0</v>
      </c>
      <c r="J201" t="n">
        <v>0</v>
      </c>
      <c r="K201" t="n">
        <v>0</v>
      </c>
      <c r="L201" t="n">
        <v>2</v>
      </c>
      <c r="M201" t="n">
        <v>0</v>
      </c>
      <c r="N201" t="n">
        <v>2</v>
      </c>
      <c r="O201" t="n">
        <v>2</v>
      </c>
      <c r="P201" t="n">
        <v>2</v>
      </c>
      <c r="Q201" t="n">
        <v>2</v>
      </c>
      <c r="R201" t="n">
        <v>796</v>
      </c>
      <c r="S201" t="n">
        <v>786</v>
      </c>
      <c r="T201" t="n">
        <v>535</v>
      </c>
      <c r="U201" t="n">
        <v>631</v>
      </c>
      <c r="V201" t="n">
        <v>521</v>
      </c>
      <c r="W201" t="n">
        <v>521</v>
      </c>
      <c r="X201" t="n">
        <v>0</v>
      </c>
      <c r="Y201" t="n">
        <v>2</v>
      </c>
      <c r="Z201" t="n">
        <v>795</v>
      </c>
    </row>
    <row r="202">
      <c r="A202" t="inlineStr">
        <is>
          <t>2025-11-04 06:48:19.638475+00:00</t>
        </is>
      </c>
      <c r="B202" t="inlineStr">
        <is>
          <t>Line Dom</t>
        </is>
      </c>
      <c r="C202" t="inlineStr">
        <is>
          <t>MDT</t>
        </is>
      </c>
      <c r="D202" t="inlineStr">
        <is>
          <t>UA</t>
        </is>
      </c>
      <c r="E202" t="inlineStr">
        <is>
          <t>Express</t>
        </is>
      </c>
      <c r="F202" t="n">
        <v>0</v>
      </c>
      <c r="G202" t="n">
        <v>0</v>
      </c>
      <c r="H202" t="n">
        <v>0</v>
      </c>
      <c r="I202" t="n">
        <v>0</v>
      </c>
      <c r="J202" t="n">
        <v>0</v>
      </c>
      <c r="K202" t="n">
        <v>0</v>
      </c>
      <c r="L202" t="n">
        <v>10</v>
      </c>
      <c r="M202" t="n">
        <v>0</v>
      </c>
      <c r="N202" t="n">
        <v>6</v>
      </c>
      <c r="O202" t="n">
        <v>7</v>
      </c>
      <c r="P202" t="n">
        <v>8</v>
      </c>
      <c r="Q202" t="n">
        <v>8</v>
      </c>
      <c r="R202" t="n">
        <v>1563</v>
      </c>
      <c r="S202" t="n">
        <v>1539</v>
      </c>
      <c r="T202" t="n">
        <v>908</v>
      </c>
      <c r="U202" t="n">
        <v>1185</v>
      </c>
      <c r="V202" t="n">
        <v>1125</v>
      </c>
      <c r="W202" t="n">
        <v>1125</v>
      </c>
      <c r="X202" t="n">
        <v>0</v>
      </c>
      <c r="Y202" t="n">
        <v>10</v>
      </c>
      <c r="Z202" t="n">
        <v>1564</v>
      </c>
    </row>
    <row r="203">
      <c r="A203" t="inlineStr">
        <is>
          <t>2025-11-04 06:48:19.638475+00:00</t>
        </is>
      </c>
      <c r="B203" t="inlineStr">
        <is>
          <t>Line Dom</t>
        </is>
      </c>
      <c r="C203" t="inlineStr">
        <is>
          <t>CLT</t>
        </is>
      </c>
      <c r="D203" t="inlineStr">
        <is>
          <t>UA</t>
        </is>
      </c>
      <c r="E203" t="inlineStr">
        <is>
          <t>Express</t>
        </is>
      </c>
      <c r="F203" t="n">
        <v>0</v>
      </c>
      <c r="G203" t="n">
        <v>0</v>
      </c>
      <c r="H203" t="n">
        <v>0</v>
      </c>
      <c r="I203" t="n">
        <v>0</v>
      </c>
      <c r="J203" t="n">
        <v>0</v>
      </c>
      <c r="K203" t="n">
        <v>0</v>
      </c>
      <c r="L203" t="n">
        <v>18</v>
      </c>
      <c r="M203" t="n">
        <v>0</v>
      </c>
      <c r="N203" t="n">
        <v>11</v>
      </c>
      <c r="O203" t="n">
        <v>14</v>
      </c>
      <c r="P203" t="n">
        <v>13</v>
      </c>
      <c r="Q203" t="n">
        <v>13</v>
      </c>
      <c r="R203" t="n">
        <v>1853</v>
      </c>
      <c r="S203" t="n">
        <v>1814</v>
      </c>
      <c r="T203" t="n">
        <v>1296</v>
      </c>
      <c r="U203" t="n">
        <v>1524</v>
      </c>
      <c r="V203" t="n">
        <v>1378</v>
      </c>
      <c r="W203" t="n">
        <v>1378</v>
      </c>
      <c r="X203" t="n">
        <v>0</v>
      </c>
      <c r="Y203" t="n">
        <v>18</v>
      </c>
      <c r="Z203" t="n">
        <v>1854</v>
      </c>
    </row>
    <row r="204">
      <c r="A204" t="inlineStr">
        <is>
          <t>2025-11-04 06:48:19.638475+00:00</t>
        </is>
      </c>
      <c r="B204" t="inlineStr">
        <is>
          <t>Line Dom</t>
        </is>
      </c>
      <c r="C204" t="inlineStr">
        <is>
          <t>JMS</t>
        </is>
      </c>
      <c r="D204" t="inlineStr">
        <is>
          <t>UA</t>
        </is>
      </c>
      <c r="E204" t="inlineStr">
        <is>
          <t>Express</t>
        </is>
      </c>
      <c r="F204" t="n">
        <v>0</v>
      </c>
      <c r="G204" t="n">
        <v>0</v>
      </c>
      <c r="H204" t="n">
        <v>0</v>
      </c>
      <c r="I204" t="n">
        <v>0</v>
      </c>
      <c r="J204" t="n">
        <v>0</v>
      </c>
      <c r="K204" t="n">
        <v>0</v>
      </c>
      <c r="L204" t="n">
        <v>3</v>
      </c>
      <c r="M204" t="n">
        <v>0</v>
      </c>
      <c r="N204" t="n">
        <v>3</v>
      </c>
      <c r="O204" t="n">
        <v>3</v>
      </c>
      <c r="P204" t="n">
        <v>3</v>
      </c>
      <c r="Q204" t="n">
        <v>3</v>
      </c>
      <c r="R204" t="n">
        <v>550</v>
      </c>
      <c r="S204" t="n">
        <v>543</v>
      </c>
      <c r="T204" t="n">
        <v>381</v>
      </c>
      <c r="U204" t="n">
        <v>449</v>
      </c>
      <c r="V204" t="n">
        <v>408</v>
      </c>
      <c r="W204" t="n">
        <v>414</v>
      </c>
      <c r="X204" t="n">
        <v>0</v>
      </c>
      <c r="Y204" t="n">
        <v>3</v>
      </c>
      <c r="Z204" t="n">
        <v>550</v>
      </c>
    </row>
    <row r="205">
      <c r="A205" t="inlineStr">
        <is>
          <t>2025-11-04 06:48:19.638475+00:00</t>
        </is>
      </c>
      <c r="B205" t="inlineStr">
        <is>
          <t>Line Dom</t>
        </is>
      </c>
      <c r="C205" t="inlineStr">
        <is>
          <t>MAF</t>
        </is>
      </c>
      <c r="D205" t="inlineStr">
        <is>
          <t>UA</t>
        </is>
      </c>
      <c r="E205" t="inlineStr">
        <is>
          <t>Express</t>
        </is>
      </c>
      <c r="F205" t="n">
        <v>0</v>
      </c>
      <c r="G205" t="n">
        <v>0</v>
      </c>
      <c r="H205" t="n">
        <v>0</v>
      </c>
      <c r="I205" t="n">
        <v>0</v>
      </c>
      <c r="J205" t="n">
        <v>0</v>
      </c>
      <c r="K205" t="n">
        <v>0</v>
      </c>
      <c r="L205" t="n">
        <v>15</v>
      </c>
      <c r="M205" t="n">
        <v>0</v>
      </c>
      <c r="N205" t="n">
        <v>13</v>
      </c>
      <c r="O205" t="n">
        <v>13</v>
      </c>
      <c r="P205" t="n">
        <v>15</v>
      </c>
      <c r="Q205" t="n">
        <v>15</v>
      </c>
      <c r="R205" t="n">
        <v>2771</v>
      </c>
      <c r="S205" t="n">
        <v>2731</v>
      </c>
      <c r="T205" t="n">
        <v>1732</v>
      </c>
      <c r="U205" t="n">
        <v>2072</v>
      </c>
      <c r="V205" t="n">
        <v>2010</v>
      </c>
      <c r="W205" t="n">
        <v>2010</v>
      </c>
      <c r="X205" t="n">
        <v>0</v>
      </c>
      <c r="Y205" t="n">
        <v>15</v>
      </c>
      <c r="Z205" t="n">
        <v>2771</v>
      </c>
    </row>
    <row r="206">
      <c r="A206" t="inlineStr">
        <is>
          <t>2025-11-04 06:48:19.638475+00:00</t>
        </is>
      </c>
      <c r="B206" t="inlineStr">
        <is>
          <t>Line Dom</t>
        </is>
      </c>
      <c r="C206" t="inlineStr">
        <is>
          <t>DCA</t>
        </is>
      </c>
      <c r="D206" t="inlineStr">
        <is>
          <t>UA</t>
        </is>
      </c>
      <c r="E206" t="inlineStr">
        <is>
          <t>Express</t>
        </is>
      </c>
      <c r="F206" t="n">
        <v>0</v>
      </c>
      <c r="G206" t="n">
        <v>0</v>
      </c>
      <c r="H206" t="n">
        <v>0</v>
      </c>
      <c r="I206" t="n">
        <v>0</v>
      </c>
      <c r="J206" t="n">
        <v>0</v>
      </c>
      <c r="K206" t="n">
        <v>0</v>
      </c>
      <c r="L206" t="n">
        <v>21</v>
      </c>
      <c r="M206" t="n">
        <v>4</v>
      </c>
      <c r="N206" t="n">
        <v>7</v>
      </c>
      <c r="O206" t="n">
        <v>12</v>
      </c>
      <c r="P206" t="n">
        <v>9</v>
      </c>
      <c r="Q206" t="n">
        <v>9</v>
      </c>
      <c r="R206" t="n">
        <v>2938</v>
      </c>
      <c r="S206" t="n">
        <v>2741</v>
      </c>
      <c r="T206" t="n">
        <v>1547</v>
      </c>
      <c r="U206" t="n">
        <v>1896</v>
      </c>
      <c r="V206" t="n">
        <v>1758</v>
      </c>
      <c r="W206" t="n">
        <v>1760</v>
      </c>
      <c r="X206" t="n">
        <v>0</v>
      </c>
      <c r="Y206" t="n">
        <v>21</v>
      </c>
      <c r="Z206" t="n">
        <v>2939</v>
      </c>
    </row>
    <row r="207">
      <c r="A207" t="inlineStr">
        <is>
          <t>2025-11-04 06:48:19.638475+00:00</t>
        </is>
      </c>
      <c r="B207" t="inlineStr">
        <is>
          <t>Line Dom</t>
        </is>
      </c>
      <c r="C207" t="inlineStr">
        <is>
          <t>CRP</t>
        </is>
      </c>
      <c r="D207" t="inlineStr">
        <is>
          <t>UA</t>
        </is>
      </c>
      <c r="E207" t="inlineStr">
        <is>
          <t>Express</t>
        </is>
      </c>
      <c r="F207" t="n">
        <v>0</v>
      </c>
      <c r="G207" t="n">
        <v>0</v>
      </c>
      <c r="H207" t="n">
        <v>0</v>
      </c>
      <c r="I207" t="n">
        <v>0</v>
      </c>
      <c r="J207" t="n">
        <v>0</v>
      </c>
      <c r="K207" t="n">
        <v>0</v>
      </c>
      <c r="L207" t="n">
        <v>13</v>
      </c>
      <c r="M207" t="n">
        <v>0</v>
      </c>
      <c r="N207" t="n">
        <v>8</v>
      </c>
      <c r="O207" t="n">
        <v>10</v>
      </c>
      <c r="P207" t="n">
        <v>8</v>
      </c>
      <c r="Q207" t="n">
        <v>8</v>
      </c>
      <c r="R207" t="n">
        <v>2077</v>
      </c>
      <c r="S207" t="n">
        <v>2038</v>
      </c>
      <c r="T207" t="n">
        <v>1385</v>
      </c>
      <c r="U207" t="n">
        <v>1636</v>
      </c>
      <c r="V207" t="n">
        <v>1576</v>
      </c>
      <c r="W207" t="n">
        <v>1576</v>
      </c>
      <c r="X207" t="n">
        <v>0</v>
      </c>
      <c r="Y207" t="n">
        <v>13</v>
      </c>
      <c r="Z207" t="n">
        <v>2078</v>
      </c>
    </row>
    <row r="208">
      <c r="A208" t="inlineStr">
        <is>
          <t>2025-11-04 06:48:19.638475+00:00</t>
        </is>
      </c>
      <c r="B208" t="inlineStr">
        <is>
          <t>Line Dom</t>
        </is>
      </c>
      <c r="C208" t="inlineStr">
        <is>
          <t>OTH</t>
        </is>
      </c>
      <c r="D208" t="inlineStr">
        <is>
          <t>UA</t>
        </is>
      </c>
      <c r="E208" t="inlineStr">
        <is>
          <t>Express</t>
        </is>
      </c>
      <c r="F208" t="n">
        <v>0</v>
      </c>
      <c r="G208" t="n">
        <v>0</v>
      </c>
      <c r="H208" t="n">
        <v>0</v>
      </c>
      <c r="I208" t="n">
        <v>0</v>
      </c>
      <c r="J208" t="n">
        <v>0</v>
      </c>
      <c r="K208" t="n">
        <v>0</v>
      </c>
      <c r="L208" t="n">
        <v>2</v>
      </c>
      <c r="M208" t="n">
        <v>0</v>
      </c>
      <c r="N208" t="n">
        <v>0</v>
      </c>
      <c r="O208" t="n">
        <v>0</v>
      </c>
      <c r="P208" t="n">
        <v>0</v>
      </c>
      <c r="Q208" t="n">
        <v>0</v>
      </c>
      <c r="R208" t="n">
        <v>425</v>
      </c>
      <c r="S208" t="n">
        <v>423</v>
      </c>
      <c r="T208" t="n">
        <v>235</v>
      </c>
      <c r="U208" t="n">
        <v>333</v>
      </c>
      <c r="V208" t="n">
        <v>271</v>
      </c>
      <c r="W208" t="n">
        <v>271</v>
      </c>
      <c r="X208" t="n">
        <v>0</v>
      </c>
      <c r="Y208" t="n">
        <v>2</v>
      </c>
      <c r="Z208" t="n">
        <v>425</v>
      </c>
    </row>
    <row r="209">
      <c r="A209" t="inlineStr">
        <is>
          <t>2025-11-04 06:48:19.638475+00:00</t>
        </is>
      </c>
      <c r="B209" t="inlineStr">
        <is>
          <t>Line Dom</t>
        </is>
      </c>
      <c r="C209" t="inlineStr">
        <is>
          <t>SGF</t>
        </is>
      </c>
      <c r="D209" t="inlineStr">
        <is>
          <t>UA</t>
        </is>
      </c>
      <c r="E209" t="inlineStr">
        <is>
          <t>Express</t>
        </is>
      </c>
      <c r="F209" t="n">
        <v>0</v>
      </c>
      <c r="G209" t="n">
        <v>0</v>
      </c>
      <c r="H209" t="n">
        <v>0</v>
      </c>
      <c r="I209" t="n">
        <v>0</v>
      </c>
      <c r="J209" t="n">
        <v>0</v>
      </c>
      <c r="K209" t="n">
        <v>0</v>
      </c>
      <c r="L209" t="n">
        <v>20</v>
      </c>
      <c r="M209" t="n">
        <v>0</v>
      </c>
      <c r="N209" t="n">
        <v>13</v>
      </c>
      <c r="O209" t="n">
        <v>16</v>
      </c>
      <c r="P209" t="n">
        <v>12</v>
      </c>
      <c r="Q209" t="n">
        <v>12</v>
      </c>
      <c r="R209" t="n">
        <v>3048</v>
      </c>
      <c r="S209" t="n">
        <v>3007</v>
      </c>
      <c r="T209" t="n">
        <v>1860</v>
      </c>
      <c r="U209" t="n">
        <v>2246</v>
      </c>
      <c r="V209" t="n">
        <v>1992</v>
      </c>
      <c r="W209" t="n">
        <v>1992</v>
      </c>
      <c r="X209" t="n">
        <v>0</v>
      </c>
      <c r="Y209" t="n">
        <v>20</v>
      </c>
      <c r="Z209" t="n">
        <v>3049</v>
      </c>
    </row>
    <row r="210">
      <c r="A210" t="inlineStr">
        <is>
          <t>2025-11-04 06:48:19.638475+00:00</t>
        </is>
      </c>
      <c r="B210" t="inlineStr">
        <is>
          <t>Line Dom</t>
        </is>
      </c>
      <c r="C210" t="inlineStr">
        <is>
          <t>ATL</t>
        </is>
      </c>
      <c r="D210" t="inlineStr">
        <is>
          <t>UA</t>
        </is>
      </c>
      <c r="E210" t="inlineStr">
        <is>
          <t>Express</t>
        </is>
      </c>
      <c r="F210" t="n">
        <v>0</v>
      </c>
      <c r="G210" t="n">
        <v>0</v>
      </c>
      <c r="H210" t="n">
        <v>0</v>
      </c>
      <c r="I210" t="n">
        <v>0</v>
      </c>
      <c r="J210" t="n">
        <v>0</v>
      </c>
      <c r="K210" t="n">
        <v>0</v>
      </c>
      <c r="L210" t="n">
        <v>5</v>
      </c>
      <c r="M210" t="n">
        <v>0</v>
      </c>
      <c r="N210" t="n">
        <v>3</v>
      </c>
      <c r="O210" t="n">
        <v>3</v>
      </c>
      <c r="P210" t="n">
        <v>4</v>
      </c>
      <c r="Q210" t="n">
        <v>4</v>
      </c>
      <c r="R210" t="n">
        <v>760</v>
      </c>
      <c r="S210" t="n">
        <v>742</v>
      </c>
      <c r="T210" t="n">
        <v>503</v>
      </c>
      <c r="U210" t="n">
        <v>573</v>
      </c>
      <c r="V210" t="n">
        <v>543</v>
      </c>
      <c r="W210" t="n">
        <v>543</v>
      </c>
      <c r="X210" t="n">
        <v>0</v>
      </c>
      <c r="Y210" t="n">
        <v>5</v>
      </c>
      <c r="Z210" t="n">
        <v>761</v>
      </c>
    </row>
    <row r="211">
      <c r="A211" t="inlineStr">
        <is>
          <t>2025-11-04 06:48:19.638475+00:00</t>
        </is>
      </c>
      <c r="B211" t="inlineStr">
        <is>
          <t>Line Dom</t>
        </is>
      </c>
      <c r="C211" t="inlineStr">
        <is>
          <t>BOI</t>
        </is>
      </c>
      <c r="D211" t="inlineStr">
        <is>
          <t>UA</t>
        </is>
      </c>
      <c r="E211" t="inlineStr">
        <is>
          <t>Express</t>
        </is>
      </c>
      <c r="F211" t="n">
        <v>0</v>
      </c>
      <c r="G211" t="n">
        <v>0</v>
      </c>
      <c r="H211" t="n">
        <v>0</v>
      </c>
      <c r="I211" t="n">
        <v>0</v>
      </c>
      <c r="J211" t="n">
        <v>0</v>
      </c>
      <c r="K211" t="n">
        <v>0</v>
      </c>
      <c r="L211" t="n">
        <v>15</v>
      </c>
      <c r="M211" t="n">
        <v>0</v>
      </c>
      <c r="N211" t="n">
        <v>11</v>
      </c>
      <c r="O211" t="n">
        <v>14</v>
      </c>
      <c r="P211" t="n">
        <v>12</v>
      </c>
      <c r="Q211" t="n">
        <v>12</v>
      </c>
      <c r="R211" t="n">
        <v>2254</v>
      </c>
      <c r="S211" t="n">
        <v>2253</v>
      </c>
      <c r="T211" t="n">
        <v>1503</v>
      </c>
      <c r="U211" t="n">
        <v>1810</v>
      </c>
      <c r="V211" t="n">
        <v>1852</v>
      </c>
      <c r="W211" t="n">
        <v>1853</v>
      </c>
      <c r="X211" t="n">
        <v>0</v>
      </c>
      <c r="Y211" t="n">
        <v>14</v>
      </c>
      <c r="Z211" t="n">
        <v>2252</v>
      </c>
    </row>
    <row r="212">
      <c r="A212" t="inlineStr">
        <is>
          <t>2025-11-04 06:48:19.638475+00:00</t>
        </is>
      </c>
      <c r="B212" t="inlineStr">
        <is>
          <t>Line Dom</t>
        </is>
      </c>
      <c r="C212" t="inlineStr">
        <is>
          <t>MTJ</t>
        </is>
      </c>
      <c r="D212" t="inlineStr">
        <is>
          <t>UA</t>
        </is>
      </c>
      <c r="E212" t="inlineStr">
        <is>
          <t>Express</t>
        </is>
      </c>
      <c r="F212" t="n">
        <v>0</v>
      </c>
      <c r="G212" t="n">
        <v>0</v>
      </c>
      <c r="H212" t="n">
        <v>0</v>
      </c>
      <c r="I212" t="n">
        <v>0</v>
      </c>
      <c r="J212" t="n">
        <v>0</v>
      </c>
      <c r="K212" t="n">
        <v>0</v>
      </c>
      <c r="L212" t="n">
        <v>0</v>
      </c>
      <c r="M212" t="n">
        <v>0</v>
      </c>
      <c r="N212" t="n">
        <v>0</v>
      </c>
      <c r="O212" t="n">
        <v>0</v>
      </c>
      <c r="P212" t="n">
        <v>0</v>
      </c>
      <c r="Q212" t="n">
        <v>0</v>
      </c>
      <c r="R212" t="n">
        <v>401</v>
      </c>
      <c r="S212" t="n">
        <v>397</v>
      </c>
      <c r="T212" t="n">
        <v>263</v>
      </c>
      <c r="U212" t="n">
        <v>324</v>
      </c>
      <c r="V212" t="n">
        <v>281</v>
      </c>
      <c r="W212" t="n">
        <v>281</v>
      </c>
      <c r="X212" t="n">
        <v>0</v>
      </c>
      <c r="Y212" t="n">
        <v>0</v>
      </c>
      <c r="Z212" t="n">
        <v>401</v>
      </c>
    </row>
    <row r="213">
      <c r="A213" t="inlineStr">
        <is>
          <t>2025-11-04 06:48:19.638475+00:00</t>
        </is>
      </c>
      <c r="B213" t="inlineStr">
        <is>
          <t>Line Dom</t>
        </is>
      </c>
      <c r="C213" t="inlineStr">
        <is>
          <t>BTR</t>
        </is>
      </c>
      <c r="D213" t="inlineStr">
        <is>
          <t>UA</t>
        </is>
      </c>
      <c r="E213" t="inlineStr">
        <is>
          <t>Express</t>
        </is>
      </c>
      <c r="F213" t="n">
        <v>0</v>
      </c>
      <c r="G213" t="n">
        <v>0</v>
      </c>
      <c r="H213" t="n">
        <v>0</v>
      </c>
      <c r="I213" t="n">
        <v>0</v>
      </c>
      <c r="J213" t="n">
        <v>0</v>
      </c>
      <c r="K213" t="n">
        <v>0</v>
      </c>
      <c r="L213" t="n">
        <v>13</v>
      </c>
      <c r="M213" t="n">
        <v>0</v>
      </c>
      <c r="N213" t="n">
        <v>3</v>
      </c>
      <c r="O213" t="n">
        <v>10</v>
      </c>
      <c r="P213" t="n">
        <v>9</v>
      </c>
      <c r="Q213" t="n">
        <v>9</v>
      </c>
      <c r="R213" t="n">
        <v>1758</v>
      </c>
      <c r="S213" t="n">
        <v>1720</v>
      </c>
      <c r="T213" t="n">
        <v>1170</v>
      </c>
      <c r="U213" t="n">
        <v>1373</v>
      </c>
      <c r="V213" t="n">
        <v>1362</v>
      </c>
      <c r="W213" t="n">
        <v>1362</v>
      </c>
      <c r="X213" t="n">
        <v>0</v>
      </c>
      <c r="Y213" t="n">
        <v>13</v>
      </c>
      <c r="Z213" t="n">
        <v>1759</v>
      </c>
    </row>
    <row r="214">
      <c r="A214" t="inlineStr">
        <is>
          <t>2025-11-04 06:48:19.638475+00:00</t>
        </is>
      </c>
      <c r="B214" t="inlineStr">
        <is>
          <t>Line Dom</t>
        </is>
      </c>
      <c r="C214" t="inlineStr">
        <is>
          <t>LRD</t>
        </is>
      </c>
      <c r="D214" t="inlineStr">
        <is>
          <t>UA</t>
        </is>
      </c>
      <c r="E214" t="inlineStr">
        <is>
          <t>Express</t>
        </is>
      </c>
      <c r="F214" t="n">
        <v>0</v>
      </c>
      <c r="G214" t="n">
        <v>0</v>
      </c>
      <c r="H214" t="n">
        <v>0</v>
      </c>
      <c r="I214" t="n">
        <v>0</v>
      </c>
      <c r="J214" t="n">
        <v>0</v>
      </c>
      <c r="K214" t="n">
        <v>0</v>
      </c>
      <c r="L214" t="n">
        <v>7</v>
      </c>
      <c r="M214" t="n">
        <v>0</v>
      </c>
      <c r="N214" t="n">
        <v>5</v>
      </c>
      <c r="O214" t="n">
        <v>5</v>
      </c>
      <c r="P214" t="n">
        <v>5</v>
      </c>
      <c r="Q214" t="n">
        <v>5</v>
      </c>
      <c r="R214" t="n">
        <v>1064</v>
      </c>
      <c r="S214" t="n">
        <v>1046</v>
      </c>
      <c r="T214" t="n">
        <v>781</v>
      </c>
      <c r="U214" t="n">
        <v>862</v>
      </c>
      <c r="V214" t="n">
        <v>894</v>
      </c>
      <c r="W214" t="n">
        <v>894</v>
      </c>
      <c r="X214" t="n">
        <v>0</v>
      </c>
      <c r="Y214" t="n">
        <v>7</v>
      </c>
      <c r="Z214" t="n">
        <v>1065</v>
      </c>
    </row>
    <row r="215">
      <c r="A215" t="inlineStr">
        <is>
          <t>2025-11-04 06:48:19.638475+00:00</t>
        </is>
      </c>
      <c r="B215" t="inlineStr">
        <is>
          <t>Line Dom</t>
        </is>
      </c>
      <c r="C215" t="inlineStr">
        <is>
          <t>GSO</t>
        </is>
      </c>
      <c r="D215" t="inlineStr">
        <is>
          <t>UA</t>
        </is>
      </c>
      <c r="E215" t="inlineStr">
        <is>
          <t>Express</t>
        </is>
      </c>
      <c r="F215" t="n">
        <v>0</v>
      </c>
      <c r="G215" t="n">
        <v>0</v>
      </c>
      <c r="H215" t="n">
        <v>0</v>
      </c>
      <c r="I215" t="n">
        <v>0</v>
      </c>
      <c r="J215" t="n">
        <v>0</v>
      </c>
      <c r="K215" t="n">
        <v>0</v>
      </c>
      <c r="L215" t="n">
        <v>12</v>
      </c>
      <c r="M215" t="n">
        <v>1</v>
      </c>
      <c r="N215" t="n">
        <v>7</v>
      </c>
      <c r="O215" t="n">
        <v>9</v>
      </c>
      <c r="P215" t="n">
        <v>10</v>
      </c>
      <c r="Q215" t="n">
        <v>10</v>
      </c>
      <c r="R215" t="n">
        <v>2392</v>
      </c>
      <c r="S215" t="n">
        <v>2342</v>
      </c>
      <c r="T215" t="n">
        <v>1395</v>
      </c>
      <c r="U215" t="n">
        <v>1713</v>
      </c>
      <c r="V215" t="n">
        <v>1706</v>
      </c>
      <c r="W215" t="n">
        <v>1706</v>
      </c>
      <c r="X215" t="n">
        <v>0</v>
      </c>
      <c r="Y215" t="n">
        <v>12</v>
      </c>
      <c r="Z215" t="n">
        <v>2392</v>
      </c>
    </row>
    <row r="216">
      <c r="A216" t="inlineStr">
        <is>
          <t>2025-11-04 06:48:19.638475+00:00</t>
        </is>
      </c>
      <c r="B216" t="inlineStr">
        <is>
          <t>Line Dom</t>
        </is>
      </c>
      <c r="C216" t="inlineStr">
        <is>
          <t>SGU</t>
        </is>
      </c>
      <c r="D216" t="inlineStr">
        <is>
          <t>UA</t>
        </is>
      </c>
      <c r="E216" t="inlineStr">
        <is>
          <t>Express</t>
        </is>
      </c>
      <c r="F216" t="n">
        <v>0</v>
      </c>
      <c r="G216" t="n">
        <v>0</v>
      </c>
      <c r="H216" t="n">
        <v>0</v>
      </c>
      <c r="I216" t="n">
        <v>0</v>
      </c>
      <c r="J216" t="n">
        <v>0</v>
      </c>
      <c r="K216" t="n">
        <v>0</v>
      </c>
      <c r="L216" t="n">
        <v>8</v>
      </c>
      <c r="M216" t="n">
        <v>0</v>
      </c>
      <c r="N216" t="n">
        <v>7</v>
      </c>
      <c r="O216" t="n">
        <v>8</v>
      </c>
      <c r="P216" t="n">
        <v>8</v>
      </c>
      <c r="Q216" t="n">
        <v>8</v>
      </c>
      <c r="R216" t="n">
        <v>1185</v>
      </c>
      <c r="S216" t="n">
        <v>1185</v>
      </c>
      <c r="T216" t="n">
        <v>750</v>
      </c>
      <c r="U216" t="n">
        <v>937</v>
      </c>
      <c r="V216" t="n">
        <v>870</v>
      </c>
      <c r="W216" t="n">
        <v>870</v>
      </c>
      <c r="X216" t="n">
        <v>0</v>
      </c>
      <c r="Y216" t="n">
        <v>8</v>
      </c>
      <c r="Z216" t="n">
        <v>1185</v>
      </c>
    </row>
    <row r="217">
      <c r="A217" t="inlineStr">
        <is>
          <t>2025-11-04 06:48:19.638475+00:00</t>
        </is>
      </c>
      <c r="B217" t="inlineStr">
        <is>
          <t>Line Dom</t>
        </is>
      </c>
      <c r="C217" t="inlineStr">
        <is>
          <t>SAF</t>
        </is>
      </c>
      <c r="D217" t="inlineStr">
        <is>
          <t>UA</t>
        </is>
      </c>
      <c r="E217" t="inlineStr">
        <is>
          <t>Express</t>
        </is>
      </c>
      <c r="F217" t="n">
        <v>0</v>
      </c>
      <c r="G217" t="n">
        <v>0</v>
      </c>
      <c r="H217" t="n">
        <v>0</v>
      </c>
      <c r="I217" t="n">
        <v>0</v>
      </c>
      <c r="J217" t="n">
        <v>0</v>
      </c>
      <c r="K217" t="n">
        <v>0</v>
      </c>
      <c r="L217" t="n">
        <v>7</v>
      </c>
      <c r="M217" t="n">
        <v>0</v>
      </c>
      <c r="N217" t="n">
        <v>7</v>
      </c>
      <c r="O217" t="n">
        <v>7</v>
      </c>
      <c r="P217" t="n">
        <v>7</v>
      </c>
      <c r="Q217" t="n">
        <v>7</v>
      </c>
      <c r="R217" t="n">
        <v>1185</v>
      </c>
      <c r="S217" t="n">
        <v>1181</v>
      </c>
      <c r="T217" t="n">
        <v>762</v>
      </c>
      <c r="U217" t="n">
        <v>922</v>
      </c>
      <c r="V217" t="n">
        <v>876</v>
      </c>
      <c r="W217" t="n">
        <v>876</v>
      </c>
      <c r="X217" t="n">
        <v>0</v>
      </c>
      <c r="Y217" t="n">
        <v>7</v>
      </c>
      <c r="Z217" t="n">
        <v>1185</v>
      </c>
    </row>
    <row r="218">
      <c r="A218" t="inlineStr">
        <is>
          <t>2025-11-04 06:48:19.638475+00:00</t>
        </is>
      </c>
      <c r="B218" t="inlineStr">
        <is>
          <t>Line Dom</t>
        </is>
      </c>
      <c r="C218" t="inlineStr">
        <is>
          <t>FSD</t>
        </is>
      </c>
      <c r="D218" t="inlineStr">
        <is>
          <t>UA</t>
        </is>
      </c>
      <c r="E218" t="inlineStr">
        <is>
          <t>Express</t>
        </is>
      </c>
      <c r="F218" t="n">
        <v>0</v>
      </c>
      <c r="G218" t="n">
        <v>0</v>
      </c>
      <c r="H218" t="n">
        <v>0</v>
      </c>
      <c r="I218" t="n">
        <v>0</v>
      </c>
      <c r="J218" t="n">
        <v>0</v>
      </c>
      <c r="K218" t="n">
        <v>0</v>
      </c>
      <c r="L218" t="n">
        <v>11</v>
      </c>
      <c r="M218" t="n">
        <v>0</v>
      </c>
      <c r="N218" t="n">
        <v>9</v>
      </c>
      <c r="O218" t="n">
        <v>10</v>
      </c>
      <c r="P218" t="n">
        <v>10</v>
      </c>
      <c r="Q218" t="n">
        <v>10</v>
      </c>
      <c r="R218" t="n">
        <v>1973</v>
      </c>
      <c r="S218" t="n">
        <v>1953</v>
      </c>
      <c r="T218" t="n">
        <v>1263</v>
      </c>
      <c r="U218" t="n">
        <v>1545</v>
      </c>
      <c r="V218" t="n">
        <v>1377</v>
      </c>
      <c r="W218" t="n">
        <v>1377</v>
      </c>
      <c r="X218" t="n">
        <v>0</v>
      </c>
      <c r="Y218" t="n">
        <v>11</v>
      </c>
      <c r="Z218" t="n">
        <v>1972</v>
      </c>
    </row>
    <row r="219">
      <c r="A219" t="inlineStr">
        <is>
          <t>2025-11-04 06:48:19.638475+00:00</t>
        </is>
      </c>
      <c r="B219" t="inlineStr">
        <is>
          <t>Line Dom</t>
        </is>
      </c>
      <c r="C219" t="inlineStr">
        <is>
          <t>GEG</t>
        </is>
      </c>
      <c r="D219" t="inlineStr">
        <is>
          <t>UA</t>
        </is>
      </c>
      <c r="E219" t="inlineStr">
        <is>
          <t>Express</t>
        </is>
      </c>
      <c r="F219" t="n">
        <v>0</v>
      </c>
      <c r="G219" t="n">
        <v>0</v>
      </c>
      <c r="H219" t="n">
        <v>0</v>
      </c>
      <c r="I219" t="n">
        <v>0</v>
      </c>
      <c r="J219" t="n">
        <v>0</v>
      </c>
      <c r="K219" t="n">
        <v>0</v>
      </c>
      <c r="L219" t="n">
        <v>8</v>
      </c>
      <c r="M219" t="n">
        <v>0</v>
      </c>
      <c r="N219" t="n">
        <v>4</v>
      </c>
      <c r="O219" t="n">
        <v>6</v>
      </c>
      <c r="P219" t="n">
        <v>6</v>
      </c>
      <c r="Q219" t="n">
        <v>6</v>
      </c>
      <c r="R219" t="n">
        <v>1005</v>
      </c>
      <c r="S219" t="n">
        <v>1004</v>
      </c>
      <c r="T219" t="n">
        <v>649</v>
      </c>
      <c r="U219" t="n">
        <v>819</v>
      </c>
      <c r="V219" t="n">
        <v>835</v>
      </c>
      <c r="W219" t="n">
        <v>835</v>
      </c>
      <c r="X219" t="n">
        <v>0</v>
      </c>
      <c r="Y219" t="n">
        <v>8</v>
      </c>
      <c r="Z219" t="n">
        <v>1005</v>
      </c>
    </row>
    <row r="220">
      <c r="A220" t="inlineStr">
        <is>
          <t>2025-11-04 06:48:19.638475+00:00</t>
        </is>
      </c>
      <c r="B220" t="inlineStr">
        <is>
          <t>Line Dom</t>
        </is>
      </c>
      <c r="C220" t="inlineStr">
        <is>
          <t>BHM</t>
        </is>
      </c>
      <c r="D220" t="inlineStr">
        <is>
          <t>UA</t>
        </is>
      </c>
      <c r="E220" t="inlineStr">
        <is>
          <t>Express</t>
        </is>
      </c>
      <c r="F220" t="n">
        <v>0</v>
      </c>
      <c r="G220" t="n">
        <v>0</v>
      </c>
      <c r="H220" t="n">
        <v>0</v>
      </c>
      <c r="I220" t="n">
        <v>0</v>
      </c>
      <c r="J220" t="n">
        <v>0</v>
      </c>
      <c r="K220" t="n">
        <v>0</v>
      </c>
      <c r="L220" t="n">
        <v>19</v>
      </c>
      <c r="M220" t="n">
        <v>0</v>
      </c>
      <c r="N220" t="n">
        <v>11</v>
      </c>
      <c r="O220" t="n">
        <v>15</v>
      </c>
      <c r="P220" t="n">
        <v>14</v>
      </c>
      <c r="Q220" t="n">
        <v>14</v>
      </c>
      <c r="R220" t="n">
        <v>2751</v>
      </c>
      <c r="S220" t="n">
        <v>2706</v>
      </c>
      <c r="T220" t="n">
        <v>1762</v>
      </c>
      <c r="U220" t="n">
        <v>2087</v>
      </c>
      <c r="V220" t="n">
        <v>2043</v>
      </c>
      <c r="W220" t="n">
        <v>2043</v>
      </c>
      <c r="X220" t="n">
        <v>0</v>
      </c>
      <c r="Y220" t="n">
        <v>19</v>
      </c>
      <c r="Z220" t="n">
        <v>2753</v>
      </c>
    </row>
    <row r="221">
      <c r="A221" t="inlineStr">
        <is>
          <t>2025-11-04 06:48:19.638475+00:00</t>
        </is>
      </c>
      <c r="B221" t="inlineStr">
        <is>
          <t>Line Dom</t>
        </is>
      </c>
      <c r="C221" t="inlineStr">
        <is>
          <t>ATY</t>
        </is>
      </c>
      <c r="D221" t="inlineStr">
        <is>
          <t>UA</t>
        </is>
      </c>
      <c r="E221" t="inlineStr">
        <is>
          <t>Express</t>
        </is>
      </c>
      <c r="F221" t="n">
        <v>0</v>
      </c>
      <c r="G221" t="n">
        <v>0</v>
      </c>
      <c r="H221" t="n">
        <v>0</v>
      </c>
      <c r="I221" t="n">
        <v>0</v>
      </c>
      <c r="J221" t="n">
        <v>0</v>
      </c>
      <c r="K221" t="n">
        <v>0</v>
      </c>
      <c r="L221" t="n">
        <v>2</v>
      </c>
      <c r="M221" t="n">
        <v>0</v>
      </c>
      <c r="N221" t="n">
        <v>2</v>
      </c>
      <c r="O221" t="n">
        <v>2</v>
      </c>
      <c r="P221" t="n">
        <v>2</v>
      </c>
      <c r="Q221" t="n">
        <v>2</v>
      </c>
      <c r="R221" t="n">
        <v>94</v>
      </c>
      <c r="S221" t="n">
        <v>94</v>
      </c>
      <c r="T221" t="n">
        <v>59</v>
      </c>
      <c r="U221" t="n">
        <v>75</v>
      </c>
      <c r="V221" t="n">
        <v>64</v>
      </c>
      <c r="W221" t="n">
        <v>64</v>
      </c>
      <c r="X221" t="n">
        <v>0</v>
      </c>
      <c r="Y221" t="n">
        <v>2</v>
      </c>
      <c r="Z221" t="n">
        <v>94</v>
      </c>
    </row>
    <row r="222">
      <c r="A222" t="inlineStr">
        <is>
          <t>2025-11-04 06:48:19.638475+00:00</t>
        </is>
      </c>
      <c r="B222" t="inlineStr">
        <is>
          <t>Line Dom</t>
        </is>
      </c>
      <c r="C222" t="inlineStr">
        <is>
          <t>ACV</t>
        </is>
      </c>
      <c r="D222" t="inlineStr">
        <is>
          <t>UA</t>
        </is>
      </c>
      <c r="E222" t="inlineStr">
        <is>
          <t>Express</t>
        </is>
      </c>
      <c r="F222" t="n">
        <v>0</v>
      </c>
      <c r="G222" t="n">
        <v>0</v>
      </c>
      <c r="H222" t="n">
        <v>0</v>
      </c>
      <c r="I222" t="n">
        <v>0</v>
      </c>
      <c r="J222" t="n">
        <v>0</v>
      </c>
      <c r="K222" t="n">
        <v>0</v>
      </c>
      <c r="L222" t="n">
        <v>12</v>
      </c>
      <c r="M222" t="n">
        <v>0</v>
      </c>
      <c r="N222" t="n">
        <v>8</v>
      </c>
      <c r="O222" t="n">
        <v>9</v>
      </c>
      <c r="P222" t="n">
        <v>6</v>
      </c>
      <c r="Q222" t="n">
        <v>6</v>
      </c>
      <c r="R222" t="n">
        <v>1639</v>
      </c>
      <c r="S222" t="n">
        <v>1632</v>
      </c>
      <c r="T222" t="n">
        <v>1041</v>
      </c>
      <c r="U222" t="n">
        <v>1338</v>
      </c>
      <c r="V222" t="n">
        <v>1278</v>
      </c>
      <c r="W222" t="n">
        <v>1278</v>
      </c>
      <c r="X222" t="n">
        <v>0</v>
      </c>
      <c r="Y222" t="n">
        <v>12</v>
      </c>
      <c r="Z222" t="n">
        <v>1641</v>
      </c>
    </row>
    <row r="223">
      <c r="A223" t="inlineStr">
        <is>
          <t>2025-11-04 06:48:19.638475+00:00</t>
        </is>
      </c>
      <c r="B223" t="inlineStr">
        <is>
          <t>Line Dom</t>
        </is>
      </c>
      <c r="C223" t="inlineStr">
        <is>
          <t>ACK</t>
        </is>
      </c>
      <c r="D223" t="inlineStr">
        <is>
          <t>UA</t>
        </is>
      </c>
      <c r="E223" t="inlineStr">
        <is>
          <t>Express</t>
        </is>
      </c>
      <c r="F223" t="n">
        <v>0</v>
      </c>
      <c r="G223" t="n">
        <v>0</v>
      </c>
      <c r="H223" t="n">
        <v>0</v>
      </c>
      <c r="I223" t="n">
        <v>0</v>
      </c>
      <c r="J223" t="n">
        <v>0</v>
      </c>
      <c r="K223" t="n">
        <v>0</v>
      </c>
      <c r="L223" t="n">
        <v>0</v>
      </c>
      <c r="M223" t="n">
        <v>0</v>
      </c>
      <c r="N223" t="n">
        <v>0</v>
      </c>
      <c r="O223" t="n">
        <v>0</v>
      </c>
      <c r="P223" t="n">
        <v>0</v>
      </c>
      <c r="Q223" t="n">
        <v>0</v>
      </c>
      <c r="R223" t="n">
        <v>195</v>
      </c>
      <c r="S223" t="n">
        <v>183</v>
      </c>
      <c r="T223" t="n">
        <v>127</v>
      </c>
      <c r="U223" t="n">
        <v>145</v>
      </c>
      <c r="V223" t="n">
        <v>94</v>
      </c>
      <c r="W223" t="n">
        <v>94</v>
      </c>
      <c r="X223" t="n">
        <v>0</v>
      </c>
      <c r="Y223" t="n">
        <v>0</v>
      </c>
      <c r="Z223" t="n">
        <v>195</v>
      </c>
    </row>
    <row r="224">
      <c r="A224" t="inlineStr">
        <is>
          <t>2025-11-04 06:48:19.638475+00:00</t>
        </is>
      </c>
      <c r="B224" t="inlineStr">
        <is>
          <t>Line Dom</t>
        </is>
      </c>
      <c r="C224" t="inlineStr">
        <is>
          <t>SHR</t>
        </is>
      </c>
      <c r="D224" t="inlineStr">
        <is>
          <t>UA</t>
        </is>
      </c>
      <c r="E224" t="inlineStr">
        <is>
          <t>Express</t>
        </is>
      </c>
      <c r="F224" t="n">
        <v>0</v>
      </c>
      <c r="G224" t="n">
        <v>0</v>
      </c>
      <c r="H224" t="n">
        <v>0</v>
      </c>
      <c r="I224" t="n">
        <v>0</v>
      </c>
      <c r="J224" t="n">
        <v>0</v>
      </c>
      <c r="K224" t="n">
        <v>0</v>
      </c>
      <c r="L224" t="n">
        <v>4</v>
      </c>
      <c r="M224" t="n">
        <v>0</v>
      </c>
      <c r="N224" t="n">
        <v>2</v>
      </c>
      <c r="O224" t="n">
        <v>3</v>
      </c>
      <c r="P224" t="n">
        <v>2</v>
      </c>
      <c r="Q224" t="n">
        <v>2</v>
      </c>
      <c r="R224" t="n">
        <v>612</v>
      </c>
      <c r="S224" t="n">
        <v>603</v>
      </c>
      <c r="T224" t="n">
        <v>360</v>
      </c>
      <c r="U224" t="n">
        <v>457</v>
      </c>
      <c r="V224" t="n">
        <v>473</v>
      </c>
      <c r="W224" t="n">
        <v>473</v>
      </c>
      <c r="X224" t="n">
        <v>0</v>
      </c>
      <c r="Y224" t="n">
        <v>4</v>
      </c>
      <c r="Z224" t="n">
        <v>612</v>
      </c>
    </row>
    <row r="225">
      <c r="A225" t="inlineStr">
        <is>
          <t>2025-11-04 06:48:19.638475+00:00</t>
        </is>
      </c>
      <c r="B225" t="inlineStr">
        <is>
          <t>Line Dom</t>
        </is>
      </c>
      <c r="C225" t="inlineStr">
        <is>
          <t>ROA</t>
        </is>
      </c>
      <c r="D225" t="inlineStr">
        <is>
          <t>UA</t>
        </is>
      </c>
      <c r="E225" t="inlineStr">
        <is>
          <t>Express</t>
        </is>
      </c>
      <c r="F225" t="n">
        <v>0</v>
      </c>
      <c r="G225" t="n">
        <v>0</v>
      </c>
      <c r="H225" t="n">
        <v>0</v>
      </c>
      <c r="I225" t="n">
        <v>0</v>
      </c>
      <c r="J225" t="n">
        <v>0</v>
      </c>
      <c r="K225" t="n">
        <v>0</v>
      </c>
      <c r="L225" t="n">
        <v>13</v>
      </c>
      <c r="M225" t="n">
        <v>0</v>
      </c>
      <c r="N225" t="n">
        <v>8</v>
      </c>
      <c r="O225" t="n">
        <v>11</v>
      </c>
      <c r="P225" t="n">
        <v>12</v>
      </c>
      <c r="Q225" t="n">
        <v>12</v>
      </c>
      <c r="R225" t="n">
        <v>1678</v>
      </c>
      <c r="S225" t="n">
        <v>1645</v>
      </c>
      <c r="T225" t="n">
        <v>903</v>
      </c>
      <c r="U225" t="n">
        <v>1200</v>
      </c>
      <c r="V225" t="n">
        <v>1184</v>
      </c>
      <c r="W225" t="n">
        <v>1184</v>
      </c>
      <c r="X225" t="n">
        <v>0</v>
      </c>
      <c r="Y225" t="n">
        <v>13</v>
      </c>
      <c r="Z225" t="n">
        <v>1680</v>
      </c>
    </row>
    <row r="226">
      <c r="A226" t="inlineStr">
        <is>
          <t>2025-11-04 06:48:19.638475+00:00</t>
        </is>
      </c>
      <c r="B226" t="inlineStr">
        <is>
          <t>Line Dom</t>
        </is>
      </c>
      <c r="C226" t="inlineStr">
        <is>
          <t>PIR</t>
        </is>
      </c>
      <c r="D226" t="inlineStr">
        <is>
          <t>UA</t>
        </is>
      </c>
      <c r="E226" t="inlineStr">
        <is>
          <t>Express</t>
        </is>
      </c>
      <c r="F226" t="n">
        <v>0</v>
      </c>
      <c r="G226" t="n">
        <v>0</v>
      </c>
      <c r="H226" t="n">
        <v>0</v>
      </c>
      <c r="I226" t="n">
        <v>0</v>
      </c>
      <c r="J226" t="n">
        <v>0</v>
      </c>
      <c r="K226" t="n">
        <v>0</v>
      </c>
      <c r="L226" t="n">
        <v>5</v>
      </c>
      <c r="M226" t="n">
        <v>0</v>
      </c>
      <c r="N226" t="n">
        <v>4</v>
      </c>
      <c r="O226" t="n">
        <v>5</v>
      </c>
      <c r="P226" t="n">
        <v>4</v>
      </c>
      <c r="Q226" t="n">
        <v>4</v>
      </c>
      <c r="R226" t="n">
        <v>179</v>
      </c>
      <c r="S226" t="n">
        <v>176</v>
      </c>
      <c r="T226" t="n">
        <v>120</v>
      </c>
      <c r="U226" t="n">
        <v>138</v>
      </c>
      <c r="V226" t="n">
        <v>132</v>
      </c>
      <c r="W226" t="n">
        <v>132</v>
      </c>
      <c r="X226" t="n">
        <v>0</v>
      </c>
      <c r="Y226" t="n">
        <v>5</v>
      </c>
      <c r="Z226" t="n">
        <v>180</v>
      </c>
    </row>
    <row r="227">
      <c r="A227" t="inlineStr">
        <is>
          <t>2025-11-04 06:48:19.638475+00:00</t>
        </is>
      </c>
      <c r="B227" t="inlineStr">
        <is>
          <t>Line Dom</t>
        </is>
      </c>
      <c r="C227" t="inlineStr">
        <is>
          <t>AUS</t>
        </is>
      </c>
      <c r="D227" t="inlineStr">
        <is>
          <t>UA</t>
        </is>
      </c>
      <c r="E227" t="inlineStr">
        <is>
          <t>Express</t>
        </is>
      </c>
      <c r="F227" t="n">
        <v>0</v>
      </c>
      <c r="G227" t="n">
        <v>0</v>
      </c>
      <c r="H227" t="n">
        <v>0</v>
      </c>
      <c r="I227" t="n">
        <v>0</v>
      </c>
      <c r="J227" t="n">
        <v>0</v>
      </c>
      <c r="K227" t="n">
        <v>0</v>
      </c>
      <c r="L227" t="n">
        <v>5</v>
      </c>
      <c r="M227" t="n">
        <v>0</v>
      </c>
      <c r="N227" t="n">
        <v>3</v>
      </c>
      <c r="O227" t="n">
        <v>4</v>
      </c>
      <c r="P227" t="n">
        <v>4</v>
      </c>
      <c r="Q227" t="n">
        <v>4</v>
      </c>
      <c r="R227" t="n">
        <v>885</v>
      </c>
      <c r="S227" t="n">
        <v>876</v>
      </c>
      <c r="T227" t="n">
        <v>610</v>
      </c>
      <c r="U227" t="n">
        <v>748</v>
      </c>
      <c r="V227" t="n">
        <v>629</v>
      </c>
      <c r="W227" t="n">
        <v>629</v>
      </c>
      <c r="X227" t="n">
        <v>0</v>
      </c>
      <c r="Y227" t="n">
        <v>5</v>
      </c>
      <c r="Z227" t="n">
        <v>883</v>
      </c>
    </row>
    <row r="228">
      <c r="A228" t="inlineStr">
        <is>
          <t>2025-11-04 06:48:19.638475+00:00</t>
        </is>
      </c>
      <c r="B228" t="inlineStr">
        <is>
          <t>Line Dom</t>
        </is>
      </c>
      <c r="C228" t="inlineStr">
        <is>
          <t>MOB</t>
        </is>
      </c>
      <c r="D228" t="inlineStr">
        <is>
          <t>UA</t>
        </is>
      </c>
      <c r="E228" t="inlineStr">
        <is>
          <t>Express</t>
        </is>
      </c>
      <c r="F228" t="n">
        <v>0</v>
      </c>
      <c r="G228" t="n">
        <v>0</v>
      </c>
      <c r="H228" t="n">
        <v>0</v>
      </c>
      <c r="I228" t="n">
        <v>0</v>
      </c>
      <c r="J228" t="n">
        <v>0</v>
      </c>
      <c r="K228" t="n">
        <v>0</v>
      </c>
      <c r="L228" t="n">
        <v>12</v>
      </c>
      <c r="M228" t="n">
        <v>0</v>
      </c>
      <c r="N228" t="n">
        <v>4</v>
      </c>
      <c r="O228" t="n">
        <v>8</v>
      </c>
      <c r="P228" t="n">
        <v>9</v>
      </c>
      <c r="Q228" t="n">
        <v>9</v>
      </c>
      <c r="R228" t="n">
        <v>1818</v>
      </c>
      <c r="S228" t="n">
        <v>1777</v>
      </c>
      <c r="T228" t="n">
        <v>1184</v>
      </c>
      <c r="U228" t="n">
        <v>1391</v>
      </c>
      <c r="V228" t="n">
        <v>1426</v>
      </c>
      <c r="W228" t="n">
        <v>1426</v>
      </c>
      <c r="X228" t="n">
        <v>0</v>
      </c>
      <c r="Y228" t="n">
        <v>12</v>
      </c>
      <c r="Z228" t="n">
        <v>1819</v>
      </c>
    </row>
    <row r="229">
      <c r="A229" t="inlineStr">
        <is>
          <t>2025-11-04 06:48:19.638475+00:00</t>
        </is>
      </c>
      <c r="B229" t="inlineStr">
        <is>
          <t>Line Int</t>
        </is>
      </c>
      <c r="C229" t="inlineStr">
        <is>
          <t>MZT</t>
        </is>
      </c>
      <c r="D229" t="inlineStr">
        <is>
          <t>UA</t>
        </is>
      </c>
      <c r="E229" t="inlineStr">
        <is>
          <t>Express</t>
        </is>
      </c>
      <c r="F229" t="n">
        <v>0</v>
      </c>
      <c r="G229" t="n">
        <v>0</v>
      </c>
      <c r="H229" t="n">
        <v>0</v>
      </c>
      <c r="I229" t="n">
        <v>0</v>
      </c>
      <c r="J229" t="n">
        <v>0</v>
      </c>
      <c r="K229" t="n">
        <v>0</v>
      </c>
      <c r="L229" t="n">
        <v>0</v>
      </c>
      <c r="M229" t="n">
        <v>0</v>
      </c>
      <c r="N229" t="n">
        <v>0</v>
      </c>
      <c r="O229" t="n">
        <v>0</v>
      </c>
      <c r="P229" t="n">
        <v>0</v>
      </c>
      <c r="Q229" t="n">
        <v>0</v>
      </c>
      <c r="R229" t="n">
        <v>45</v>
      </c>
      <c r="S229" t="n">
        <v>45</v>
      </c>
      <c r="T229" t="n">
        <v>29</v>
      </c>
      <c r="U229" t="n">
        <v>33</v>
      </c>
      <c r="V229" t="n">
        <v>37</v>
      </c>
      <c r="W229" t="n">
        <v>37</v>
      </c>
      <c r="X229" t="n">
        <v>0</v>
      </c>
      <c r="Y229" t="n">
        <v>0</v>
      </c>
      <c r="Z229" t="n">
        <v>45</v>
      </c>
    </row>
    <row r="230">
      <c r="A230" t="inlineStr">
        <is>
          <t>2025-11-04 06:48:19.638475+00:00</t>
        </is>
      </c>
      <c r="B230" t="inlineStr">
        <is>
          <t>Line Dom</t>
        </is>
      </c>
      <c r="C230" t="inlineStr">
        <is>
          <t>ORF</t>
        </is>
      </c>
      <c r="D230" t="inlineStr">
        <is>
          <t>UA</t>
        </is>
      </c>
      <c r="E230" t="inlineStr">
        <is>
          <t>Express</t>
        </is>
      </c>
      <c r="F230" t="n">
        <v>0</v>
      </c>
      <c r="G230" t="n">
        <v>0</v>
      </c>
      <c r="H230" t="n">
        <v>0</v>
      </c>
      <c r="I230" t="n">
        <v>0</v>
      </c>
      <c r="J230" t="n">
        <v>0</v>
      </c>
      <c r="K230" t="n">
        <v>0</v>
      </c>
      <c r="L230" t="n">
        <v>13</v>
      </c>
      <c r="M230" t="n">
        <v>2</v>
      </c>
      <c r="N230" t="n">
        <v>7</v>
      </c>
      <c r="O230" t="n">
        <v>8</v>
      </c>
      <c r="P230" t="n">
        <v>9</v>
      </c>
      <c r="Q230" t="n">
        <v>9</v>
      </c>
      <c r="R230" t="n">
        <v>1999</v>
      </c>
      <c r="S230" t="n">
        <v>1932</v>
      </c>
      <c r="T230" t="n">
        <v>1187</v>
      </c>
      <c r="U230" t="n">
        <v>1499</v>
      </c>
      <c r="V230" t="n">
        <v>1358</v>
      </c>
      <c r="W230" t="n">
        <v>1358</v>
      </c>
      <c r="X230" t="n">
        <v>0</v>
      </c>
      <c r="Y230" t="n">
        <v>13</v>
      </c>
      <c r="Z230" t="n">
        <v>1999</v>
      </c>
    </row>
  </sheetData>
  <pageMargins left="0.75" right="0.75" top="1" bottom="1" header="0.5" footer="0.5"/>
</worksheet>
</file>

<file path=xl/worksheets/sheet41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0.09176392332345649</v>
      </c>
      <c r="B2" t="n">
        <v/>
      </c>
      <c r="C2" t="n">
        <v>0.06252202648796901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United</t>
        </is>
      </c>
      <c r="B2" t="n">
        <v>0.0252143936637877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Hulen, Matt</dc:creator>
  <dcterms:created xmlns:dcterms="http://purl.org/dc/terms/" xmlns:xsi="http://www.w3.org/2001/XMLSchema-instance" xsi:type="dcterms:W3CDTF">2019-08-12T13:11:40Z</dcterms:created>
  <dcterms:modified xmlns:dcterms="http://purl.org/dc/terms/" xmlns:xsi="http://www.w3.org/2001/XMLSchema-instance" xsi:type="dcterms:W3CDTF">2025-11-04T06:52:35Z</dcterms:modified>
  <cp:lastModifiedBy>Singh, Harmanpreet</cp:lastModifiedBy>
  <cp:lastPrinted>2022-09-26T05:14:08Z</cp:lastPrinted>
</cp:coreProperties>
</file>