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4" activeTab="7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RANK" sheetId="9" state="visible" r:id="rId9"/>
    <sheet xmlns:r="http://schemas.openxmlformats.org/officeDocument/2006/relationships" name="ES_MATRIX" sheetId="10" state="visible" r:id="rId10"/>
    <sheet xmlns:r="http://schemas.openxmlformats.org/officeDocument/2006/relationships" name="EX_Goals" sheetId="11" state="visible" r:id="rId11"/>
    <sheet xmlns:r="http://schemas.openxmlformats.org/officeDocument/2006/relationships" name="UA_SQL_1" sheetId="12" state="visible" r:id="rId12"/>
    <sheet xmlns:r="http://schemas.openxmlformats.org/officeDocument/2006/relationships" name="UA_L7D" sheetId="13" state="visible" r:id="rId13"/>
    <sheet xmlns:r="http://schemas.openxmlformats.org/officeDocument/2006/relationships" name="UA_SQL_1_2019" sheetId="14" state="visible" r:id="rId14"/>
    <sheet xmlns:r="http://schemas.openxmlformats.org/officeDocument/2006/relationships" name="OA_SQL_1" sheetId="15" state="visible" r:id="rId15"/>
    <sheet xmlns:r="http://schemas.openxmlformats.org/officeDocument/2006/relationships" name="CNXL_SQL_2" sheetId="16" state="visible" r:id="rId16"/>
    <sheet xmlns:r="http://schemas.openxmlformats.org/officeDocument/2006/relationships" name="RES_CNXL_SQL_3" sheetId="17" state="visible" r:id="rId17"/>
    <sheet xmlns:r="http://schemas.openxmlformats.org/officeDocument/2006/relationships" name="SCH_DEP_SQL_4" sheetId="18" state="visible" r:id="rId18"/>
    <sheet xmlns:r="http://schemas.openxmlformats.org/officeDocument/2006/relationships" name="DIVERTS_SQL_5_2019" sheetId="19" state="visible" r:id="rId19"/>
    <sheet xmlns:r="http://schemas.openxmlformats.org/officeDocument/2006/relationships" name="TOTAL_DIVERTS_SQL_5" sheetId="20" state="visible" r:id="rId20"/>
    <sheet xmlns:r="http://schemas.openxmlformats.org/officeDocument/2006/relationships" name="UA_HUB_SQL_7" sheetId="21" state="visible" r:id="rId21"/>
    <sheet xmlns:r="http://schemas.openxmlformats.org/officeDocument/2006/relationships" name="UA_SeatCnxl_2019" sheetId="22" state="visible" r:id="rId22"/>
    <sheet xmlns:r="http://schemas.openxmlformats.org/officeDocument/2006/relationships" name="UA_Seat_cancels" sheetId="23" state="visible" r:id="rId23"/>
    <sheet xmlns:r="http://schemas.openxmlformats.org/officeDocument/2006/relationships" name="RECOVERED_DIVERTS_2019" sheetId="24" state="visible" r:id="rId24"/>
    <sheet xmlns:r="http://schemas.openxmlformats.org/officeDocument/2006/relationships" name="OA_SQL_2" sheetId="25" state="visible" r:id="rId25"/>
    <sheet xmlns:r="http://schemas.openxmlformats.org/officeDocument/2006/relationships" name="OA_SeatCnxl" sheetId="26" state="visible" r:id="rId26"/>
    <sheet xmlns:r="http://schemas.openxmlformats.org/officeDocument/2006/relationships" name="DIVERTS_RECOVERED_SQL_6" sheetId="27" state="visible" r:id="rId27"/>
    <sheet xmlns:r="http://schemas.openxmlformats.org/officeDocument/2006/relationships" name="FLIGHTS_NOT_DEPARTED_SQL_8" sheetId="28" state="visible" r:id="rId28"/>
    <sheet xmlns:r="http://schemas.openxmlformats.org/officeDocument/2006/relationships" name="REPOSITIONED_FLIGHTS_SQL_13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Sheet2" sheetId="32" state="visible" r:id="rId32"/>
    <sheet xmlns:r="http://schemas.openxmlformats.org/officeDocument/2006/relationships" name="OA_Line" sheetId="33" state="visible" r:id="rId33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\ \p.\p.;\(0.00\ \p.\p.\)"/>
    <numFmt numFmtId="165" formatCode="0.0%"/>
    <numFmt numFmtId="166" formatCode="0.0"/>
    <numFmt numFmtId="167" formatCode="yyyy-mm-dd h:mm:ss"/>
  </numFmts>
  <fonts count="4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82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0" fontId="17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0" fontId="0" fillId="0" borderId="0" pivotButton="0" quotePrefix="0" xfId="0"/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165" fontId="7" fillId="0" borderId="14" applyAlignment="1" pivotButton="0" quotePrefix="0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0" fontId="0" fillId="0" borderId="0" pivotButton="0" quotePrefix="0" xfId="0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10" fontId="0" fillId="0" borderId="0" applyAlignment="1" pivotButton="0" quotePrefix="0" xfId="0">
      <alignment vertical="center"/>
    </xf>
    <xf numFmtId="10" fontId="7" fillId="0" borderId="14" applyAlignment="1" pivotButton="0" quotePrefix="0" xfId="0">
      <alignment horizontal="center"/>
    </xf>
    <xf numFmtId="165" fontId="7" fillId="0" borderId="1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0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8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5" fillId="10" borderId="50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13" fillId="3" borderId="0" applyAlignment="1" pivotButton="0" quotePrefix="0" xfId="0">
      <alignment horizontal="center" vertical="center"/>
    </xf>
    <xf numFmtId="0" fontId="12" fillId="3" borderId="11" applyAlignment="1" pivotButton="0" quotePrefix="0" xfId="0">
      <alignment horizontal="left" vertical="center" indent="1"/>
    </xf>
    <xf numFmtId="0" fontId="12" fillId="10" borderId="11" applyAlignment="1" pivotButton="0" quotePrefix="0" xfId="0">
      <alignment horizontal="left" vertical="center" indent="1"/>
    </xf>
    <xf numFmtId="0" fontId="13" fillId="10" borderId="0" applyAlignment="1" pivotButton="0" quotePrefix="0" xfId="0">
      <alignment horizontal="center" vertical="center"/>
    </xf>
    <xf numFmtId="0" fontId="0" fillId="14" borderId="0" pivotButton="0" quotePrefix="0" xfId="0"/>
    <xf numFmtId="0" fontId="37" fillId="14" borderId="52" applyAlignment="1" pivotButton="0" quotePrefix="0" xfId="0">
      <alignment horizontal="left" vertical="center"/>
    </xf>
    <xf numFmtId="0" fontId="38" fillId="14" borderId="53" applyAlignment="1" pivotButton="0" quotePrefix="0" xfId="0">
      <alignment horizontal="left" vertical="center"/>
    </xf>
    <xf numFmtId="0" fontId="39" fillId="15" borderId="54" applyAlignment="1" pivotButton="0" quotePrefix="0" xfId="0">
      <alignment horizontal="right" vertical="center" wrapText="1"/>
    </xf>
    <xf numFmtId="0" fontId="39" fillId="16" borderId="54" applyAlignment="1" pivotButton="0" quotePrefix="0" xfId="0">
      <alignment horizontal="left" vertical="center"/>
    </xf>
    <xf numFmtId="0" fontId="39" fillId="16" borderId="54" applyAlignment="1" pivotButton="0" quotePrefix="0" xfId="0">
      <alignment horizontal="right" vertical="center"/>
    </xf>
    <xf numFmtId="0" fontId="40" fillId="17" borderId="54" applyAlignment="1" pivotButton="0" quotePrefix="0" xfId="0">
      <alignment horizontal="left" vertical="center"/>
    </xf>
    <xf numFmtId="0" fontId="40" fillId="17" borderId="54" applyAlignment="1" pivotButton="0" quotePrefix="0" xfId="0">
      <alignment horizontal="right" vertical="center"/>
    </xf>
    <xf numFmtId="0" fontId="40" fillId="16" borderId="54" applyAlignment="1" pivotButton="0" quotePrefix="0" xfId="0">
      <alignment horizontal="left" vertical="center"/>
    </xf>
    <xf numFmtId="0" fontId="40" fillId="16" borderId="54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5" applyAlignment="1" pivotButton="0" quotePrefix="0" xfId="0">
      <alignment horizontal="right" indent="1"/>
    </xf>
    <xf numFmtId="0" fontId="39" fillId="18" borderId="54" applyAlignment="1" pivotButton="0" quotePrefix="0" xfId="0">
      <alignment horizontal="left" vertical="center"/>
    </xf>
    <xf numFmtId="0" fontId="41" fillId="16" borderId="53" applyAlignment="1" pivotButton="0" quotePrefix="0" xfId="0">
      <alignment horizontal="left" vertical="center"/>
    </xf>
    <xf numFmtId="0" fontId="41" fillId="0" borderId="53" applyAlignment="1" pivotButton="0" quotePrefix="0" xfId="0">
      <alignment horizontal="left" vertical="center"/>
    </xf>
    <xf numFmtId="0" fontId="37" fillId="14" borderId="52" applyAlignment="1" pivotButton="0" quotePrefix="0" xfId="0">
      <alignment horizontal="left" vertical="center" wrapText="1"/>
    </xf>
    <xf numFmtId="0" fontId="6" fillId="0" borderId="56" applyAlignment="1" pivotButton="0" quotePrefix="0" xfId="0">
      <alignment horizontal="left" indent="1"/>
    </xf>
    <xf numFmtId="0" fontId="33" fillId="6" borderId="60" applyAlignment="1" pivotButton="0" quotePrefix="0" xfId="0">
      <alignment horizontal="center" vertical="center" wrapText="1"/>
    </xf>
    <xf numFmtId="0" fontId="33" fillId="12" borderId="61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8" applyAlignment="1" pivotButton="0" quotePrefix="0" xfId="0">
      <alignment horizontal="center" vertical="center" wrapText="1"/>
    </xf>
    <xf numFmtId="0" fontId="34" fillId="13" borderId="57" applyAlignment="1" pivotButton="0" quotePrefix="0" xfId="0">
      <alignment horizontal="center" vertical="center"/>
    </xf>
    <xf numFmtId="165" fontId="15" fillId="10" borderId="62" applyAlignment="1" pivotButton="0" quotePrefix="0" xfId="1">
      <alignment horizontal="center" vertical="center"/>
    </xf>
    <xf numFmtId="166" fontId="15" fillId="10" borderId="62" applyAlignment="1" pivotButton="0" quotePrefix="0" xfId="0">
      <alignment horizontal="center" vertical="center"/>
    </xf>
    <xf numFmtId="166" fontId="15" fillId="10" borderId="63" applyAlignment="1" pivotButton="0" quotePrefix="0" xfId="0">
      <alignment horizontal="center" vertical="center"/>
    </xf>
    <xf numFmtId="1" fontId="15" fillId="10" borderId="62" applyAlignment="1" pivotButton="0" quotePrefix="0" xfId="0">
      <alignment horizontal="center" vertical="center"/>
    </xf>
    <xf numFmtId="0" fontId="16" fillId="12" borderId="64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9" borderId="42" applyAlignment="1" pivotButton="0" quotePrefix="0" xfId="0">
      <alignment horizontal="center" vertical="center"/>
    </xf>
    <xf numFmtId="0" fontId="6" fillId="12" borderId="65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39" applyAlignment="1" pivotButton="0" quotePrefix="0" xfId="0">
      <alignment horizontal="center" vertical="center"/>
    </xf>
    <xf numFmtId="0" fontId="6" fillId="10" borderId="57" applyAlignment="1" pivotButton="0" quotePrefix="0" xfId="0">
      <alignment horizontal="center" vertical="center"/>
    </xf>
    <xf numFmtId="166" fontId="9" fillId="10" borderId="57" applyAlignment="1" pivotButton="0" quotePrefix="0" xfId="1">
      <alignment horizontal="center" vertical="center"/>
    </xf>
    <xf numFmtId="1" fontId="7" fillId="10" borderId="57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43" applyAlignment="1" pivotButton="0" quotePrefix="0" xfId="0">
      <alignment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10" fontId="7" fillId="10" borderId="43" applyAlignment="1" pivotButton="0" quotePrefix="0" xfId="1">
      <alignment horizontal="center"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165" fontId="7" fillId="10" borderId="43" applyAlignment="1" pivotButton="0" quotePrefix="0" xfId="1">
      <alignment vertical="center"/>
    </xf>
    <xf numFmtId="165" fontId="7" fillId="10" borderId="39" applyAlignment="1" pivotButton="0" quotePrefix="0" xfId="1">
      <alignment vertical="center"/>
    </xf>
    <xf numFmtId="0" fontId="6" fillId="10" borderId="38" applyAlignment="1" pivotButton="0" quotePrefix="0" xfId="0">
      <alignment horizontal="center" vertical="center"/>
    </xf>
    <xf numFmtId="0" fontId="7" fillId="10" borderId="43" applyAlignment="1" pivotButton="0" quotePrefix="0" xfId="0">
      <alignment horizontal="center" vertical="center"/>
    </xf>
    <xf numFmtId="1" fontId="7" fillId="10" borderId="43" applyAlignment="1" pivotButton="0" quotePrefix="0" xfId="0">
      <alignment horizontal="center" vertical="center"/>
    </xf>
    <xf numFmtId="1" fontId="7" fillId="10" borderId="39" applyAlignment="1" pivotButton="0" quotePrefix="0" xfId="0">
      <alignment horizontal="center" vertical="center"/>
    </xf>
    <xf numFmtId="0" fontId="7" fillId="10" borderId="39" applyAlignment="1" pivotButton="0" quotePrefix="0" xfId="0">
      <alignment horizontal="center" vertical="center"/>
    </xf>
    <xf numFmtId="0" fontId="7" fillId="10" borderId="43" applyAlignment="1" pivotButton="0" quotePrefix="0" xfId="0">
      <alignment horizontal="center"/>
    </xf>
    <xf numFmtId="0" fontId="7" fillId="10" borderId="39" applyAlignment="1" pivotButton="0" quotePrefix="0" xfId="0">
      <alignment horizont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6" applyAlignment="1" pivotButton="0" quotePrefix="0" xfId="0">
      <alignment horizontal="center" vertical="center"/>
    </xf>
    <xf numFmtId="0" fontId="0" fillId="10" borderId="66" pivotButton="0" quotePrefix="0" xfId="0"/>
    <xf numFmtId="0" fontId="31" fillId="10" borderId="66" applyAlignment="1" pivotButton="0" quotePrefix="0" xfId="0">
      <alignment vertical="center" wrapText="1"/>
    </xf>
    <xf numFmtId="0" fontId="0" fillId="10" borderId="67" pivotButton="0" quotePrefix="0" xfId="0"/>
    <xf numFmtId="0" fontId="0" fillId="10" borderId="68" pivotButton="0" quotePrefix="0" xfId="0"/>
    <xf numFmtId="0" fontId="28" fillId="10" borderId="59" applyAlignment="1" pivotButton="0" quotePrefix="0" xfId="0">
      <alignment horizontal="center" vertical="center"/>
    </xf>
    <xf numFmtId="0" fontId="0" fillId="10" borderId="59" pivotButton="0" quotePrefix="0" xfId="0"/>
    <xf numFmtId="0" fontId="0" fillId="10" borderId="71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7" applyAlignment="1" pivotButton="0" quotePrefix="0" xfId="0">
      <alignment horizontal="center" vertical="center"/>
    </xf>
    <xf numFmtId="0" fontId="34" fillId="10" borderId="65" applyAlignment="1" pivotButton="0" quotePrefix="0" xfId="0">
      <alignment horizontal="center" vertical="center"/>
    </xf>
    <xf numFmtId="0" fontId="35" fillId="10" borderId="72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0" fontId="0" fillId="10" borderId="76" pivotButton="0" quotePrefix="0" xfId="0"/>
    <xf numFmtId="0" fontId="0" fillId="10" borderId="77" pivotButton="0" quotePrefix="0" xfId="0"/>
    <xf numFmtId="0" fontId="36" fillId="10" borderId="0" applyAlignment="1" pivotButton="0" quotePrefix="0" xfId="0">
      <alignment vertical="center"/>
    </xf>
    <xf numFmtId="0" fontId="7" fillId="10" borderId="57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47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47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43" fillId="0" borderId="78" pivotButton="0" quotePrefix="0" xfId="2"/>
    <xf numFmtId="0" fontId="42" fillId="0" borderId="78" pivotButton="0" quotePrefix="0" xfId="2"/>
    <xf numFmtId="11" fontId="0" fillId="0" borderId="0" pivotButton="0" quotePrefix="0" xfId="0"/>
    <xf numFmtId="10" fontId="7" fillId="10" borderId="39" applyAlignment="1" pivotButton="0" quotePrefix="0" xfId="1">
      <alignment horizontal="center" vertical="center"/>
    </xf>
    <xf numFmtId="10" fontId="7" fillId="10" borderId="51" applyAlignment="1" pivotButton="0" quotePrefix="0" xfId="1">
      <alignment horizontal="center" vertical="center"/>
    </xf>
    <xf numFmtId="10" fontId="7" fillId="10" borderId="75" applyAlignment="1" pivotButton="0" quotePrefix="0" xfId="1">
      <alignment horizontal="center" vertical="center"/>
    </xf>
    <xf numFmtId="10" fontId="7" fillId="0" borderId="51" applyAlignment="1" pivotButton="0" quotePrefix="0" xfId="0">
      <alignment horizontal="center"/>
    </xf>
    <xf numFmtId="10" fontId="7" fillId="10" borderId="43" applyAlignment="1" pivotButton="0" quotePrefix="0" xfId="0">
      <alignment vertical="center"/>
    </xf>
    <xf numFmtId="10" fontId="7" fillId="10" borderId="39" applyAlignment="1" pivotButton="0" quotePrefix="0" xfId="0">
      <alignment vertical="center"/>
    </xf>
    <xf numFmtId="2" fontId="7" fillId="10" borderId="43" applyAlignment="1" pivotButton="0" quotePrefix="0" xfId="0">
      <alignment horizontal="center" vertical="center"/>
    </xf>
    <xf numFmtId="9" fontId="42" fillId="0" borderId="78" pivotButton="0" quotePrefix="0" xfId="1"/>
    <xf numFmtId="11" fontId="42" fillId="0" borderId="78" pivotButton="0" quotePrefix="0" xfId="1"/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8" fillId="11" borderId="7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9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20" borderId="0" applyAlignment="1" pivotButton="0" quotePrefix="0" xfId="0">
      <alignment horizontal="center"/>
    </xf>
    <xf numFmtId="0" fontId="27" fillId="11" borderId="59" applyAlignment="1" pivotButton="0" quotePrefix="0" xfId="0">
      <alignment horizontal="left" vertical="center" indent="1"/>
    </xf>
    <xf numFmtId="0" fontId="27" fillId="11" borderId="59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0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9" pivotButton="0" quotePrefix="0" xfId="0"/>
    <xf numFmtId="165" fontId="0" fillId="0" borderId="0" pivotButton="0" quotePrefix="0" xfId="0"/>
    <xf numFmtId="0" fontId="0" fillId="0" borderId="59" pivotButton="0" quotePrefix="0" xfId="0"/>
    <xf numFmtId="165" fontId="7" fillId="10" borderId="43" applyAlignment="1" pivotButton="0" quotePrefix="0" xfId="1">
      <alignment vertical="center"/>
    </xf>
    <xf numFmtId="165" fontId="7" fillId="10" borderId="39" applyAlignment="1" pivotButton="0" quotePrefix="0" xfId="1">
      <alignment vertical="center"/>
    </xf>
    <xf numFmtId="0" fontId="28" fillId="11" borderId="8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2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5" applyAlignment="1" pivotButton="0" quotePrefix="0" xfId="0">
      <alignment horizontal="right" indent="1"/>
    </xf>
    <xf numFmtId="165" fontId="0" fillId="9" borderId="0" pivotButton="0" quotePrefix="0" xfId="1"/>
    <xf numFmtId="167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74"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384"/>
  </cols>
  <sheetData>
    <row r="1" ht="28.9" customHeight="1" s="286">
      <c r="A1" s="339" t="inlineStr">
        <is>
          <t>UAX Daily Snapshot for</t>
        </is>
      </c>
      <c r="B1" s="340" t="n"/>
      <c r="C1" s="341">
        <f>TODAY()-1</f>
        <v/>
      </c>
      <c r="D1" s="340" t="n"/>
    </row>
    <row r="2" ht="15" customHeight="1" s="286" thickBot="1">
      <c r="E2" s="1" t="n"/>
    </row>
    <row r="3" ht="18" customHeight="1" s="286" thickBot="1">
      <c r="A3" s="304" t="inlineStr">
        <is>
          <t>Reliability Snapshot</t>
        </is>
      </c>
      <c r="B3" s="342" t="n"/>
      <c r="C3" s="342" t="n"/>
      <c r="D3" s="342" t="n"/>
      <c r="E3" s="342" t="n"/>
      <c r="F3" s="342" t="n"/>
      <c r="G3" s="342" t="n"/>
      <c r="L3" s="39" t="n"/>
    </row>
    <row r="4" ht="19.9" customHeight="1" s="286" thickBot="1">
      <c r="A4" s="47" t="inlineStr">
        <is>
          <t>Metric</t>
        </is>
      </c>
      <c r="B4" s="49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 s="286">
      <c r="A5" s="44" t="inlineStr">
        <is>
          <t>Completion</t>
        </is>
      </c>
      <c r="B5" s="343" t="n">
        <v>0.9979</v>
      </c>
      <c r="C5" s="343" t="n">
        <v>0.9879</v>
      </c>
      <c r="D5" s="344" t="n">
        <v>0.99</v>
      </c>
      <c r="E5" s="30" t="n">
        <v>-1.13</v>
      </c>
      <c r="F5" s="30" t="n">
        <v>-1.13</v>
      </c>
      <c r="G5" s="27" t="n">
        <v>3</v>
      </c>
    </row>
    <row r="6" ht="19.9" customHeight="1" s="286">
      <c r="A6" s="44" t="inlineStr">
        <is>
          <t>A:00</t>
        </is>
      </c>
      <c r="B6" s="343" t="n">
        <v>0.722</v>
      </c>
      <c r="C6" s="343" t="n">
        <v>0.722</v>
      </c>
      <c r="D6" s="344" t="n">
        <v>0.9</v>
      </c>
      <c r="E6" s="30" t="n">
        <v>-1.13</v>
      </c>
      <c r="F6" s="30" t="n">
        <v>-0.24</v>
      </c>
      <c r="G6" s="27" t="n">
        <v>1</v>
      </c>
    </row>
    <row r="7" ht="19.15" customHeight="1" s="286">
      <c r="A7" s="43" t="inlineStr">
        <is>
          <t xml:space="preserve">D:00 </t>
        </is>
      </c>
      <c r="B7" s="345" t="n">
        <v>0.8100000000000001</v>
      </c>
      <c r="C7" s="345" t="n">
        <v>0.722</v>
      </c>
      <c r="D7" s="346" t="n">
        <v>0.8</v>
      </c>
      <c r="E7" s="34" t="n">
        <v>-6.4</v>
      </c>
      <c r="F7" s="35" t="n">
        <v>4.4</v>
      </c>
      <c r="G7" s="36" t="n">
        <v>2</v>
      </c>
    </row>
    <row r="8" ht="19.9" customHeight="1" s="286">
      <c r="A8" s="43" t="inlineStr">
        <is>
          <t xml:space="preserve">CS D:00 </t>
        </is>
      </c>
      <c r="B8" s="345" t="n">
        <v>0.8100000000000001</v>
      </c>
      <c r="C8" s="345" t="n">
        <v>0.722</v>
      </c>
      <c r="D8" s="346" t="n">
        <v>0.8</v>
      </c>
    </row>
    <row r="9" ht="20.5" customHeight="1" s="286">
      <c r="A9" s="44" t="inlineStr">
        <is>
          <t>STAR D:00</t>
        </is>
      </c>
      <c r="B9" s="343" t="n">
        <v>0.844</v>
      </c>
      <c r="C9" s="343" t="n">
        <v>0.844</v>
      </c>
      <c r="D9" s="344" t="n">
        <v>0.9</v>
      </c>
    </row>
    <row r="10" ht="19.9" customHeight="1" s="286">
      <c r="A10" s="44" t="inlineStr">
        <is>
          <t>Controllable Completion</t>
        </is>
      </c>
      <c r="B10" s="343" t="n">
        <v>0.9903999999999999</v>
      </c>
      <c r="C10" s="343" t="n">
        <v>0.9903999999999999</v>
      </c>
      <c r="D10" s="344" t="n">
        <v>0.99</v>
      </c>
    </row>
    <row r="14" ht="12.5" customHeight="1" s="286" thickBot="1">
      <c r="B14" s="347" t="n"/>
    </row>
    <row r="15" ht="15" customHeight="1" s="286" thickBot="1">
      <c r="A15" s="304" t="inlineStr">
        <is>
          <t>Cancel Detail</t>
        </is>
      </c>
      <c r="B15" s="342" t="n"/>
      <c r="C15" s="342" t="n"/>
      <c r="D15" s="342" t="n"/>
      <c r="E15" s="342" t="n"/>
      <c r="F15" s="342" t="n"/>
      <c r="G15" s="342" t="n"/>
      <c r="H15" s="342" t="n"/>
      <c r="I15" s="342" t="n"/>
      <c r="J15" s="342" t="n"/>
      <c r="K15" s="342" t="n"/>
      <c r="L15" s="342" t="n"/>
      <c r="M15" s="342" t="n"/>
      <c r="N15" s="342" t="n"/>
    </row>
    <row r="16" ht="11.5" customHeight="1" s="286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6" t="inlineStr">
        <is>
          <t>Network</t>
        </is>
      </c>
      <c r="I16" s="306" t="inlineStr">
        <is>
          <t>IT</t>
        </is>
      </c>
      <c r="J16" s="348" t="inlineStr">
        <is>
          <t>Catering Operations</t>
        </is>
      </c>
      <c r="K16" s="73" t="inlineStr">
        <is>
          <t>Total Cancels</t>
        </is>
      </c>
      <c r="L16" s="74" t="inlineStr">
        <is>
          <t>ES covered for this partner</t>
        </is>
      </c>
      <c r="M16" s="74" t="inlineStr">
        <is>
          <t>Total</t>
        </is>
      </c>
      <c r="N16" s="74" t="inlineStr">
        <is>
          <t>ES covered by this partner</t>
        </is>
      </c>
    </row>
    <row r="17" ht="13.5" customHeight="1" s="286" thickBot="1">
      <c r="A17" s="25" t="n"/>
      <c r="B17" s="6" t="inlineStr">
        <is>
          <t>Departures</t>
        </is>
      </c>
      <c r="C17" s="307" t="inlineStr">
        <is>
          <t>ATC</t>
        </is>
      </c>
      <c r="D17" s="307" t="inlineStr">
        <is>
          <t>Operations</t>
        </is>
      </c>
      <c r="E17" s="307" t="inlineStr">
        <is>
          <t>Operations</t>
        </is>
      </c>
      <c r="F17" s="307" t="inlineStr">
        <is>
          <t>Services</t>
        </is>
      </c>
      <c r="G17" s="307" t="inlineStr">
        <is>
          <t>Operations</t>
        </is>
      </c>
      <c r="H17" s="307" t="inlineStr">
        <is>
          <t>Operations</t>
        </is>
      </c>
      <c r="I17" s="26" t="n"/>
      <c r="J17" s="349" t="n"/>
      <c r="K17" s="350" t="n"/>
      <c r="L17" s="350" t="n"/>
      <c r="M17" s="350" t="n"/>
      <c r="N17" s="350" t="n"/>
    </row>
    <row r="18" ht="13" customHeight="1" s="286">
      <c r="A18" s="10" t="inlineStr">
        <is>
          <t>EV - ExpressJet</t>
        </is>
      </c>
      <c r="B18" s="11" t="n">
        <v>426</v>
      </c>
      <c r="C18" s="48" t="n"/>
      <c r="D18" s="19" t="n"/>
      <c r="E18" s="48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3" customHeight="1" s="286">
      <c r="A19" s="15" t="inlineStr">
        <is>
          <t>OO - SkyWest</t>
        </is>
      </c>
      <c r="B19" s="16" t="n">
        <v>923</v>
      </c>
      <c r="C19" s="190" t="n">
        <v>7</v>
      </c>
      <c r="D19" s="190" t="n">
        <v>3</v>
      </c>
      <c r="E19" s="190" t="n">
        <v>1</v>
      </c>
      <c r="F19" s="190" t="n"/>
      <c r="G19" s="190" t="n"/>
      <c r="H19" s="190" t="n"/>
      <c r="I19" s="190" t="n"/>
      <c r="J19" s="190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3" customHeight="1" s="286">
      <c r="A20" s="10" t="inlineStr">
        <is>
          <t>AX - Trans States</t>
        </is>
      </c>
      <c r="B20" s="11" t="n">
        <v>205</v>
      </c>
      <c r="C20" s="48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3" customHeight="1" s="286">
      <c r="A21" s="15" t="inlineStr">
        <is>
          <t>YX - Republic</t>
        </is>
      </c>
      <c r="B21" s="16" t="n">
        <v>315</v>
      </c>
      <c r="C21" s="190" t="n">
        <v>5</v>
      </c>
      <c r="D21" s="190" t="n"/>
      <c r="E21" s="190" t="n">
        <v>1</v>
      </c>
      <c r="F21" s="190" t="n"/>
      <c r="G21" s="190" t="n"/>
      <c r="H21" s="190" t="n">
        <v>3</v>
      </c>
      <c r="I21" s="190" t="n"/>
      <c r="J21" s="190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3" customHeight="1" s="286">
      <c r="A22" s="10" t="inlineStr">
        <is>
          <t>G7 - Go Jet</t>
        </is>
      </c>
      <c r="B22" s="11" t="n">
        <v>90</v>
      </c>
      <c r="C22" s="48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3" customHeight="1" s="286">
      <c r="A23" s="15" t="inlineStr">
        <is>
          <t>C5 - CommutAir</t>
        </is>
      </c>
      <c r="B23" s="16" t="n">
        <v>171</v>
      </c>
      <c r="C23" s="190" t="n"/>
      <c r="D23" s="190" t="n"/>
      <c r="E23" s="190" t="n"/>
      <c r="F23" s="190" t="n"/>
      <c r="G23" s="190" t="n"/>
      <c r="H23" s="190" t="n"/>
      <c r="I23" s="190" t="n"/>
      <c r="J23" s="190" t="n"/>
      <c r="K23" s="41" t="inlineStr">
        <is>
          <t>-</t>
        </is>
      </c>
      <c r="L23" s="18" t="n"/>
      <c r="M23" s="18" t="n"/>
      <c r="N23" s="16" t="n"/>
    </row>
    <row r="24" ht="13" customHeight="1" s="286">
      <c r="A24" s="10" t="inlineStr">
        <is>
          <t>YV - Mesa</t>
        </is>
      </c>
      <c r="B24" s="11" t="n">
        <v>383</v>
      </c>
      <c r="C24" s="48" t="n"/>
      <c r="D24" s="48" t="n">
        <v>4</v>
      </c>
      <c r="E24" s="48" t="n"/>
      <c r="F24" s="48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s="286" thickBot="1">
      <c r="A25" s="15" t="inlineStr">
        <is>
          <t>ZW - Air Wisconsin</t>
        </is>
      </c>
      <c r="B25" s="16" t="n">
        <v>292</v>
      </c>
      <c r="C25" s="190" t="n"/>
      <c r="D25" s="190" t="n"/>
      <c r="E25" s="190" t="n"/>
      <c r="F25" s="190" t="n"/>
      <c r="G25" s="190" t="n"/>
      <c r="H25" s="190" t="n">
        <v>4</v>
      </c>
      <c r="I25" s="190" t="n"/>
      <c r="J25" s="190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s="286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 s="286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 s="286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s="286" thickBot="1"/>
    <row r="30" ht="15" customHeight="1" s="286" thickBot="1">
      <c r="A30" s="312" t="inlineStr">
        <is>
          <t>Residual Cancel Detail</t>
        </is>
      </c>
      <c r="B30" s="351" t="n"/>
      <c r="C30" s="351" t="n"/>
      <c r="D30" s="351" t="n"/>
      <c r="E30" s="351" t="n"/>
      <c r="F30" s="351" t="n"/>
      <c r="G30" s="351" t="n"/>
      <c r="H30" s="351" t="n"/>
      <c r="I30" s="351" t="n"/>
      <c r="J30" s="351" t="n"/>
      <c r="K30" s="351" t="n"/>
      <c r="L30" s="351" t="n"/>
      <c r="M30" s="351" t="n"/>
      <c r="N30" s="351" t="n"/>
    </row>
    <row r="31" ht="9.4" customHeight="1" s="286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6" t="inlineStr">
        <is>
          <t>Network</t>
        </is>
      </c>
      <c r="I31" s="306" t="inlineStr">
        <is>
          <t>IT</t>
        </is>
      </c>
      <c r="J31" s="348" t="inlineStr">
        <is>
          <t>Catering Operations</t>
        </is>
      </c>
      <c r="K31" s="73" t="inlineStr">
        <is>
          <t>Total Cancels</t>
        </is>
      </c>
      <c r="L31" s="74" t="inlineStr">
        <is>
          <t>ES covered for this partner</t>
        </is>
      </c>
      <c r="M31" s="74" t="inlineStr">
        <is>
          <t>Total</t>
        </is>
      </c>
      <c r="N31" s="74" t="inlineStr">
        <is>
          <t>ES covered by this partner</t>
        </is>
      </c>
    </row>
    <row r="32" ht="13.5" customHeight="1" s="286" thickBot="1">
      <c r="A32" s="25" t="n"/>
      <c r="B32" s="6" t="inlineStr">
        <is>
          <t>Departures</t>
        </is>
      </c>
      <c r="C32" s="307" t="inlineStr">
        <is>
          <t>ATC</t>
        </is>
      </c>
      <c r="D32" s="307" t="inlineStr">
        <is>
          <t>Operations</t>
        </is>
      </c>
      <c r="E32" s="307" t="inlineStr">
        <is>
          <t>Operations</t>
        </is>
      </c>
      <c r="F32" s="307" t="inlineStr">
        <is>
          <t>Services</t>
        </is>
      </c>
      <c r="G32" s="307" t="inlineStr">
        <is>
          <t>Operations</t>
        </is>
      </c>
      <c r="H32" s="307" t="inlineStr">
        <is>
          <t>Operations</t>
        </is>
      </c>
      <c r="I32" s="26" t="n"/>
      <c r="J32" s="349" t="n"/>
      <c r="K32" s="350" t="n"/>
      <c r="L32" s="350" t="n"/>
      <c r="M32" s="350" t="n"/>
      <c r="N32" s="350" t="n"/>
    </row>
    <row r="33" ht="13" customHeight="1" s="286">
      <c r="A33" s="10" t="inlineStr">
        <is>
          <t>EV - ExpressJet</t>
        </is>
      </c>
      <c r="B33" s="11" t="n">
        <v>426</v>
      </c>
      <c r="C33" s="48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3" customHeight="1" s="286">
      <c r="A34" s="15" t="inlineStr">
        <is>
          <t>OO - SkyWest</t>
        </is>
      </c>
      <c r="B34" s="16" t="n">
        <v>923</v>
      </c>
      <c r="C34" s="190" t="n">
        <v>1</v>
      </c>
      <c r="D34" s="190" t="n"/>
      <c r="E34" s="190" t="n">
        <v>1</v>
      </c>
      <c r="F34" s="190" t="n"/>
      <c r="G34" s="190" t="n"/>
      <c r="H34" s="190" t="n"/>
      <c r="I34" s="190" t="n"/>
      <c r="J34" s="190" t="n"/>
      <c r="K34" s="18" t="n">
        <v>2</v>
      </c>
      <c r="L34" s="18" t="n"/>
      <c r="M34" s="18" t="n"/>
      <c r="N34" s="18" t="n">
        <v>3</v>
      </c>
    </row>
    <row r="35" ht="13" customHeight="1" s="286">
      <c r="A35" s="10" t="inlineStr">
        <is>
          <t>AX - Trans States</t>
        </is>
      </c>
      <c r="B35" s="11" t="n">
        <v>205</v>
      </c>
      <c r="C35" s="48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3" customHeight="1" s="286">
      <c r="A36" s="15" t="inlineStr">
        <is>
          <t>YX - Republic</t>
        </is>
      </c>
      <c r="B36" s="16" t="n">
        <v>315</v>
      </c>
      <c r="C36" s="190" t="n"/>
      <c r="D36" s="190" t="n"/>
      <c r="E36" s="190" t="n"/>
      <c r="F36" s="190" t="n">
        <v>1</v>
      </c>
      <c r="G36" s="190" t="n"/>
      <c r="H36" s="190" t="n"/>
      <c r="I36" s="190" t="n"/>
      <c r="J36" s="190" t="n"/>
      <c r="K36" s="41" t="n">
        <v>1</v>
      </c>
      <c r="L36" s="18" t="n"/>
      <c r="M36" s="18" t="n"/>
      <c r="N36" s="18" t="n"/>
    </row>
    <row r="37" ht="13" customHeight="1" s="286">
      <c r="A37" s="10" t="inlineStr">
        <is>
          <t>G7 - Go Jet</t>
        </is>
      </c>
      <c r="B37" s="11" t="n">
        <v>90</v>
      </c>
      <c r="C37" s="48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3" customHeight="1" s="286">
      <c r="A38" s="15" t="inlineStr">
        <is>
          <t>C5 - CommutAir</t>
        </is>
      </c>
      <c r="B38" s="16" t="n">
        <v>171</v>
      </c>
      <c r="C38" s="190" t="n"/>
      <c r="D38" s="190" t="n"/>
      <c r="E38" s="190" t="n"/>
      <c r="F38" s="190" t="n"/>
      <c r="G38" s="190" t="n"/>
      <c r="H38" s="190" t="n"/>
      <c r="I38" s="190" t="n"/>
      <c r="J38" s="190" t="n"/>
      <c r="K38" s="41" t="inlineStr">
        <is>
          <t>-</t>
        </is>
      </c>
      <c r="L38" s="18" t="n"/>
      <c r="M38" s="18" t="n"/>
      <c r="N38" s="18" t="n"/>
    </row>
    <row r="39" ht="13" customHeight="1" s="286">
      <c r="A39" s="10" t="inlineStr">
        <is>
          <t>YV - Mesa</t>
        </is>
      </c>
      <c r="B39" s="11" t="n">
        <v>383</v>
      </c>
      <c r="C39" s="48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s="286" thickBot="1">
      <c r="A40" s="15" t="inlineStr">
        <is>
          <t>ZW - Air Wisconsin</t>
        </is>
      </c>
      <c r="B40" s="16" t="n">
        <v>292</v>
      </c>
      <c r="C40" s="190" t="n"/>
      <c r="D40" s="190" t="n"/>
      <c r="E40" s="190" t="n"/>
      <c r="F40" s="190" t="n"/>
      <c r="G40" s="190" t="n"/>
      <c r="H40" s="190" t="n"/>
      <c r="I40" s="190" t="n"/>
      <c r="J40" s="190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s="286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I3" s="85" t="n"/>
      <c r="J3" s="85" t="n"/>
      <c r="K3" s="85" t="n"/>
      <c r="L3" s="85" t="n"/>
      <c r="M3" s="84" t="n"/>
    </row>
    <row r="4" ht="18" customHeight="1" s="286" thickBot="1">
      <c r="B4" s="314" t="inlineStr">
        <is>
          <t>Reliability Snapshot</t>
        </is>
      </c>
      <c r="C4" s="342" t="n"/>
      <c r="D4" s="342" t="n"/>
      <c r="E4" s="342" t="n"/>
      <c r="F4" s="342" t="n"/>
      <c r="G4" s="342" t="n"/>
      <c r="H4" s="342" t="n"/>
      <c r="I4" s="60" t="n"/>
      <c r="J4" s="318" t="inlineStr">
        <is>
          <t>Reliability Snapshot - Hubs</t>
        </is>
      </c>
      <c r="K4" s="349" t="n"/>
      <c r="L4" s="349" t="n"/>
      <c r="M4" s="349" t="n"/>
      <c r="N4" s="349" t="n"/>
      <c r="O4" s="349" t="n"/>
      <c r="P4" s="349" t="n"/>
      <c r="Q4" s="349" t="n"/>
      <c r="R4" s="349" t="n"/>
      <c r="S4" s="349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60">
        <f>MONTH(TODAY()-1)</f>
        <v/>
      </c>
      <c r="J5" s="88" t="inlineStr">
        <is>
          <t>Hub</t>
        </is>
      </c>
      <c r="K5" s="89" t="inlineStr">
        <is>
          <t>D:00</t>
        </is>
      </c>
      <c r="L5" s="90" t="inlineStr">
        <is>
          <t>CS D:00</t>
        </is>
      </c>
      <c r="M5" s="90" t="inlineStr">
        <is>
          <t>DL Diff.</t>
        </is>
      </c>
      <c r="N5" s="90" t="inlineStr">
        <is>
          <t>AA Diff.</t>
        </is>
      </c>
      <c r="O5" s="91" t="inlineStr">
        <is>
          <t>Rank</t>
        </is>
      </c>
      <c r="P5" s="99" t="inlineStr">
        <is>
          <t>Completion</t>
        </is>
      </c>
      <c r="Q5" s="90" t="inlineStr">
        <is>
          <t>DL Diff.</t>
        </is>
      </c>
      <c r="R5" s="90" t="inlineStr">
        <is>
          <t>AA Diff.</t>
        </is>
      </c>
      <c r="S5" s="91" t="inlineStr">
        <is>
          <t>Rank</t>
        </is>
      </c>
    </row>
    <row r="6" ht="19.15" customHeight="1" s="286">
      <c r="B6" s="62" t="inlineStr">
        <is>
          <t>Completion</t>
        </is>
      </c>
      <c r="C6" s="352">
        <f>UA_SQL_1!N2/UA_SQL_1!M2</f>
        <v/>
      </c>
      <c r="D6" s="352">
        <f>UA_SQL_1!F2/UA_SQL_1!E2</f>
        <v/>
      </c>
      <c r="E6" s="344">
        <f>SUMIF(EX_Goals!$B:$B,'PAGE_1 (2)'!$I$5,EX_Goals!$E:$E)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  <c r="I6" s="60" t="n"/>
      <c r="J6" s="92" t="inlineStr">
        <is>
          <t>DEN</t>
        </is>
      </c>
      <c r="K6" s="353" t="n"/>
      <c r="L6" s="353" t="n"/>
      <c r="M6" s="354" t="n"/>
      <c r="N6" s="95" t="n"/>
      <c r="O6" s="100" t="n"/>
      <c r="P6" s="97" t="n"/>
      <c r="Q6" s="353" t="n"/>
      <c r="R6" s="353" t="n"/>
      <c r="S6" s="353" t="n"/>
    </row>
    <row r="7" ht="19.9" customHeight="1" s="286">
      <c r="B7" s="62" t="inlineStr">
        <is>
          <t>A:00</t>
        </is>
      </c>
      <c r="C7" s="352">
        <f>UA_SQL_1!Q2/UA_SQL_1!M2</f>
        <v/>
      </c>
      <c r="D7" s="352">
        <f>UA_SQL_1!I2/UA_SQL_1!E2</f>
        <v/>
      </c>
      <c r="E7" s="344">
        <f>SUMIF(EX_Goals!$B:$B,'PAGE_1 (2)'!$I$5,EX_Goals!$D:$D)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  <c r="I7" s="60" t="n"/>
      <c r="J7" s="92" t="inlineStr">
        <is>
          <t>EWR</t>
        </is>
      </c>
      <c r="K7" s="353" t="n"/>
      <c r="L7" s="353" t="n"/>
      <c r="M7" s="353" t="n"/>
      <c r="N7" s="353" t="n"/>
      <c r="O7" s="355" t="n"/>
      <c r="P7" s="356" t="n"/>
      <c r="Q7" s="353" t="n"/>
      <c r="R7" s="353" t="n"/>
      <c r="S7" s="353" t="n"/>
    </row>
    <row r="8" ht="19.15" customHeight="1" s="286">
      <c r="B8" s="63" t="inlineStr">
        <is>
          <t xml:space="preserve">CS D:00 </t>
        </is>
      </c>
      <c r="C8" s="352">
        <f>UA_SQL_1!P2/UA_SQL_1!M2</f>
        <v/>
      </c>
      <c r="D8" s="357">
        <f>UA_SQL_1!H2/UA_SQL_1!E2</f>
        <v/>
      </c>
      <c r="E8" s="344">
        <f>SUMIF(EX_Goals!$B:$B,'PAGE_1 (2)'!$I$5,EX_Goals!$C:$C)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  <c r="I8" s="60" t="n"/>
      <c r="J8" s="96" t="inlineStr">
        <is>
          <t>IAD</t>
        </is>
      </c>
      <c r="K8" s="353" t="n"/>
      <c r="L8" s="353" t="n"/>
      <c r="M8" s="353" t="n"/>
      <c r="N8" s="353" t="n"/>
      <c r="O8" s="355" t="n"/>
      <c r="P8" s="356" t="n"/>
      <c r="Q8" s="353" t="n"/>
      <c r="R8" s="353" t="n"/>
      <c r="S8" s="353" t="n"/>
    </row>
    <row r="9" ht="19.9" customHeight="1" s="286">
      <c r="B9" s="63" t="inlineStr">
        <is>
          <t xml:space="preserve">D:00 </t>
        </is>
      </c>
      <c r="C9" s="352">
        <f>UA_SQL_1!O2/UA_SQL_1!M2</f>
        <v/>
      </c>
      <c r="D9" s="357">
        <f>UA_SQL_1!G2/UA_SQL_1!E2</f>
        <v/>
      </c>
      <c r="E9" s="344">
        <f>SUMIF(EX_Goals!$B:$B,'PAGE_1 (2)'!$I$5,EX_Goals!$C:$C)</f>
        <v/>
      </c>
      <c r="F9" s="75" t="n"/>
      <c r="G9" s="75" t="n"/>
      <c r="H9" s="75" t="n"/>
      <c r="I9" s="60" t="n"/>
      <c r="J9" s="96" t="inlineStr">
        <is>
          <t>IAH</t>
        </is>
      </c>
      <c r="K9" s="353" t="n"/>
      <c r="L9" s="353" t="n"/>
      <c r="M9" s="353" t="n"/>
      <c r="N9" s="353" t="n"/>
      <c r="O9" s="355" t="n"/>
      <c r="P9" s="356" t="n"/>
      <c r="Q9" s="353" t="n"/>
      <c r="R9" s="353" t="n"/>
      <c r="S9" s="353" t="n"/>
    </row>
    <row r="10" ht="20.5" customHeight="1" s="286">
      <c r="B10" s="62" t="inlineStr">
        <is>
          <t>STAR D:00</t>
        </is>
      </c>
      <c r="C10" s="352">
        <f>UA_SQL_1!S2/UA_SQL_1!R2</f>
        <v/>
      </c>
      <c r="D10" s="352">
        <f>UA_SQL_1!K2/UA_SQL_1!J2</f>
        <v/>
      </c>
      <c r="E10" s="344">
        <f>SUMIF(EX_Goals!$B:$B,'PAGE_1 (2)'!$I$5,EX_Goals!$F:$F)</f>
        <v/>
      </c>
      <c r="F10" s="76" t="n"/>
      <c r="G10" s="76" t="n"/>
      <c r="H10" s="76" t="n"/>
      <c r="I10" s="60" t="n"/>
      <c r="J10" s="92" t="inlineStr">
        <is>
          <t>LAX</t>
        </is>
      </c>
      <c r="K10" s="353" t="n"/>
      <c r="L10" s="353" t="n"/>
      <c r="M10" s="353" t="n"/>
      <c r="N10" s="353" t="n"/>
      <c r="O10" s="355" t="n"/>
      <c r="P10" s="356" t="n"/>
      <c r="Q10" s="353" t="n"/>
      <c r="R10" s="353" t="n"/>
      <c r="S10" s="353" t="n"/>
    </row>
    <row r="11" ht="19.9" customHeight="1" s="286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SUMIF(EX_Goals!$B:$B,'PAGE_1 (2)'!$I$5,EX_Goals!$G:$G)</f>
        <v/>
      </c>
      <c r="F11" s="75" t="n"/>
      <c r="G11" s="75" t="n"/>
      <c r="H11" s="75" t="n"/>
      <c r="I11" s="59" t="n"/>
      <c r="J11" s="92" t="inlineStr">
        <is>
          <t>ORD</t>
        </is>
      </c>
      <c r="K11" s="353" t="n"/>
      <c r="L11" s="353" t="n"/>
      <c r="M11" s="353" t="n"/>
      <c r="N11" s="353" t="n"/>
      <c r="O11" s="355" t="n"/>
      <c r="P11" s="356" t="n"/>
      <c r="Q11" s="353" t="n"/>
      <c r="R11" s="353" t="n"/>
      <c r="S11" s="353" t="n"/>
    </row>
    <row r="12" ht="19.9" customHeight="1" s="286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  <c r="I12" s="59" t="n"/>
      <c r="J12" s="92" t="inlineStr">
        <is>
          <t>SFO</t>
        </is>
      </c>
      <c r="K12" s="353" t="n"/>
      <c r="L12" s="353" t="n"/>
      <c r="M12" s="353" t="n"/>
      <c r="N12" s="353" t="n"/>
      <c r="O12" s="355" t="n"/>
      <c r="P12" s="356" t="n"/>
      <c r="Q12" s="353" t="n"/>
      <c r="R12" s="353" t="n"/>
      <c r="S12" s="353" t="n"/>
    </row>
    <row r="13" ht="19.9" customHeight="1" s="286" thickBot="1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I13" s="59" t="n"/>
      <c r="J13" s="102" t="inlineStr">
        <is>
          <t>Line</t>
        </is>
      </c>
      <c r="K13" s="358" t="n"/>
      <c r="L13" s="358" t="n"/>
      <c r="M13" s="358" t="n"/>
      <c r="N13" s="358" t="n"/>
      <c r="O13" s="359" t="n"/>
      <c r="P13" s="360" t="n"/>
      <c r="Q13" s="358" t="n"/>
      <c r="R13" s="358" t="n"/>
      <c r="S13" s="358" t="n"/>
    </row>
    <row r="14">
      <c r="I14" s="59" t="n"/>
      <c r="J14" s="59" t="n"/>
      <c r="K14" s="59" t="n"/>
      <c r="L14" s="59" t="n"/>
      <c r="M14" s="59" t="n"/>
      <c r="N14" s="59" t="n"/>
      <c r="O14" s="60" t="n"/>
      <c r="P14" s="60" t="n"/>
    </row>
    <row r="15"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60" t="n"/>
      <c r="X17" s="60" t="n"/>
    </row>
    <row r="18" ht="12.5" customHeight="1" s="286" thickBot="1">
      <c r="C18" s="347" t="n"/>
      <c r="Q18" s="59" t="n"/>
      <c r="R18" s="59" t="n"/>
      <c r="S18" s="59" t="n"/>
      <c r="T18" s="59" t="n"/>
      <c r="U18" s="59" t="n"/>
      <c r="V18" s="59" t="n"/>
      <c r="W18" s="60" t="n"/>
      <c r="X18" s="60" t="n"/>
    </row>
    <row r="19" ht="16" customHeight="1" s="286" thickBot="1">
      <c r="B19" s="314" t="inlineStr">
        <is>
          <t>Cancel Detail</t>
        </is>
      </c>
      <c r="C19" s="342" t="n"/>
      <c r="D19" s="342" t="n"/>
      <c r="E19" s="342" t="n"/>
      <c r="F19" s="342" t="n"/>
      <c r="G19" s="342" t="n"/>
      <c r="H19" s="342" t="n"/>
      <c r="I19" s="342" t="n"/>
      <c r="J19" s="342" t="n"/>
      <c r="K19" s="342" t="n"/>
      <c r="L19" s="342" t="n"/>
      <c r="M19" s="342" t="n"/>
      <c r="N19" s="342" t="n"/>
      <c r="O19" s="342" t="n"/>
      <c r="P19" s="342" t="n"/>
      <c r="Q19" s="59" t="n"/>
      <c r="R19" s="60" t="n"/>
      <c r="S19" s="60" t="n"/>
      <c r="T19" s="60" t="n"/>
      <c r="U19" s="60" t="n"/>
      <c r="V19" s="59" t="n"/>
      <c r="W19" s="60" t="n"/>
      <c r="X19" s="60" t="n"/>
    </row>
    <row r="20" ht="30.65" customHeight="1" s="286" thickBot="1">
      <c r="B20" s="70" t="inlineStr">
        <is>
          <t>Express Partner</t>
        </is>
      </c>
      <c r="C20" s="71" t="inlineStr">
        <is>
          <t>Scheduled Departures</t>
        </is>
      </c>
      <c r="D20" s="72" t="inlineStr">
        <is>
          <t>Weather &amp; ATC</t>
        </is>
      </c>
      <c r="E20" s="72" t="inlineStr">
        <is>
          <t>Technical Operations</t>
        </is>
      </c>
      <c r="F20" s="72" t="inlineStr">
        <is>
          <t>Flight Operations</t>
        </is>
      </c>
      <c r="G20" s="72" t="inlineStr">
        <is>
          <t>Inflight Services</t>
        </is>
      </c>
      <c r="H20" s="72" t="inlineStr">
        <is>
          <t>Airport Operations</t>
        </is>
      </c>
      <c r="I20" s="72" t="inlineStr">
        <is>
          <t>Network Operations</t>
        </is>
      </c>
      <c r="J20" s="72" t="inlineStr">
        <is>
          <t>IT</t>
        </is>
      </c>
      <c r="K20" s="72" t="inlineStr">
        <is>
          <t>Catering Operations</t>
        </is>
      </c>
      <c r="L20" s="72" t="inlineStr">
        <is>
          <t>Other</t>
        </is>
      </c>
      <c r="M20" s="73" t="inlineStr">
        <is>
          <t>Total Cancels</t>
        </is>
      </c>
      <c r="N20" s="74" t="inlineStr">
        <is>
          <t>ES covered for this partner</t>
        </is>
      </c>
      <c r="O20" s="74" t="inlineStr">
        <is>
          <t>Net Cancel</t>
        </is>
      </c>
      <c r="P20" s="74" t="inlineStr">
        <is>
          <t>ES covered by this partner</t>
        </is>
      </c>
      <c r="Q20" s="59" t="n"/>
      <c r="R20" s="60" t="n"/>
      <c r="S20" s="60" t="n"/>
      <c r="T20" s="60" t="n"/>
      <c r="U20" s="60" t="n"/>
      <c r="V20" s="59" t="n"/>
      <c r="W20" s="60" t="n"/>
      <c r="X20" s="60" t="n"/>
    </row>
    <row r="21" ht="14.5" customHeight="1" s="286">
      <c r="B21" s="66" t="inlineStr">
        <is>
          <t>EV - ExpressJet</t>
        </is>
      </c>
      <c r="C21" s="80">
        <f>SUMIF(SCH_DEP_SQL_4!$A:$A,'PAGE_1 (2)'!R21,SCH_DEP_SQL_4!$E:$E)</f>
        <v/>
      </c>
      <c r="D21" s="48">
        <f>IF(SUMIFS(CNXL_SQL_2!$F:$F,CNXL_SQL_2!$A:$A,'PAGE_1 (2)'!$R21,CNXL_SQL_2!$D:$D,'PAGE_1 (2)'!$S$21)=0,"",SUMIFS(CNXL_SQL_2!$F:$F,CNXL_SQL_2!$A:$A,'PAGE_1 (2)'!$R21,CNXL_SQL_2!$D:$D,'PAGE_1 (2)'!$S$21))</f>
        <v/>
      </c>
      <c r="E21" s="48">
        <f>IF(SUMIFS(CNXL_SQL_2!$F:$F,CNXL_SQL_2!$A:$A,'PAGE_1 (2)'!$R21,CNXL_SQL_2!$D:$D,'PAGE_1 (2)'!$S$22)=0,"",SUMIFS(CNXL_SQL_2!$F:$F,CNXL_SQL_2!$A:$A,'PAGE_1 (2)'!$R21,CNXL_SQL_2!$D:$D,'PAGE_1 (2)'!$S$22))</f>
        <v/>
      </c>
      <c r="F21" s="48">
        <f>IF(SUMIFS(CNXL_SQL_2!$F:$F,CNXL_SQL_2!$A:$A,'PAGE_1 (2)'!$R21,CNXL_SQL_2!$D:$D,'PAGE_1 (2)'!$S$23)=0,"",SUMIFS(CNXL_SQL_2!$F:$F,CNXL_SQL_2!$A:$A,'PAGE_1 (2)'!$R21,CNXL_SQL_2!$D:$D,'PAGE_1 (2)'!$S$23))</f>
        <v/>
      </c>
      <c r="G21" s="48">
        <f>IF(SUMIFS(CNXL_SQL_2!$F:$F,CNXL_SQL_2!$A:$A,'PAGE_1 (2)'!$R21,CNXL_SQL_2!$D:$D,'PAGE_1 (2)'!$S$24)=0,"",SUMIFS(CNXL_SQL_2!$F:$F,CNXL_SQL_2!$A:$A,'PAGE_1 (2)'!$R21,CNXL_SQL_2!$D:$D,'PAGE_1 (2)'!$S$24))</f>
        <v/>
      </c>
      <c r="H21" s="48">
        <f>IF(SUMIFS(CNXL_SQL_2!$F:$F,CNXL_SQL_2!$A:$A,'PAGE_1 (2)'!$R21,CNXL_SQL_2!$D:$D,'PAGE_1 (2)'!$S$25)=0,"",SUMIFS(CNXL_SQL_2!$F:$F,CNXL_SQL_2!$A:$A,'PAGE_1 (2)'!$R21,CNXL_SQL_2!$D:$D,'PAGE_1 (2)'!$S$25))</f>
        <v/>
      </c>
      <c r="I21" s="48">
        <f>IF(SUMIFS(CNXL_SQL_2!$F:$F,CNXL_SQL_2!$A:$A,'PAGE_1 (2)'!$R21,CNXL_SQL_2!$D:$D,'PAGE_1 (2)'!$S$26)=0,"",SUMIFS(CNXL_SQL_2!$F:$F,CNXL_SQL_2!$A:$A,'PAGE_1 (2)'!$R21,CNXL_SQL_2!$D:$D,'PAGE_1 (2)'!$S$26))</f>
        <v/>
      </c>
      <c r="J21" s="48">
        <f>IF(SUMIFS(CNXL_SQL_2!$F:$F,CNXL_SQL_2!$A:$A,'PAGE_1 (2)'!$R21,CNXL_SQL_2!$D:$D,'PAGE_1 (2)'!$S$27)=0,"",SUMIFS(CNXL_SQL_2!$F:$F,CNXL_SQL_2!$A:$A,'PAGE_1 (2)'!$R21,CNXL_SQL_2!$D:$D,'PAGE_1 (2)'!$S$27))</f>
        <v/>
      </c>
      <c r="K21" s="48">
        <f>IF(SUMIFS(CNXL_SQL_2!$F:$F,CNXL_SQL_2!$A:$A,'PAGE_1 (2)'!$R21,CNXL_SQL_2!$D:$D,'PAGE_1 (2)'!$S$28)=0,"",SUMIFS(CNXL_SQL_2!$F:$F,CNXL_SQL_2!$A:$A,'PAGE_1 (2)'!$R21,CNXL_SQL_2!$D:$D,'PAGE_1 (2)'!$S$28))</f>
        <v/>
      </c>
      <c r="L21" s="48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9" t="n"/>
      <c r="R21" s="85" t="inlineStr">
        <is>
          <t>EV</t>
        </is>
      </c>
      <c r="S21" s="85" t="inlineStr">
        <is>
          <t>WEATHER/ATC</t>
        </is>
      </c>
      <c r="T21" s="60" t="n"/>
      <c r="U21" s="60" t="n"/>
      <c r="V21" s="59" t="n"/>
      <c r="W21" s="60" t="n"/>
      <c r="X21" s="60" t="n"/>
    </row>
    <row r="22" ht="14.5" customHeight="1" s="286">
      <c r="B22" s="191" t="inlineStr">
        <is>
          <t>OO - SkyWest</t>
        </is>
      </c>
      <c r="C22" s="81">
        <f>SUMIF(SCH_DEP_SQL_4!$A:$A,'PAGE_1 (2)'!R22,SCH_DEP_SQL_4!$E:$E)</f>
        <v/>
      </c>
      <c r="D22" s="190">
        <f>IF(SUMIFS(CNXL_SQL_2!$F:$F,CNXL_SQL_2!$A:$A,'PAGE_1 (2)'!$R22,CNXL_SQL_2!$D:$D,'PAGE_1 (2)'!$S$21)=0,"",SUMIFS(CNXL_SQL_2!$F:$F,CNXL_SQL_2!$A:$A,'PAGE_1 (2)'!$R22,CNXL_SQL_2!$D:$D,'PAGE_1 (2)'!$S$21))</f>
        <v/>
      </c>
      <c r="E22" s="190">
        <f>IF(SUMIFS(CNXL_SQL_2!$F:$F,CNXL_SQL_2!$A:$A,'PAGE_1 (2)'!$R22,CNXL_SQL_2!$D:$D,'PAGE_1 (2)'!$S$22)=0,"",SUMIFS(CNXL_SQL_2!$F:$F,CNXL_SQL_2!$A:$A,'PAGE_1 (2)'!$R22,CNXL_SQL_2!$D:$D,'PAGE_1 (2)'!$S$22))</f>
        <v/>
      </c>
      <c r="F22" s="190">
        <f>IF(SUMIFS(CNXL_SQL_2!$F:$F,CNXL_SQL_2!$A:$A,'PAGE_1 (2)'!$R22,CNXL_SQL_2!$D:$D,'PAGE_1 (2)'!$S$23)=0,"",SUMIFS(CNXL_SQL_2!$F:$F,CNXL_SQL_2!$A:$A,'PAGE_1 (2)'!$R22,CNXL_SQL_2!$D:$D,'PAGE_1 (2)'!$S$23))</f>
        <v/>
      </c>
      <c r="G22" s="190">
        <f>IF(SUMIFS(CNXL_SQL_2!$F:$F,CNXL_SQL_2!$A:$A,'PAGE_1 (2)'!$R22,CNXL_SQL_2!$D:$D,'PAGE_1 (2)'!$S$24)=0,"",SUMIFS(CNXL_SQL_2!$F:$F,CNXL_SQL_2!$A:$A,'PAGE_1 (2)'!$R22,CNXL_SQL_2!$D:$D,'PAGE_1 (2)'!$S$24))</f>
        <v/>
      </c>
      <c r="H22" s="190">
        <f>IF(SUMIFS(CNXL_SQL_2!$F:$F,CNXL_SQL_2!$A:$A,'PAGE_1 (2)'!$R22,CNXL_SQL_2!$D:$D,'PAGE_1 (2)'!$S$25)=0,"",SUMIFS(CNXL_SQL_2!$F:$F,CNXL_SQL_2!$A:$A,'PAGE_1 (2)'!$R22,CNXL_SQL_2!$D:$D,'PAGE_1 (2)'!$S$25))</f>
        <v/>
      </c>
      <c r="I22" s="190">
        <f>IF(SUMIFS(CNXL_SQL_2!$F:$F,CNXL_SQL_2!$A:$A,'PAGE_1 (2)'!$R22,CNXL_SQL_2!$D:$D,'PAGE_1 (2)'!$S$26)=0,"",SUMIFS(CNXL_SQL_2!$F:$F,CNXL_SQL_2!$A:$A,'PAGE_1 (2)'!$R22,CNXL_SQL_2!$D:$D,'PAGE_1 (2)'!$S$26))</f>
        <v/>
      </c>
      <c r="J22" s="190">
        <f>IF(SUMIFS(CNXL_SQL_2!$F:$F,CNXL_SQL_2!$A:$A,'PAGE_1 (2)'!$R22,CNXL_SQL_2!$D:$D,'PAGE_1 (2)'!$S$27)=0,"",SUMIFS(CNXL_SQL_2!$F:$F,CNXL_SQL_2!$A:$A,'PAGE_1 (2)'!$R22,CNXL_SQL_2!$D:$D,'PAGE_1 (2)'!$S$27))</f>
        <v/>
      </c>
      <c r="K22" s="190">
        <f>IF(SUMIFS(CNXL_SQL_2!$F:$F,CNXL_SQL_2!$A:$A,'PAGE_1 (2)'!$R22,CNXL_SQL_2!$D:$D,'PAGE_1 (2)'!$S$28)=0,"",SUMIFS(CNXL_SQL_2!$F:$F,CNXL_SQL_2!$A:$A,'PAGE_1 (2)'!$R22,CNXL_SQL_2!$D:$D,'PAGE_1 (2)'!$S$28))</f>
        <v/>
      </c>
      <c r="L22" s="190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9" t="n"/>
      <c r="R22" s="60" t="inlineStr">
        <is>
          <t>OO</t>
        </is>
      </c>
      <c r="S22" s="85" t="inlineStr">
        <is>
          <t>TECHNICAL OPERATIONS-AIRCRAFT</t>
        </is>
      </c>
      <c r="T22" s="60" t="n"/>
      <c r="U22" s="60" t="n"/>
      <c r="V22" s="59" t="n"/>
      <c r="W22" s="60" t="n"/>
      <c r="X22" s="60" t="n"/>
    </row>
    <row r="23" ht="14.5" customHeight="1" s="286">
      <c r="B23" s="66" t="inlineStr">
        <is>
          <t>AX - Trans States</t>
        </is>
      </c>
      <c r="C23" s="80">
        <f>SUMIF(SCH_DEP_SQL_4!$A:$A,'PAGE_1 (2)'!R23,SCH_DEP_SQL_4!$E:$E)</f>
        <v/>
      </c>
      <c r="D23" s="48">
        <f>IF(SUMIFS(CNXL_SQL_2!$F:$F,CNXL_SQL_2!$A:$A,'PAGE_1 (2)'!$R23,CNXL_SQL_2!$D:$D,'PAGE_1 (2)'!$S$21)=0,"",SUMIFS(CNXL_SQL_2!$F:$F,CNXL_SQL_2!$A:$A,'PAGE_1 (2)'!$R23,CNXL_SQL_2!$D:$D,'PAGE_1 (2)'!$S$21))</f>
        <v/>
      </c>
      <c r="E23" s="48">
        <f>IF(SUMIFS(CNXL_SQL_2!$F:$F,CNXL_SQL_2!$A:$A,'PAGE_1 (2)'!$R23,CNXL_SQL_2!$D:$D,'PAGE_1 (2)'!$S$22)=0,"",SUMIFS(CNXL_SQL_2!$F:$F,CNXL_SQL_2!$A:$A,'PAGE_1 (2)'!$R23,CNXL_SQL_2!$D:$D,'PAGE_1 (2)'!$S$22))</f>
        <v/>
      </c>
      <c r="F23" s="48">
        <f>IF(SUMIFS(CNXL_SQL_2!$F:$F,CNXL_SQL_2!$A:$A,'PAGE_1 (2)'!$R23,CNXL_SQL_2!$D:$D,'PAGE_1 (2)'!$S$23)=0,"",SUMIFS(CNXL_SQL_2!$F:$F,CNXL_SQL_2!$A:$A,'PAGE_1 (2)'!$R23,CNXL_SQL_2!$D:$D,'PAGE_1 (2)'!$S$23))</f>
        <v/>
      </c>
      <c r="G23" s="48">
        <f>IF(SUMIFS(CNXL_SQL_2!$F:$F,CNXL_SQL_2!$A:$A,'PAGE_1 (2)'!$R23,CNXL_SQL_2!$D:$D,'PAGE_1 (2)'!$S$24)=0,"",SUMIFS(CNXL_SQL_2!$F:$F,CNXL_SQL_2!$A:$A,'PAGE_1 (2)'!$R23,CNXL_SQL_2!$D:$D,'PAGE_1 (2)'!$S$24))</f>
        <v/>
      </c>
      <c r="H23" s="48">
        <f>IF(SUMIFS(CNXL_SQL_2!$F:$F,CNXL_SQL_2!$A:$A,'PAGE_1 (2)'!$R23,CNXL_SQL_2!$D:$D,'PAGE_1 (2)'!$S$25)=0,"",SUMIFS(CNXL_SQL_2!$F:$F,CNXL_SQL_2!$A:$A,'PAGE_1 (2)'!$R23,CNXL_SQL_2!$D:$D,'PAGE_1 (2)'!$S$25))</f>
        <v/>
      </c>
      <c r="I23" s="48">
        <f>IF(SUMIFS(CNXL_SQL_2!$F:$F,CNXL_SQL_2!$A:$A,'PAGE_1 (2)'!$R23,CNXL_SQL_2!$D:$D,'PAGE_1 (2)'!$S$26)=0,"",SUMIFS(CNXL_SQL_2!$F:$F,CNXL_SQL_2!$A:$A,'PAGE_1 (2)'!$R23,CNXL_SQL_2!$D:$D,'PAGE_1 (2)'!$S$26))</f>
        <v/>
      </c>
      <c r="J23" s="48">
        <f>IF(SUMIFS(CNXL_SQL_2!$F:$F,CNXL_SQL_2!$A:$A,'PAGE_1 (2)'!$R23,CNXL_SQL_2!$D:$D,'PAGE_1 (2)'!$S$27)=0,"",SUMIFS(CNXL_SQL_2!$F:$F,CNXL_SQL_2!$A:$A,'PAGE_1 (2)'!$R23,CNXL_SQL_2!$D:$D,'PAGE_1 (2)'!$S$27))</f>
        <v/>
      </c>
      <c r="K23" s="48">
        <f>IF(SUMIFS(CNXL_SQL_2!$F:$F,CNXL_SQL_2!$A:$A,'PAGE_1 (2)'!$R23,CNXL_SQL_2!$D:$D,'PAGE_1 (2)'!$S$28)=0,"",SUMIFS(CNXL_SQL_2!$F:$F,CNXL_SQL_2!$A:$A,'PAGE_1 (2)'!$R23,CNXL_SQL_2!$D:$D,'PAGE_1 (2)'!$S$28))</f>
        <v/>
      </c>
      <c r="L23" s="48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9" t="n"/>
      <c r="R23" s="60" t="inlineStr">
        <is>
          <t>AX</t>
        </is>
      </c>
      <c r="S23" s="85" t="inlineStr">
        <is>
          <t>FLIGHT OPERATIONS</t>
        </is>
      </c>
      <c r="T23" s="60" t="n"/>
      <c r="U23" s="60" t="n"/>
      <c r="V23" s="59" t="n"/>
      <c r="W23" s="60" t="n"/>
      <c r="X23" s="60" t="n"/>
    </row>
    <row r="24" ht="14.5" customHeight="1" s="286">
      <c r="B24" s="191" t="inlineStr">
        <is>
          <t>YX - Republic</t>
        </is>
      </c>
      <c r="C24" s="81">
        <f>SUMIF(SCH_DEP_SQL_4!$A:$A,'PAGE_1 (2)'!R24,SCH_DEP_SQL_4!$E:$E)</f>
        <v/>
      </c>
      <c r="D24" s="190">
        <f>IF(SUMIFS(CNXL_SQL_2!$F:$F,CNXL_SQL_2!$A:$A,'PAGE_1 (2)'!$R24,CNXL_SQL_2!$D:$D,'PAGE_1 (2)'!$S$21)=0,"",SUMIFS(CNXL_SQL_2!$F:$F,CNXL_SQL_2!$A:$A,'PAGE_1 (2)'!$R24,CNXL_SQL_2!$D:$D,'PAGE_1 (2)'!$S$21))</f>
        <v/>
      </c>
      <c r="E24" s="190">
        <f>IF(SUMIFS(CNXL_SQL_2!$F:$F,CNXL_SQL_2!$A:$A,'PAGE_1 (2)'!$R24,CNXL_SQL_2!$D:$D,'PAGE_1 (2)'!$S$22)=0,"",SUMIFS(CNXL_SQL_2!$F:$F,CNXL_SQL_2!$A:$A,'PAGE_1 (2)'!$R24,CNXL_SQL_2!$D:$D,'PAGE_1 (2)'!$S$22))</f>
        <v/>
      </c>
      <c r="F24" s="190">
        <f>IF(SUMIFS(CNXL_SQL_2!$F:$F,CNXL_SQL_2!$A:$A,'PAGE_1 (2)'!$R24,CNXL_SQL_2!$D:$D,'PAGE_1 (2)'!$S$23)=0,"",SUMIFS(CNXL_SQL_2!$F:$F,CNXL_SQL_2!$A:$A,'PAGE_1 (2)'!$R24,CNXL_SQL_2!$D:$D,'PAGE_1 (2)'!$S$23))</f>
        <v/>
      </c>
      <c r="G24" s="190">
        <f>IF(SUMIFS(CNXL_SQL_2!$F:$F,CNXL_SQL_2!$A:$A,'PAGE_1 (2)'!$R24,CNXL_SQL_2!$D:$D,'PAGE_1 (2)'!$S$24)=0,"",SUMIFS(CNXL_SQL_2!$F:$F,CNXL_SQL_2!$A:$A,'PAGE_1 (2)'!$R24,CNXL_SQL_2!$D:$D,'PAGE_1 (2)'!$S$24))</f>
        <v/>
      </c>
      <c r="H24" s="190">
        <f>IF(SUMIFS(CNXL_SQL_2!$F:$F,CNXL_SQL_2!$A:$A,'PAGE_1 (2)'!$R24,CNXL_SQL_2!$D:$D,'PAGE_1 (2)'!$S$25)=0,"",SUMIFS(CNXL_SQL_2!$F:$F,CNXL_SQL_2!$A:$A,'PAGE_1 (2)'!$R24,CNXL_SQL_2!$D:$D,'PAGE_1 (2)'!$S$25))</f>
        <v/>
      </c>
      <c r="I24" s="190">
        <f>IF(SUMIFS(CNXL_SQL_2!$F:$F,CNXL_SQL_2!$A:$A,'PAGE_1 (2)'!$R24,CNXL_SQL_2!$D:$D,'PAGE_1 (2)'!$S$26)=0,"",SUMIFS(CNXL_SQL_2!$F:$F,CNXL_SQL_2!$A:$A,'PAGE_1 (2)'!$R24,CNXL_SQL_2!$D:$D,'PAGE_1 (2)'!$S$26))</f>
        <v/>
      </c>
      <c r="J24" s="190">
        <f>IF(SUMIFS(CNXL_SQL_2!$F:$F,CNXL_SQL_2!$A:$A,'PAGE_1 (2)'!$R24,CNXL_SQL_2!$D:$D,'PAGE_1 (2)'!$S$27)=0,"",SUMIFS(CNXL_SQL_2!$F:$F,CNXL_SQL_2!$A:$A,'PAGE_1 (2)'!$R24,CNXL_SQL_2!$D:$D,'PAGE_1 (2)'!$S$27))</f>
        <v/>
      </c>
      <c r="K24" s="190">
        <f>IF(SUMIFS(CNXL_SQL_2!$F:$F,CNXL_SQL_2!$A:$A,'PAGE_1 (2)'!$R24,CNXL_SQL_2!$D:$D,'PAGE_1 (2)'!$S$28)=0,"",SUMIFS(CNXL_SQL_2!$F:$F,CNXL_SQL_2!$A:$A,'PAGE_1 (2)'!$R24,CNXL_SQL_2!$D:$D,'PAGE_1 (2)'!$S$28))</f>
        <v/>
      </c>
      <c r="L24" s="190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9" t="n"/>
      <c r="R24" s="60" t="inlineStr">
        <is>
          <t>YX</t>
        </is>
      </c>
      <c r="S24" s="85" t="inlineStr">
        <is>
          <t>INFLIGHT SERVICES</t>
        </is>
      </c>
      <c r="T24" s="60" t="n"/>
      <c r="U24" s="60" t="n"/>
      <c r="V24" s="59" t="n"/>
      <c r="W24" s="60" t="n"/>
      <c r="X24" s="60" t="n"/>
    </row>
    <row r="25" ht="14.5" customHeight="1" s="286">
      <c r="B25" s="66" t="inlineStr">
        <is>
          <t>G7 - Go Jet</t>
        </is>
      </c>
      <c r="C25" s="80">
        <f>SUMIF(SCH_DEP_SQL_4!$A:$A,'PAGE_1 (2)'!R25,SCH_DEP_SQL_4!$E:$E)</f>
        <v/>
      </c>
      <c r="D25" s="48">
        <f>IF(SUMIFS(CNXL_SQL_2!$F:$F,CNXL_SQL_2!$A:$A,'PAGE_1 (2)'!$R25,CNXL_SQL_2!$D:$D,'PAGE_1 (2)'!$S$21)=0,"",SUMIFS(CNXL_SQL_2!$F:$F,CNXL_SQL_2!$A:$A,'PAGE_1 (2)'!$R25,CNXL_SQL_2!$D:$D,'PAGE_1 (2)'!$S$21))</f>
        <v/>
      </c>
      <c r="E25" s="48">
        <f>IF(SUMIFS(CNXL_SQL_2!$F:$F,CNXL_SQL_2!$A:$A,'PAGE_1 (2)'!$R25,CNXL_SQL_2!$D:$D,'PAGE_1 (2)'!$S$22)=0,"",SUMIFS(CNXL_SQL_2!$F:$F,CNXL_SQL_2!$A:$A,'PAGE_1 (2)'!$R25,CNXL_SQL_2!$D:$D,'PAGE_1 (2)'!$S$22))</f>
        <v/>
      </c>
      <c r="F25" s="48">
        <f>IF(SUMIFS(CNXL_SQL_2!$F:$F,CNXL_SQL_2!$A:$A,'PAGE_1 (2)'!$R25,CNXL_SQL_2!$D:$D,'PAGE_1 (2)'!$S$23)=0,"",SUMIFS(CNXL_SQL_2!$F:$F,CNXL_SQL_2!$A:$A,'PAGE_1 (2)'!$R25,CNXL_SQL_2!$D:$D,'PAGE_1 (2)'!$S$23))</f>
        <v/>
      </c>
      <c r="G25" s="48">
        <f>IF(SUMIFS(CNXL_SQL_2!$F:$F,CNXL_SQL_2!$A:$A,'PAGE_1 (2)'!$R25,CNXL_SQL_2!$D:$D,'PAGE_1 (2)'!$S$24)=0,"",SUMIFS(CNXL_SQL_2!$F:$F,CNXL_SQL_2!$A:$A,'PAGE_1 (2)'!$R25,CNXL_SQL_2!$D:$D,'PAGE_1 (2)'!$S$24))</f>
        <v/>
      </c>
      <c r="H25" s="48">
        <f>IF(SUMIFS(CNXL_SQL_2!$F:$F,CNXL_SQL_2!$A:$A,'PAGE_1 (2)'!$R25,CNXL_SQL_2!$D:$D,'PAGE_1 (2)'!$S$25)=0,"",SUMIFS(CNXL_SQL_2!$F:$F,CNXL_SQL_2!$A:$A,'PAGE_1 (2)'!$R25,CNXL_SQL_2!$D:$D,'PAGE_1 (2)'!$S$25))</f>
        <v/>
      </c>
      <c r="I25" s="48">
        <f>IF(SUMIFS(CNXL_SQL_2!$F:$F,CNXL_SQL_2!$A:$A,'PAGE_1 (2)'!$R25,CNXL_SQL_2!$D:$D,'PAGE_1 (2)'!$S$26)=0,"",SUMIFS(CNXL_SQL_2!$F:$F,CNXL_SQL_2!$A:$A,'PAGE_1 (2)'!$R25,CNXL_SQL_2!$D:$D,'PAGE_1 (2)'!$S$26))</f>
        <v/>
      </c>
      <c r="J25" s="48">
        <f>IF(SUMIFS(CNXL_SQL_2!$F:$F,CNXL_SQL_2!$A:$A,'PAGE_1 (2)'!$R25,CNXL_SQL_2!$D:$D,'PAGE_1 (2)'!$S$27)=0,"",SUMIFS(CNXL_SQL_2!$F:$F,CNXL_SQL_2!$A:$A,'PAGE_1 (2)'!$R25,CNXL_SQL_2!$D:$D,'PAGE_1 (2)'!$S$27))</f>
        <v/>
      </c>
      <c r="K25" s="48">
        <f>IF(SUMIFS(CNXL_SQL_2!$F:$F,CNXL_SQL_2!$A:$A,'PAGE_1 (2)'!$R25,CNXL_SQL_2!$D:$D,'PAGE_1 (2)'!$S$28)=0,"",SUMIFS(CNXL_SQL_2!$F:$F,CNXL_SQL_2!$A:$A,'PAGE_1 (2)'!$R25,CNXL_SQL_2!$D:$D,'PAGE_1 (2)'!$S$28))</f>
        <v/>
      </c>
      <c r="L25" s="48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9" t="n"/>
      <c r="R25" s="60" t="inlineStr">
        <is>
          <t>G7</t>
        </is>
      </c>
      <c r="S25" s="85" t="inlineStr">
        <is>
          <t>AIRPORT OPERATIONS</t>
        </is>
      </c>
      <c r="T25" s="60" t="n"/>
      <c r="U25" s="60" t="n"/>
      <c r="V25" s="59" t="n"/>
      <c r="W25" s="60" t="n"/>
      <c r="X25" s="60" t="n"/>
    </row>
    <row r="26" ht="14.5" customHeight="1" s="286">
      <c r="B26" s="191" t="inlineStr">
        <is>
          <t>C5 - CommutAir</t>
        </is>
      </c>
      <c r="C26" s="81">
        <f>SUMIF(SCH_DEP_SQL_4!$A:$A,'PAGE_1 (2)'!R26,SCH_DEP_SQL_4!$E:$E)</f>
        <v/>
      </c>
      <c r="D26" s="190">
        <f>IF(SUMIFS(CNXL_SQL_2!$F:$F,CNXL_SQL_2!$A:$A,'PAGE_1 (2)'!$R26,CNXL_SQL_2!$D:$D,'PAGE_1 (2)'!$S$21)=0,"",SUMIFS(CNXL_SQL_2!$F:$F,CNXL_SQL_2!$A:$A,'PAGE_1 (2)'!$R26,CNXL_SQL_2!$D:$D,'PAGE_1 (2)'!$S$21))</f>
        <v/>
      </c>
      <c r="E26" s="190">
        <f>IF(SUMIFS(CNXL_SQL_2!$F:$F,CNXL_SQL_2!$A:$A,'PAGE_1 (2)'!$R26,CNXL_SQL_2!$D:$D,'PAGE_1 (2)'!$S$22)=0,"",SUMIFS(CNXL_SQL_2!$F:$F,CNXL_SQL_2!$A:$A,'PAGE_1 (2)'!$R26,CNXL_SQL_2!$D:$D,'PAGE_1 (2)'!$S$22))</f>
        <v/>
      </c>
      <c r="F26" s="190">
        <f>IF(SUMIFS(CNXL_SQL_2!$F:$F,CNXL_SQL_2!$A:$A,'PAGE_1 (2)'!$R26,CNXL_SQL_2!$D:$D,'PAGE_1 (2)'!$S$23)=0,"",SUMIFS(CNXL_SQL_2!$F:$F,CNXL_SQL_2!$A:$A,'PAGE_1 (2)'!$R26,CNXL_SQL_2!$D:$D,'PAGE_1 (2)'!$S$23))</f>
        <v/>
      </c>
      <c r="G26" s="190">
        <f>IF(SUMIFS(CNXL_SQL_2!$F:$F,CNXL_SQL_2!$A:$A,'PAGE_1 (2)'!$R26,CNXL_SQL_2!$D:$D,'PAGE_1 (2)'!$S$24)=0,"",SUMIFS(CNXL_SQL_2!$F:$F,CNXL_SQL_2!$A:$A,'PAGE_1 (2)'!$R26,CNXL_SQL_2!$D:$D,'PAGE_1 (2)'!$S$24))</f>
        <v/>
      </c>
      <c r="H26" s="190">
        <f>IF(SUMIFS(CNXL_SQL_2!$F:$F,CNXL_SQL_2!$A:$A,'PAGE_1 (2)'!$R26,CNXL_SQL_2!$D:$D,'PAGE_1 (2)'!$S$25)=0,"",SUMIFS(CNXL_SQL_2!$F:$F,CNXL_SQL_2!$A:$A,'PAGE_1 (2)'!$R26,CNXL_SQL_2!$D:$D,'PAGE_1 (2)'!$S$25))</f>
        <v/>
      </c>
      <c r="I26" s="190">
        <f>IF(SUMIFS(CNXL_SQL_2!$F:$F,CNXL_SQL_2!$A:$A,'PAGE_1 (2)'!$R26,CNXL_SQL_2!$D:$D,'PAGE_1 (2)'!$S$26)=0,"",SUMIFS(CNXL_SQL_2!$F:$F,CNXL_SQL_2!$A:$A,'PAGE_1 (2)'!$R26,CNXL_SQL_2!$D:$D,'PAGE_1 (2)'!$S$26))</f>
        <v/>
      </c>
      <c r="J26" s="190">
        <f>IF(SUMIFS(CNXL_SQL_2!$F:$F,CNXL_SQL_2!$A:$A,'PAGE_1 (2)'!$R26,CNXL_SQL_2!$D:$D,'PAGE_1 (2)'!$S$27)=0,"",SUMIFS(CNXL_SQL_2!$F:$F,CNXL_SQL_2!$A:$A,'PAGE_1 (2)'!$R26,CNXL_SQL_2!$D:$D,'PAGE_1 (2)'!$S$27))</f>
        <v/>
      </c>
      <c r="K26" s="190">
        <f>IF(SUMIFS(CNXL_SQL_2!$F:$F,CNXL_SQL_2!$A:$A,'PAGE_1 (2)'!$R26,CNXL_SQL_2!$D:$D,'PAGE_1 (2)'!$S$28)=0,"",SUMIFS(CNXL_SQL_2!$F:$F,CNXL_SQL_2!$A:$A,'PAGE_1 (2)'!$R26,CNXL_SQL_2!$D:$D,'PAGE_1 (2)'!$S$28))</f>
        <v/>
      </c>
      <c r="L26" s="190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9" t="n"/>
      <c r="R26" s="60" t="inlineStr">
        <is>
          <t>C5</t>
        </is>
      </c>
      <c r="S26" s="85" t="inlineStr">
        <is>
          <t>NETWORK OPERATIONS CENTER</t>
        </is>
      </c>
      <c r="T26" s="60" t="n"/>
      <c r="U26" s="60" t="n"/>
      <c r="V26" s="59" t="n"/>
      <c r="W26" s="60" t="n"/>
      <c r="X26" s="60" t="n"/>
    </row>
    <row r="27" ht="14.5" customHeight="1" s="286">
      <c r="B27" s="66" t="inlineStr">
        <is>
          <t>YV - Mesa</t>
        </is>
      </c>
      <c r="C27" s="80">
        <f>SUMIF(SCH_DEP_SQL_4!$A:$A,'PAGE_1 (2)'!R27,SCH_DEP_SQL_4!$E:$E)</f>
        <v/>
      </c>
      <c r="D27" s="48">
        <f>IF(SUMIFS(CNXL_SQL_2!$F:$F,CNXL_SQL_2!$A:$A,'PAGE_1 (2)'!$R27,CNXL_SQL_2!$D:$D,'PAGE_1 (2)'!$S$21)=0,"",SUMIFS(CNXL_SQL_2!$F:$F,CNXL_SQL_2!$A:$A,'PAGE_1 (2)'!$R27,CNXL_SQL_2!$D:$D,'PAGE_1 (2)'!$S$21))</f>
        <v/>
      </c>
      <c r="E27" s="48">
        <f>IF(SUMIFS(CNXL_SQL_2!$F:$F,CNXL_SQL_2!$A:$A,'PAGE_1 (2)'!$R27,CNXL_SQL_2!$D:$D,'PAGE_1 (2)'!$S$22)=0,"",SUMIFS(CNXL_SQL_2!$F:$F,CNXL_SQL_2!$A:$A,'PAGE_1 (2)'!$R27,CNXL_SQL_2!$D:$D,'PAGE_1 (2)'!$S$22))</f>
        <v/>
      </c>
      <c r="F27" s="48">
        <f>IF(SUMIFS(CNXL_SQL_2!$F:$F,CNXL_SQL_2!$A:$A,'PAGE_1 (2)'!$R27,CNXL_SQL_2!$D:$D,'PAGE_1 (2)'!$S$23)=0,"",SUMIFS(CNXL_SQL_2!$F:$F,CNXL_SQL_2!$A:$A,'PAGE_1 (2)'!$R27,CNXL_SQL_2!$D:$D,'PAGE_1 (2)'!$S$23))</f>
        <v/>
      </c>
      <c r="G27" s="48">
        <f>IF(SUMIFS(CNXL_SQL_2!$F:$F,CNXL_SQL_2!$A:$A,'PAGE_1 (2)'!$R27,CNXL_SQL_2!$D:$D,'PAGE_1 (2)'!$S$24)=0,"",SUMIFS(CNXL_SQL_2!$F:$F,CNXL_SQL_2!$A:$A,'PAGE_1 (2)'!$R27,CNXL_SQL_2!$D:$D,'PAGE_1 (2)'!$S$24))</f>
        <v/>
      </c>
      <c r="H27" s="48">
        <f>IF(SUMIFS(CNXL_SQL_2!$F:$F,CNXL_SQL_2!$A:$A,'PAGE_1 (2)'!$R27,CNXL_SQL_2!$D:$D,'PAGE_1 (2)'!$S$25)=0,"",SUMIFS(CNXL_SQL_2!$F:$F,CNXL_SQL_2!$A:$A,'PAGE_1 (2)'!$R27,CNXL_SQL_2!$D:$D,'PAGE_1 (2)'!$S$25))</f>
        <v/>
      </c>
      <c r="I27" s="48">
        <f>IF(SUMIFS(CNXL_SQL_2!$F:$F,CNXL_SQL_2!$A:$A,'PAGE_1 (2)'!$R27,CNXL_SQL_2!$D:$D,'PAGE_1 (2)'!$S$26)=0,"",SUMIFS(CNXL_SQL_2!$F:$F,CNXL_SQL_2!$A:$A,'PAGE_1 (2)'!$R27,CNXL_SQL_2!$D:$D,'PAGE_1 (2)'!$S$26))</f>
        <v/>
      </c>
      <c r="J27" s="48">
        <f>IF(SUMIFS(CNXL_SQL_2!$F:$F,CNXL_SQL_2!$A:$A,'PAGE_1 (2)'!$R27,CNXL_SQL_2!$D:$D,'PAGE_1 (2)'!$S$27)=0,"",SUMIFS(CNXL_SQL_2!$F:$F,CNXL_SQL_2!$A:$A,'PAGE_1 (2)'!$R27,CNXL_SQL_2!$D:$D,'PAGE_1 (2)'!$S$27))</f>
        <v/>
      </c>
      <c r="K27" s="48">
        <f>IF(SUMIFS(CNXL_SQL_2!$F:$F,CNXL_SQL_2!$A:$A,'PAGE_1 (2)'!$R27,CNXL_SQL_2!$D:$D,'PAGE_1 (2)'!$S$28)=0,"",SUMIFS(CNXL_SQL_2!$F:$F,CNXL_SQL_2!$A:$A,'PAGE_1 (2)'!$R27,CNXL_SQL_2!$D:$D,'PAGE_1 (2)'!$S$28))</f>
        <v/>
      </c>
      <c r="L27" s="48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9" t="n"/>
      <c r="R27" s="60" t="inlineStr">
        <is>
          <t>YV</t>
        </is>
      </c>
      <c r="S27" s="85" t="inlineStr">
        <is>
          <t>TECHNOLOGY</t>
        </is>
      </c>
      <c r="T27" s="60" t="n"/>
      <c r="U27" s="60" t="n"/>
      <c r="V27" s="59" t="n"/>
      <c r="W27" s="60" t="n"/>
      <c r="X27" s="60" t="n"/>
    </row>
    <row r="28" ht="15" customHeight="1" s="286" thickBot="1">
      <c r="B28" s="191" t="inlineStr">
        <is>
          <t>ZW - Air Wisconsin</t>
        </is>
      </c>
      <c r="C28" s="81">
        <f>SUMIF(SCH_DEP_SQL_4!$A:$A,'PAGE_1 (2)'!R28,SCH_DEP_SQL_4!$E:$E)</f>
        <v/>
      </c>
      <c r="D28" s="190">
        <f>IF(SUMIFS(CNXL_SQL_2!$F:$F,CNXL_SQL_2!$A:$A,'PAGE_1 (2)'!$R28,CNXL_SQL_2!$D:$D,'PAGE_1 (2)'!$S$21)=0,"",SUMIFS(CNXL_SQL_2!$F:$F,CNXL_SQL_2!$A:$A,'PAGE_1 (2)'!$R28,CNXL_SQL_2!$D:$D,'PAGE_1 (2)'!$S$21))</f>
        <v/>
      </c>
      <c r="E28" s="190">
        <f>IF(SUMIFS(CNXL_SQL_2!$F:$F,CNXL_SQL_2!$A:$A,'PAGE_1 (2)'!$R28,CNXL_SQL_2!$D:$D,'PAGE_1 (2)'!$S$22)=0,"",SUMIFS(CNXL_SQL_2!$F:$F,CNXL_SQL_2!$A:$A,'PAGE_1 (2)'!$R28,CNXL_SQL_2!$D:$D,'PAGE_1 (2)'!$S$22))</f>
        <v/>
      </c>
      <c r="F28" s="190">
        <f>IF(SUMIFS(CNXL_SQL_2!$F:$F,CNXL_SQL_2!$A:$A,'PAGE_1 (2)'!$R28,CNXL_SQL_2!$D:$D,'PAGE_1 (2)'!$S$23)=0,"",SUMIFS(CNXL_SQL_2!$F:$F,CNXL_SQL_2!$A:$A,'PAGE_1 (2)'!$R28,CNXL_SQL_2!$D:$D,'PAGE_1 (2)'!$S$23))</f>
        <v/>
      </c>
      <c r="G28" s="190">
        <f>IF(SUMIFS(CNXL_SQL_2!$F:$F,CNXL_SQL_2!$A:$A,'PAGE_1 (2)'!$R28,CNXL_SQL_2!$D:$D,'PAGE_1 (2)'!$S$24)=0,"",SUMIFS(CNXL_SQL_2!$F:$F,CNXL_SQL_2!$A:$A,'PAGE_1 (2)'!$R28,CNXL_SQL_2!$D:$D,'PAGE_1 (2)'!$S$24))</f>
        <v/>
      </c>
      <c r="H28" s="190">
        <f>IF(SUMIFS(CNXL_SQL_2!$F:$F,CNXL_SQL_2!$A:$A,'PAGE_1 (2)'!$R28,CNXL_SQL_2!$D:$D,'PAGE_1 (2)'!$S$25)=0,"",SUMIFS(CNXL_SQL_2!$F:$F,CNXL_SQL_2!$A:$A,'PAGE_1 (2)'!$R28,CNXL_SQL_2!$D:$D,'PAGE_1 (2)'!$S$25))</f>
        <v/>
      </c>
      <c r="I28" s="190">
        <f>IF(SUMIFS(CNXL_SQL_2!$F:$F,CNXL_SQL_2!$A:$A,'PAGE_1 (2)'!$R28,CNXL_SQL_2!$D:$D,'PAGE_1 (2)'!$S$26)=0,"",SUMIFS(CNXL_SQL_2!$F:$F,CNXL_SQL_2!$A:$A,'PAGE_1 (2)'!$R28,CNXL_SQL_2!$D:$D,'PAGE_1 (2)'!$S$26))</f>
        <v/>
      </c>
      <c r="J28" s="190">
        <f>IF(SUMIFS(CNXL_SQL_2!$F:$F,CNXL_SQL_2!$A:$A,'PAGE_1 (2)'!$R28,CNXL_SQL_2!$D:$D,'PAGE_1 (2)'!$S$27)=0,"",SUMIFS(CNXL_SQL_2!$F:$F,CNXL_SQL_2!$A:$A,'PAGE_1 (2)'!$R28,CNXL_SQL_2!$D:$D,'PAGE_1 (2)'!$S$27))</f>
        <v/>
      </c>
      <c r="K28" s="190">
        <f>IF(SUMIFS(CNXL_SQL_2!$F:$F,CNXL_SQL_2!$A:$A,'PAGE_1 (2)'!$R28,CNXL_SQL_2!$D:$D,'PAGE_1 (2)'!$S$28)=0,"",SUMIFS(CNXL_SQL_2!$F:$F,CNXL_SQL_2!$A:$A,'PAGE_1 (2)'!$R28,CNXL_SQL_2!$D:$D,'PAGE_1 (2)'!$S$28))</f>
        <v/>
      </c>
      <c r="L28" s="190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9" t="n"/>
      <c r="R28" s="60" t="inlineStr">
        <is>
          <t>ZW</t>
        </is>
      </c>
      <c r="S28" s="85" t="inlineStr">
        <is>
          <t>CATERING OPERATIONS</t>
        </is>
      </c>
      <c r="T28" s="60" t="n"/>
      <c r="U28" s="60" t="n"/>
      <c r="V28" s="59" t="n"/>
      <c r="W28" s="60" t="n"/>
      <c r="X28" s="60" t="n"/>
    </row>
    <row r="29" ht="15" customHeight="1" s="286" thickBot="1">
      <c r="B29" s="68" t="inlineStr">
        <is>
          <t>Total:</t>
        </is>
      </c>
      <c r="C29" s="82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9" t="n"/>
      <c r="R29" s="60" t="n"/>
      <c r="S29" s="85" t="inlineStr">
        <is>
          <t>OTHER</t>
        </is>
      </c>
      <c r="T29" s="60" t="n"/>
      <c r="U29" s="60" t="n"/>
      <c r="V29" s="59" t="n"/>
      <c r="W29" s="60" t="n"/>
      <c r="X29" s="60" t="n"/>
    </row>
    <row r="30" ht="9.4" customHeight="1" s="286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9" t="n"/>
      <c r="R30" s="60" t="n"/>
      <c r="S30" s="60" t="n"/>
      <c r="T30" s="60" t="n"/>
      <c r="U30" s="60" t="n"/>
      <c r="V30" s="59" t="n"/>
      <c r="W30" s="60" t="n"/>
      <c r="X30" s="60" t="n"/>
    </row>
    <row r="31" ht="9.4" customHeight="1" s="286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9" t="n"/>
      <c r="R31" s="60" t="n"/>
      <c r="S31" s="60" t="n"/>
      <c r="T31" s="60" t="n"/>
      <c r="U31" s="60" t="n"/>
      <c r="V31" s="59" t="n"/>
      <c r="W31" s="60" t="n"/>
      <c r="X31" s="60" t="n"/>
    </row>
    <row r="32" ht="9.4" customHeight="1" s="286" thickBot="1">
      <c r="Q32" s="59" t="n"/>
      <c r="R32" s="60" t="n"/>
      <c r="S32" s="60" t="n"/>
      <c r="T32" s="60" t="n"/>
      <c r="U32" s="60" t="n"/>
      <c r="V32" s="59" t="n"/>
      <c r="W32" s="60" t="n"/>
      <c r="X32" s="60" t="n"/>
    </row>
    <row r="33" ht="16" customHeight="1" s="286" thickBot="1">
      <c r="B33" s="316" t="inlineStr">
        <is>
          <t>Residual Cancel Detail</t>
        </is>
      </c>
      <c r="C33" s="351" t="n"/>
      <c r="D33" s="351" t="n"/>
      <c r="E33" s="351" t="n"/>
      <c r="F33" s="351" t="n"/>
      <c r="G33" s="351" t="n"/>
      <c r="H33" s="351" t="n"/>
      <c r="I33" s="351" t="n"/>
      <c r="J33" s="351" t="n"/>
      <c r="K33" s="351" t="n"/>
      <c r="L33" s="351" t="n"/>
      <c r="M33" s="351" t="n"/>
      <c r="N33" s="351" t="n"/>
      <c r="O33" s="351" t="n"/>
      <c r="P33" s="351" t="n"/>
      <c r="Q33" s="59" t="n"/>
      <c r="R33" s="60" t="n"/>
      <c r="S33" s="60" t="n"/>
      <c r="T33" s="60" t="n"/>
      <c r="U33" s="60" t="n"/>
      <c r="V33" s="59" t="n"/>
      <c r="W33" s="60" t="n"/>
      <c r="X33" s="60" t="n"/>
    </row>
    <row r="34" ht="30.65" customHeight="1" s="286" thickBot="1">
      <c r="B34" s="70" t="inlineStr">
        <is>
          <t>Express Partner</t>
        </is>
      </c>
      <c r="C34" s="71" t="inlineStr">
        <is>
          <t>Scheduled Departures</t>
        </is>
      </c>
      <c r="D34" s="72" t="inlineStr">
        <is>
          <t>Weather &amp; ATC</t>
        </is>
      </c>
      <c r="E34" s="72" t="inlineStr">
        <is>
          <t>Technical Operations</t>
        </is>
      </c>
      <c r="F34" s="72" t="inlineStr">
        <is>
          <t>Flight Operations</t>
        </is>
      </c>
      <c r="G34" s="72" t="inlineStr">
        <is>
          <t>Inflight Services</t>
        </is>
      </c>
      <c r="H34" s="72" t="inlineStr">
        <is>
          <t>Airport Operations</t>
        </is>
      </c>
      <c r="I34" s="72" t="inlineStr">
        <is>
          <t>Network Operations</t>
        </is>
      </c>
      <c r="J34" s="72" t="inlineStr">
        <is>
          <t>IT</t>
        </is>
      </c>
      <c r="K34" s="72" t="inlineStr">
        <is>
          <t>Catering Operations</t>
        </is>
      </c>
      <c r="L34" s="72" t="inlineStr">
        <is>
          <t>Other</t>
        </is>
      </c>
      <c r="M34" s="73" t="inlineStr">
        <is>
          <t>Total Cancels</t>
        </is>
      </c>
      <c r="N34" s="74" t="inlineStr">
        <is>
          <t>ES covered for this partner</t>
        </is>
      </c>
      <c r="O34" s="74" t="inlineStr">
        <is>
          <t>Net Cancel</t>
        </is>
      </c>
      <c r="P34" s="74" t="inlineStr">
        <is>
          <t>ES covered by this partner</t>
        </is>
      </c>
      <c r="Q34" s="59" t="n"/>
      <c r="R34" s="59" t="n"/>
      <c r="S34" s="59" t="n"/>
      <c r="T34" s="59" t="n"/>
      <c r="U34" s="59" t="n"/>
      <c r="V34" s="59" t="n"/>
      <c r="W34" s="60" t="n"/>
      <c r="X34" s="60" t="n"/>
    </row>
    <row r="35" ht="13" customHeight="1" s="286">
      <c r="B35" s="66" t="inlineStr">
        <is>
          <t>EV - ExpressJet</t>
        </is>
      </c>
      <c r="C35" s="80">
        <f>SUMIF(SCH_DEP_SQL_4!$A:$A,'PAGE_1 (2)'!R21,SCH_DEP_SQL_4!$E:$E)</f>
        <v/>
      </c>
      <c r="D35" s="48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48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48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48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48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48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48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48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48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60" t="n"/>
      <c r="R35" s="60" t="n"/>
      <c r="S35" s="60" t="n"/>
      <c r="T35" s="60" t="n"/>
      <c r="U35" s="60" t="n"/>
      <c r="V35" s="60" t="n"/>
      <c r="W35" s="60" t="n"/>
      <c r="X35" s="60" t="n"/>
    </row>
    <row r="36" ht="13" customHeight="1" s="286">
      <c r="B36" s="191" t="inlineStr">
        <is>
          <t>OO - SkyWest</t>
        </is>
      </c>
      <c r="C36" s="81">
        <f>SUMIF(SCH_DEP_SQL_4!$A:$A,'PAGE_1 (2)'!R22,SCH_DEP_SQL_4!$E:$E)</f>
        <v/>
      </c>
      <c r="D36" s="190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90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90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90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90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90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90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90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90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3" customHeight="1" s="286">
      <c r="B37" s="66" t="inlineStr">
        <is>
          <t>AX - Trans States</t>
        </is>
      </c>
      <c r="C37" s="80">
        <f>SUMIF(SCH_DEP_SQL_4!$A:$A,'PAGE_1 (2)'!R23,SCH_DEP_SQL_4!$E:$E)</f>
        <v/>
      </c>
      <c r="D37" s="48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48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48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48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48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48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48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48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48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3" customHeight="1" s="286">
      <c r="B38" s="191" t="inlineStr">
        <is>
          <t>YX - Republic</t>
        </is>
      </c>
      <c r="C38" s="81">
        <f>SUMIF(SCH_DEP_SQL_4!$A:$A,'PAGE_1 (2)'!R24,SCH_DEP_SQL_4!$E:$E)</f>
        <v/>
      </c>
      <c r="D38" s="190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90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90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90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90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90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90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90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90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3" customHeight="1" s="286">
      <c r="B39" s="66" t="inlineStr">
        <is>
          <t>G7 - Go Jet</t>
        </is>
      </c>
      <c r="C39" s="80">
        <f>SUMIF(SCH_DEP_SQL_4!$A:$A,'PAGE_1 (2)'!R25,SCH_DEP_SQL_4!$E:$E)</f>
        <v/>
      </c>
      <c r="D39" s="48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48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48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48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48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48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48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48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48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3" customHeight="1" s="286">
      <c r="B40" s="191" t="inlineStr">
        <is>
          <t>C5 - CommutAir</t>
        </is>
      </c>
      <c r="C40" s="81">
        <f>SUMIF(SCH_DEP_SQL_4!$A:$A,'PAGE_1 (2)'!R26,SCH_DEP_SQL_4!$E:$E)</f>
        <v/>
      </c>
      <c r="D40" s="190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90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90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90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90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90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90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90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90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3" customHeight="1" s="286">
      <c r="B41" s="66" t="inlineStr">
        <is>
          <t>YV - Mesa</t>
        </is>
      </c>
      <c r="C41" s="80">
        <f>SUMIF(SCH_DEP_SQL_4!$A:$A,'PAGE_1 (2)'!R27,SCH_DEP_SQL_4!$E:$E)</f>
        <v/>
      </c>
      <c r="D41" s="48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48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48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48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48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48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48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48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48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s="286" thickBot="1">
      <c r="B42" s="191" t="inlineStr">
        <is>
          <t>ZW - Air Wisconsin</t>
        </is>
      </c>
      <c r="C42" s="81">
        <f>SUMIF(SCH_DEP_SQL_4!$A:$A,'PAGE_1 (2)'!R28,SCH_DEP_SQL_4!$E:$E)</f>
        <v/>
      </c>
      <c r="D42" s="190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90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90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90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90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90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90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90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90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s="286" thickBot="1">
      <c r="B43" s="68" t="inlineStr">
        <is>
          <t>Total:</t>
        </is>
      </c>
      <c r="C43" s="82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 s="286">
      <c r="C44" s="69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2"/>
  </conditionalFormatting>
  <conditionalFormatting sqref="E21:E28">
    <cfRule type="top10" rank="1" priority="94" dxfId="2"/>
  </conditionalFormatting>
  <conditionalFormatting sqref="F21:F28">
    <cfRule type="top10" rank="1" priority="93" dxfId="2"/>
  </conditionalFormatting>
  <conditionalFormatting sqref="G21:G28">
    <cfRule type="top10" rank="1" priority="92" dxfId="2"/>
  </conditionalFormatting>
  <conditionalFormatting sqref="H21:H28">
    <cfRule type="top10" rank="1" priority="91" dxfId="2"/>
  </conditionalFormatting>
  <conditionalFormatting sqref="I21:I28">
    <cfRule type="top10" rank="1" priority="90" dxfId="2"/>
  </conditionalFormatting>
  <conditionalFormatting sqref="J21:J28">
    <cfRule type="top10" rank="1" priority="89" dxfId="2"/>
  </conditionalFormatting>
  <conditionalFormatting sqref="K21:K28">
    <cfRule type="top10" rank="1" priority="88" dxfId="2"/>
  </conditionalFormatting>
  <conditionalFormatting sqref="L21:L28">
    <cfRule type="top10" rank="1" priority="87" dxfId="2"/>
  </conditionalFormatting>
  <conditionalFormatting sqref="D35:D42">
    <cfRule type="top10" rank="1" priority="86" dxfId="2"/>
  </conditionalFormatting>
  <conditionalFormatting sqref="E35:E42">
    <cfRule type="top10" rank="1" priority="85" dxfId="2"/>
  </conditionalFormatting>
  <conditionalFormatting sqref="F35:F42">
    <cfRule type="top10" rank="1" priority="84" dxfId="2"/>
  </conditionalFormatting>
  <conditionalFormatting sqref="G35:G42">
    <cfRule type="top10" rank="1" priority="83" dxfId="2"/>
  </conditionalFormatting>
  <conditionalFormatting sqref="H35:H42">
    <cfRule type="top10" rank="1" priority="82" dxfId="2"/>
  </conditionalFormatting>
  <conditionalFormatting sqref="I35:I42">
    <cfRule type="top10" rank="1" priority="81" dxfId="2"/>
  </conditionalFormatting>
  <conditionalFormatting sqref="J35:J42">
    <cfRule type="top10" rank="1" priority="80" dxfId="2"/>
  </conditionalFormatting>
  <conditionalFormatting sqref="K35:K42">
    <cfRule type="top10" rank="1" priority="79" dxfId="2"/>
  </conditionalFormatting>
  <conditionalFormatting sqref="L35:L42">
    <cfRule type="top10" rank="1" priority="78" dxfId="2"/>
  </conditionalFormatting>
  <conditionalFormatting sqref="F6">
    <cfRule type="cellIs" priority="75" operator="greaterThan" dxfId="70">
      <formula>0</formula>
    </cfRule>
    <cfRule type="cellIs" priority="77" operator="lessThan" dxfId="0">
      <formula>0</formula>
    </cfRule>
  </conditionalFormatting>
  <conditionalFormatting sqref="F7">
    <cfRule type="cellIs" priority="76" operator="lessThan" dxfId="0">
      <formula>0</formula>
    </cfRule>
  </conditionalFormatting>
  <conditionalFormatting sqref="G6">
    <cfRule type="cellIs" priority="72" operator="greaterThan" dxfId="71">
      <formula>0</formula>
    </cfRule>
    <cfRule type="cellIs" priority="73" operator="greaterThan" dxfId="70">
      <formula>0</formula>
    </cfRule>
    <cfRule type="cellIs" priority="74" operator="lessThan" dxfId="0">
      <formula>0</formula>
    </cfRule>
  </conditionalFormatting>
  <conditionalFormatting sqref="G7">
    <cfRule type="cellIs" priority="69" operator="greaterThan" dxfId="71">
      <formula>0</formula>
    </cfRule>
    <cfRule type="cellIs" priority="70" operator="greaterThan" dxfId="70">
      <formula>0</formula>
    </cfRule>
    <cfRule type="cellIs" priority="71" operator="lessThan" dxfId="0">
      <formula>0</formula>
    </cfRule>
  </conditionalFormatting>
  <conditionalFormatting sqref="G8">
    <cfRule type="cellIs" priority="66" operator="greaterThan" dxfId="71">
      <formula>0</formula>
    </cfRule>
    <cfRule type="cellIs" priority="67" operator="greaterThan" dxfId="70">
      <formula>0</formula>
    </cfRule>
    <cfRule type="cellIs" priority="68" operator="lessThan" dxfId="0">
      <formula>0</formula>
    </cfRule>
  </conditionalFormatting>
  <conditionalFormatting sqref="F8">
    <cfRule type="cellIs" priority="63" operator="greaterThan" dxfId="71">
      <formula>0</formula>
    </cfRule>
    <cfRule type="cellIs" priority="64" operator="greaterThan" dxfId="70">
      <formula>0</formula>
    </cfRule>
    <cfRule type="cellIs" priority="65" operator="lessThan" dxfId="0">
      <formula>0</formula>
    </cfRule>
  </conditionalFormatting>
  <conditionalFormatting sqref="N6">
    <cfRule type="cellIs" priority="15" operator="greaterThan" dxfId="70">
      <formula>0</formula>
    </cfRule>
    <cfRule type="cellIs" priority="17" operator="lessThan" dxfId="0">
      <formula>0</formula>
    </cfRule>
  </conditionalFormatting>
  <conditionalFormatting sqref="N7">
    <cfRule type="cellIs" priority="16" operator="lessThan" dxfId="0">
      <formula>0</formula>
    </cfRule>
  </conditionalFormatting>
  <conditionalFormatting sqref="O6">
    <cfRule type="cellIs" priority="12" operator="greaterThan" dxfId="71">
      <formula>0</formula>
    </cfRule>
    <cfRule type="cellIs" priority="13" operator="greaterThan" dxfId="70">
      <formula>0</formula>
    </cfRule>
    <cfRule type="cellIs" priority="14" operator="lessThan" dxfId="0">
      <formula>0</formula>
    </cfRule>
  </conditionalFormatting>
  <conditionalFormatting sqref="O7">
    <cfRule type="cellIs" priority="9" operator="greaterThan" dxfId="71">
      <formula>0</formula>
    </cfRule>
    <cfRule type="cellIs" priority="10" operator="greaterThan" dxfId="70">
      <formula>0</formula>
    </cfRule>
    <cfRule type="cellIs" priority="11" operator="lessThan" dxfId="0">
      <formula>0</formula>
    </cfRule>
  </conditionalFormatting>
  <conditionalFormatting sqref="O8">
    <cfRule type="cellIs" priority="6" operator="greaterThan" dxfId="71">
      <formula>0</formula>
    </cfRule>
    <cfRule type="cellIs" priority="7" operator="greaterThan" dxfId="70">
      <formula>0</formula>
    </cfRule>
    <cfRule type="cellIs" priority="8" operator="lessThan" dxfId="0">
      <formula>0</formula>
    </cfRule>
  </conditionalFormatting>
  <conditionalFormatting sqref="N8">
    <cfRule type="cellIs" priority="3" operator="greaterThan" dxfId="71">
      <formula>0</formula>
    </cfRule>
    <cfRule type="cellIs" priority="4" operator="greaterThan" dxfId="70">
      <formula>0</formula>
    </cfRule>
    <cfRule type="cellIs" priority="5" operator="lessThan" dxfId="0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J3" s="85" t="n"/>
      <c r="K3" s="85" t="n"/>
      <c r="L3" s="85" t="n"/>
      <c r="M3" s="84" t="n"/>
    </row>
    <row r="4" ht="18" customHeight="1" s="286" thickBot="1">
      <c r="B4" s="314" t="inlineStr">
        <is>
          <t>Reliability Snapshot - SYS</t>
        </is>
      </c>
      <c r="C4" s="342" t="n"/>
      <c r="D4" s="342" t="n"/>
      <c r="E4" s="342" t="n"/>
      <c r="F4" s="342" t="n"/>
      <c r="G4" s="342" t="n"/>
      <c r="H4" s="342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 s="286">
      <c r="B6" s="62" t="inlineStr">
        <is>
          <t>Completion</t>
        </is>
      </c>
      <c r="C6" s="352">
        <f>UA_SQL_1!N2/UA_SQL_1!M2</f>
        <v/>
      </c>
      <c r="D6" s="352">
        <f>UA_SQL_1!F2/UA_SQL_1!E2</f>
        <v/>
      </c>
      <c r="E6" s="344">
        <f>SUMIF(EX_Goals!$B:$B,'PAGE_1 (4)'!#REF!,EX_Goals!$E:$E)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</row>
    <row r="7" ht="19.9" customHeight="1" s="286">
      <c r="B7" s="62" t="inlineStr">
        <is>
          <t>A:00</t>
        </is>
      </c>
      <c r="C7" s="352">
        <f>UA_SQL_1!Q2/UA_SQL_1!M2</f>
        <v/>
      </c>
      <c r="D7" s="352">
        <f>UA_SQL_1!I2/UA_SQL_1!E2</f>
        <v/>
      </c>
      <c r="E7" s="344">
        <f>SUMIF(EX_Goals!$B:$B,'PAGE_1 (4)'!#REF!,EX_Goals!$D:$D)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</row>
    <row r="8" ht="19.15" customHeight="1" s="286">
      <c r="B8" s="63" t="inlineStr">
        <is>
          <t xml:space="preserve">CS D:00 </t>
        </is>
      </c>
      <c r="C8" s="352">
        <f>UA_SQL_1!P2/UA_SQL_1!M2</f>
        <v/>
      </c>
      <c r="D8" s="357">
        <f>UA_SQL_1!H2/UA_SQL_1!E2</f>
        <v/>
      </c>
      <c r="E8" s="344">
        <f>SUMIF(EX_Goals!$B:$B,'PAGE_1 (4)'!#REF!,EX_Goals!$C:$C)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</row>
    <row r="9" ht="19.9" customHeight="1" s="286">
      <c r="B9" s="63" t="inlineStr">
        <is>
          <t xml:space="preserve">D:00 </t>
        </is>
      </c>
      <c r="C9" s="352">
        <f>UA_SQL_1!O2/UA_SQL_1!M2</f>
        <v/>
      </c>
      <c r="D9" s="357">
        <f>UA_SQL_1!G2/UA_SQL_1!E2</f>
        <v/>
      </c>
      <c r="E9" s="344">
        <f>SUMIF(EX_Goals!$B:$B,'PAGE_1 (4)'!#REF!,EX_Goals!$C:$C)</f>
        <v/>
      </c>
      <c r="F9" s="75" t="n"/>
      <c r="G9" s="75" t="n"/>
      <c r="H9" s="75" t="n"/>
    </row>
    <row r="10" ht="20.5" customHeight="1" s="286">
      <c r="B10" s="62" t="inlineStr">
        <is>
          <t>STAR D:00</t>
        </is>
      </c>
      <c r="C10" s="352">
        <f>UA_SQL_1!S2/UA_SQL_1!R2</f>
        <v/>
      </c>
      <c r="D10" s="352">
        <f>UA_SQL_1!K2/UA_SQL_1!J2</f>
        <v/>
      </c>
      <c r="E10" s="344">
        <f>SUMIF(EX_Goals!$B:$B,'PAGE_1 (4)'!#REF!,EX_Goals!$F:$F)</f>
        <v/>
      </c>
      <c r="F10" s="76" t="n"/>
      <c r="G10" s="76" t="n"/>
      <c r="H10" s="76" t="n"/>
    </row>
    <row r="11" ht="19.9" customHeight="1" s="286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SUMIF(EX_Goals!$B:$B,'PAGE_1 (4)'!#REF!,EX_Goals!$G:$G)</f>
        <v/>
      </c>
      <c r="F11" s="75" t="n"/>
      <c r="G11" s="75" t="n"/>
      <c r="H11" s="75" t="n"/>
    </row>
    <row r="12" ht="19.9" customHeight="1" s="286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</row>
    <row r="13" ht="19.9" customHeight="1" s="286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4.5" customHeight="1" s="286"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5" customHeight="1" s="286" thickBot="1"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9.15" customHeight="1" s="286" thickBot="1">
      <c r="B16" s="316" t="inlineStr">
        <is>
          <t>Reliability Snapshot - Hubs</t>
        </is>
      </c>
      <c r="C16" s="351" t="n"/>
      <c r="D16" s="351" t="n"/>
      <c r="E16" s="351" t="n"/>
      <c r="F16" s="351" t="n"/>
      <c r="G16" s="351" t="n"/>
      <c r="H16" s="351" t="n"/>
      <c r="I16" s="351" t="n"/>
      <c r="J16" s="351" t="n"/>
      <c r="K16" s="351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9.15" customHeight="1" s="286" thickBot="1">
      <c r="B17" s="64" t="inlineStr">
        <is>
          <t>Market</t>
        </is>
      </c>
      <c r="C17" s="49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6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9" t="n"/>
      <c r="P17" s="59" t="n"/>
      <c r="Q17" s="59" t="n"/>
      <c r="R17" s="59" t="n"/>
      <c r="S17" s="59" t="n"/>
      <c r="T17" s="59" t="n"/>
      <c r="U17" s="60" t="n"/>
      <c r="V17" s="60" t="n"/>
    </row>
    <row r="18" ht="19.15" customHeight="1" s="286">
      <c r="B18" s="62" t="inlineStr">
        <is>
          <t>Denver</t>
        </is>
      </c>
      <c r="C18" s="344">
        <f>SUMIFS(UA_HUB_SQL_7!J:J,UA_HUB_SQL_7!$B:$B,'PAGE_1 (4)'!B18)/SUMIFS(UA_HUB_SQL_7!$F:$F,UA_HUB_SQL_7!$B:$B,'PAGE_1 (4)'!B18)</f>
        <v/>
      </c>
      <c r="D18" s="344">
        <f>SUMIFS(UA_HUB_SQL_7!K:K,UA_HUB_SQL_7!B:B,'PAGE_1 (4)'!B18)/SUMIFS(UA_HUB_SQL_7!F:F,UA_HUB_SQL_7!B:B,'PAGE_1 (4)'!B18)</f>
        <v/>
      </c>
      <c r="E18" s="361" t="inlineStr">
        <is>
          <t>-</t>
        </is>
      </c>
      <c r="F18" s="362" t="n"/>
      <c r="G18" s="116" t="inlineStr">
        <is>
          <t>-</t>
        </is>
      </c>
      <c r="H18" s="344">
        <f>SUMIFS(UA_HUB_SQL_7!G:G,UA_HUB_SQL_7!$B:$B,'PAGE_1 (4)'!B18)/SUMIFS(UA_HUB_SQL_7!$F:$F,UA_HUB_SQL_7!$B:$B,'PAGE_1 (4)'!B18)</f>
        <v/>
      </c>
      <c r="I18" s="116" t="inlineStr">
        <is>
          <t>-</t>
        </is>
      </c>
      <c r="J18" s="116" t="inlineStr">
        <is>
          <t>-</t>
        </is>
      </c>
      <c r="K18" s="116" t="inlineStr">
        <is>
          <t>-</t>
        </is>
      </c>
      <c r="O18" s="59" t="n"/>
      <c r="P18" s="59" t="n"/>
      <c r="Q18" s="59" t="n"/>
      <c r="R18" s="59" t="n"/>
      <c r="S18" s="59" t="n"/>
      <c r="T18" s="59" t="n"/>
      <c r="U18" s="60" t="n"/>
      <c r="V18" s="60" t="n"/>
    </row>
    <row r="19" ht="19.15" customHeight="1" s="286">
      <c r="B19" s="62" t="inlineStr">
        <is>
          <t>New York</t>
        </is>
      </c>
      <c r="C19" s="344">
        <f>SUMIFS(UA_HUB_SQL_7!J:J,UA_HUB_SQL_7!$B:$B,'PAGE_1 (4)'!B19)/SUMIFS(UA_HUB_SQL_7!$F:$F,UA_HUB_SQL_7!$B:$B,'PAGE_1 (4)'!B19)</f>
        <v/>
      </c>
      <c r="D19" s="344">
        <f>SUMIFS(UA_HUB_SQL_7!K:K,UA_HUB_SQL_7!B:B,'PAGE_1 (4)'!B19)/SUMIFS(UA_HUB_SQL_7!F:F,UA_HUB_SQL_7!B:B,'PAGE_1 (4)'!B19)</f>
        <v/>
      </c>
      <c r="E19" s="83" t="inlineStr">
        <is>
          <t>DL - 0.7 AA - (8.0)</t>
        </is>
      </c>
      <c r="F19" s="363" t="n"/>
      <c r="G19" s="52">
        <f>RANK!F9</f>
        <v/>
      </c>
      <c r="H19" s="344">
        <f>SUMIFS(UA_HUB_SQL_7!G:G,UA_HUB_SQL_7!$B:$B,'PAGE_1 (4)'!B19)/SUMIFS(UA_HUB_SQL_7!$F:$F,UA_HUB_SQL_7!$B:$B,'PAGE_1 (4)'!B19)</f>
        <v/>
      </c>
      <c r="I19" s="83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3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2">
        <f>RANK!F20</f>
        <v/>
      </c>
      <c r="O19" s="59" t="n"/>
      <c r="P19" s="59" t="n"/>
      <c r="Q19" s="59" t="n"/>
      <c r="R19" s="59" t="n"/>
      <c r="S19" s="59" t="n"/>
      <c r="T19" s="59" t="n"/>
      <c r="U19" s="60" t="n"/>
      <c r="V19" s="60" t="n"/>
    </row>
    <row r="20" ht="19.15" customHeight="1" s="286">
      <c r="B20" s="63" t="inlineStr">
        <is>
          <t>Washington DC</t>
        </is>
      </c>
      <c r="C20" s="344">
        <f>SUMIFS(UA_HUB_SQL_7!J:J,UA_HUB_SQL_7!$B:$B,'PAGE_1 (4)'!B20)/SUMIFS(UA_HUB_SQL_7!$F:$F,UA_HUB_SQL_7!$B:$B,'PAGE_1 (4)'!B20)</f>
        <v/>
      </c>
      <c r="D20" s="344">
        <f>SUMIFS(UA_HUB_SQL_7!K:K,UA_HUB_SQL_7!B:B,'PAGE_1 (4)'!B20)/SUMIFS(UA_HUB_SQL_7!F:F,UA_HUB_SQL_7!B:B,'PAGE_1 (4)'!B20)</f>
        <v/>
      </c>
      <c r="E20" s="83" t="inlineStr">
        <is>
          <t>DL - 0.7 AA - (8.0)</t>
        </is>
      </c>
      <c r="F20" s="363" t="n"/>
      <c r="G20" s="52">
        <f>RANK!F10</f>
        <v/>
      </c>
      <c r="H20" s="344">
        <f>SUMIFS(UA_HUB_SQL_7!G:G,UA_HUB_SQL_7!$B:$B,'PAGE_1 (4)'!B20)/SUMIFS(UA_HUB_SQL_7!$F:$F,UA_HUB_SQL_7!$B:$B,'PAGE_1 (4)'!B20)</f>
        <v/>
      </c>
      <c r="I20" s="83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3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2">
        <f>RANK!F21</f>
        <v/>
      </c>
      <c r="O20" s="59" t="n"/>
      <c r="P20" s="59" t="n"/>
      <c r="Q20" s="59" t="n"/>
      <c r="R20" s="59" t="n"/>
      <c r="S20" s="59" t="n"/>
      <c r="T20" s="59" t="n"/>
      <c r="U20" s="60" t="n"/>
      <c r="V20" s="60" t="n"/>
    </row>
    <row r="21" ht="19.15" customHeight="1" s="286">
      <c r="B21" s="63" t="inlineStr">
        <is>
          <t>Texas</t>
        </is>
      </c>
      <c r="C21" s="344">
        <f>SUMIFS(UA_HUB_SQL_7!J:J,UA_HUB_SQL_7!$B:$B,'PAGE_1 (4)'!B21)/SUMIFS(UA_HUB_SQL_7!$F:$F,UA_HUB_SQL_7!$B:$B,'PAGE_1 (4)'!B21)</f>
        <v/>
      </c>
      <c r="D21" s="344">
        <f>SUMIFS(UA_HUB_SQL_7!K:K,UA_HUB_SQL_7!B:B,'PAGE_1 (4)'!B21)/SUMIFS(UA_HUB_SQL_7!F:F,UA_HUB_SQL_7!B:B,'PAGE_1 (4)'!B21)</f>
        <v/>
      </c>
      <c r="E21" s="83" t="inlineStr">
        <is>
          <t>AA - (8.0)</t>
        </is>
      </c>
      <c r="F21" s="363" t="n"/>
      <c r="G21" s="52">
        <f>RANK!F11</f>
        <v/>
      </c>
      <c r="H21" s="344">
        <f>SUMIFS(UA_HUB_SQL_7!G:G,UA_HUB_SQL_7!$B:$B,'PAGE_1 (4)'!B21)/SUMIFS(UA_HUB_SQL_7!$F:$F,UA_HUB_SQL_7!$B:$B,'PAGE_1 (4)'!B21)</f>
        <v/>
      </c>
      <c r="I21" s="116" t="inlineStr">
        <is>
          <t>-</t>
        </is>
      </c>
      <c r="J21" s="83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2">
        <f>RANK!F22</f>
        <v/>
      </c>
      <c r="O21" s="59" t="n"/>
      <c r="P21" s="59" t="n"/>
      <c r="Q21" s="59" t="n"/>
      <c r="R21" s="59" t="n"/>
      <c r="S21" s="59" t="n"/>
      <c r="T21" s="59" t="n"/>
      <c r="U21" s="60" t="n"/>
      <c r="V21" s="60" t="n"/>
    </row>
    <row r="22" ht="19.15" customHeight="1" s="286">
      <c r="B22" s="62" t="inlineStr">
        <is>
          <t>Los Angeles</t>
        </is>
      </c>
      <c r="C22" s="344">
        <f>SUMIFS(UA_HUB_SQL_7!J:J,UA_HUB_SQL_7!$B:$B,'PAGE_1 (4)'!B22)/SUMIFS(UA_HUB_SQL_7!$F:$F,UA_HUB_SQL_7!$B:$B,'PAGE_1 (4)'!B22)</f>
        <v/>
      </c>
      <c r="D22" s="344">
        <f>SUMIFS(UA_HUB_SQL_7!K:K,UA_HUB_SQL_7!B:B,'PAGE_1 (4)'!B22)/SUMIFS(UA_HUB_SQL_7!F:F,UA_HUB_SQL_7!B:B,'PAGE_1 (4)'!B22)</f>
        <v/>
      </c>
      <c r="E22" s="83" t="inlineStr">
        <is>
          <t>DL - 0.7 AA - (8.0)</t>
        </is>
      </c>
      <c r="F22" s="363" t="n"/>
      <c r="G22" s="52">
        <f>RANK!F12</f>
        <v/>
      </c>
      <c r="H22" s="344">
        <f>SUMIFS(UA_HUB_SQL_7!G:G,UA_HUB_SQL_7!$B:$B,'PAGE_1 (4)'!B22)/SUMIFS(UA_HUB_SQL_7!$F:$F,UA_HUB_SQL_7!$B:$B,'PAGE_1 (4)'!B22)</f>
        <v/>
      </c>
      <c r="I22" s="83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3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2">
        <f>RANK!F23</f>
        <v/>
      </c>
      <c r="O22" s="59" t="n"/>
      <c r="P22" s="59" t="n"/>
      <c r="Q22" s="59" t="n"/>
      <c r="R22" s="59" t="n"/>
      <c r="S22" s="59" t="n"/>
      <c r="T22" s="59" t="n"/>
      <c r="U22" s="60" t="n"/>
      <c r="V22" s="60" t="n"/>
    </row>
    <row r="23" ht="19.15" customHeight="1" s="286">
      <c r="B23" s="63" t="inlineStr">
        <is>
          <t>Chicago</t>
        </is>
      </c>
      <c r="C23" s="344">
        <f>SUMIFS(UA_HUB_SQL_7!J:J,UA_HUB_SQL_7!$B:$B,'PAGE_1 (4)'!B23)/SUMIFS(UA_HUB_SQL_7!$F:$F,UA_HUB_SQL_7!$B:$B,'PAGE_1 (4)'!B23)</f>
        <v/>
      </c>
      <c r="D23" s="344">
        <f>SUMIFS(UA_HUB_SQL_7!K:K,UA_HUB_SQL_7!B:B,'PAGE_1 (4)'!B23)/SUMIFS(UA_HUB_SQL_7!F:F,UA_HUB_SQL_7!B:B,'PAGE_1 (4)'!B23)</f>
        <v/>
      </c>
      <c r="E23" s="83" t="inlineStr">
        <is>
          <t>AA - (8.0)</t>
        </is>
      </c>
      <c r="F23" s="363" t="n"/>
      <c r="G23" s="52">
        <f>RANK!F13</f>
        <v/>
      </c>
      <c r="H23" s="344">
        <f>SUMIFS(UA_HUB_SQL_7!G:G,UA_HUB_SQL_7!$B:$B,'PAGE_1 (4)'!B23)/SUMIFS(UA_HUB_SQL_7!$F:$F,UA_HUB_SQL_7!$B:$B,'PAGE_1 (4)'!B23)</f>
        <v/>
      </c>
      <c r="I23" s="116" t="inlineStr">
        <is>
          <t>-</t>
        </is>
      </c>
      <c r="J23" s="83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2">
        <f>RANK!F24</f>
        <v/>
      </c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60" t="n"/>
      <c r="V23" s="60" t="n"/>
    </row>
    <row r="24" ht="19.15" customHeight="1" s="286">
      <c r="B24" s="62" t="inlineStr">
        <is>
          <t>San Francisco</t>
        </is>
      </c>
      <c r="C24" s="344">
        <f>SUMIFS(UA_HUB_SQL_7!J:J,UA_HUB_SQL_7!$B:$B,'PAGE_1 (4)'!B24)/SUMIFS(UA_HUB_SQL_7!$F:$F,UA_HUB_SQL_7!$B:$B,'PAGE_1 (4)'!B24)</f>
        <v/>
      </c>
      <c r="D24" s="344">
        <f>SUMIFS(UA_HUB_SQL_7!K:K,UA_HUB_SQL_7!B:B,'PAGE_1 (4)'!B24)/SUMIFS(UA_HUB_SQL_7!F:F,UA_HUB_SQL_7!B:B,'PAGE_1 (4)'!B24)</f>
        <v/>
      </c>
      <c r="E24" s="83" t="inlineStr">
        <is>
          <t>AS - (8.0)</t>
        </is>
      </c>
      <c r="F24" s="363" t="n"/>
      <c r="G24" s="116" t="inlineStr">
        <is>
          <t>-</t>
        </is>
      </c>
      <c r="H24" s="344">
        <f>SUMIFS(UA_HUB_SQL_7!G:G,UA_HUB_SQL_7!$B:$B,'PAGE_1 (4)'!B24)/SUMIFS(UA_HUB_SQL_7!$F:$F,UA_HUB_SQL_7!$B:$B,'PAGE_1 (4)'!B24)</f>
        <v/>
      </c>
      <c r="I24" s="116" t="inlineStr">
        <is>
          <t>-</t>
        </is>
      </c>
      <c r="J24" s="116" t="inlineStr">
        <is>
          <t>-</t>
        </is>
      </c>
      <c r="K24" s="116" t="inlineStr">
        <is>
          <t>-</t>
        </is>
      </c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60" t="n"/>
      <c r="V24" s="60" t="n"/>
    </row>
    <row r="25"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2.5" customHeight="1" s="286" thickBot="1">
      <c r="C26" s="347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6" customHeight="1" s="286" thickBot="1">
      <c r="B27" s="314" t="inlineStr">
        <is>
          <t>Cancel Detail</t>
        </is>
      </c>
      <c r="C27" s="342" t="n"/>
      <c r="D27" s="342" t="n"/>
      <c r="E27" s="342" t="n"/>
      <c r="F27" s="342" t="n"/>
      <c r="G27" s="342" t="n"/>
      <c r="H27" s="342" t="n"/>
      <c r="I27" s="342" t="n"/>
      <c r="J27" s="342" t="n"/>
      <c r="K27" s="342" t="n"/>
      <c r="L27" s="342" t="n"/>
      <c r="M27" s="342" t="n"/>
      <c r="N27" s="342" t="n"/>
      <c r="O27" s="342" t="n"/>
      <c r="P27" s="342" t="n"/>
      <c r="Q27" s="59" t="n"/>
      <c r="R27" s="60" t="n"/>
      <c r="S27" s="60" t="n"/>
      <c r="T27" s="60" t="n"/>
      <c r="U27" s="60" t="n"/>
      <c r="V27" s="59" t="n"/>
      <c r="W27" s="60" t="n"/>
      <c r="X27" s="60" t="n"/>
    </row>
    <row r="28" ht="30.65" customHeight="1" s="286" thickBot="1">
      <c r="B28" s="70" t="inlineStr">
        <is>
          <t>Express Partner</t>
        </is>
      </c>
      <c r="C28" s="71" t="inlineStr">
        <is>
          <t>Scheduled Departures</t>
        </is>
      </c>
      <c r="D28" s="72" t="inlineStr">
        <is>
          <t>Weather &amp; ATC</t>
        </is>
      </c>
      <c r="E28" s="72" t="inlineStr">
        <is>
          <t>Technical Operations</t>
        </is>
      </c>
      <c r="F28" s="72" t="inlineStr">
        <is>
          <t>Flight Operations</t>
        </is>
      </c>
      <c r="G28" s="72" t="inlineStr">
        <is>
          <t>Inflight Services</t>
        </is>
      </c>
      <c r="H28" s="72" t="inlineStr">
        <is>
          <t>Airport Operations</t>
        </is>
      </c>
      <c r="I28" s="72" t="inlineStr">
        <is>
          <t>Network Operations</t>
        </is>
      </c>
      <c r="J28" s="72" t="inlineStr">
        <is>
          <t>IT</t>
        </is>
      </c>
      <c r="K28" s="72" t="inlineStr">
        <is>
          <t>Catering Operations</t>
        </is>
      </c>
      <c r="L28" s="72" t="inlineStr">
        <is>
          <t>Other</t>
        </is>
      </c>
      <c r="M28" s="73" t="inlineStr">
        <is>
          <t>Total Cancels</t>
        </is>
      </c>
      <c r="N28" s="74" t="inlineStr">
        <is>
          <t>ES covered for this partner</t>
        </is>
      </c>
      <c r="O28" s="74" t="inlineStr">
        <is>
          <t>Net Cancel</t>
        </is>
      </c>
      <c r="P28" s="74" t="inlineStr">
        <is>
          <t>ES covered by this partner</t>
        </is>
      </c>
      <c r="Q28" s="59" t="n"/>
      <c r="R28" s="60" t="n"/>
      <c r="S28" s="60" t="n"/>
      <c r="T28" s="60" t="n"/>
      <c r="U28" s="60" t="n"/>
      <c r="V28" s="59" t="n"/>
      <c r="W28" s="60" t="n"/>
      <c r="X28" s="60" t="n"/>
    </row>
    <row r="29" ht="14.5" customHeight="1" s="286">
      <c r="B29" s="66" t="inlineStr">
        <is>
          <t>EV - ExpressJet</t>
        </is>
      </c>
      <c r="C29" s="80">
        <f>SUMIF(SCH_DEP_SQL_4!$A:$A,'PAGE_1 (4)'!R29,SCH_DEP_SQL_4!$E:$E)</f>
        <v/>
      </c>
      <c r="D29" s="48">
        <f>IF(SUMIFS(CNXL_SQL_2!$F:$F,CNXL_SQL_2!$A:$A,'PAGE_1 (4)'!$R29,CNXL_SQL_2!$D:$D,'PAGE_1 (4)'!$S$29)=0,"",SUMIFS(CNXL_SQL_2!$F:$F,CNXL_SQL_2!$A:$A,'PAGE_1 (4)'!$R29,CNXL_SQL_2!$D:$D,'PAGE_1 (4)'!$S$29))</f>
        <v/>
      </c>
      <c r="E29" s="48">
        <f>IF(SUMIFS(CNXL_SQL_2!$F:$F,CNXL_SQL_2!$A:$A,'PAGE_1 (4)'!$R29,CNXL_SQL_2!$D:$D,'PAGE_1 (4)'!$S$30)=0,"",SUMIFS(CNXL_SQL_2!$F:$F,CNXL_SQL_2!$A:$A,'PAGE_1 (4)'!$R29,CNXL_SQL_2!$D:$D,'PAGE_1 (4)'!$S$30))</f>
        <v/>
      </c>
      <c r="F29" s="48">
        <f>IF(SUMIFS(CNXL_SQL_2!$F:$F,CNXL_SQL_2!$A:$A,'PAGE_1 (4)'!$R29,CNXL_SQL_2!$D:$D,'PAGE_1 (4)'!$S$31)=0,"",SUMIFS(CNXL_SQL_2!$F:$F,CNXL_SQL_2!$A:$A,'PAGE_1 (4)'!$R29,CNXL_SQL_2!$D:$D,'PAGE_1 (4)'!$S$31))</f>
        <v/>
      </c>
      <c r="G29" s="48">
        <f>IF(SUMIFS(CNXL_SQL_2!$F:$F,CNXL_SQL_2!$A:$A,'PAGE_1 (4)'!$R29,CNXL_SQL_2!$D:$D,'PAGE_1 (4)'!$S$32)=0,"",SUMIFS(CNXL_SQL_2!$F:$F,CNXL_SQL_2!$A:$A,'PAGE_1 (4)'!$R29,CNXL_SQL_2!$D:$D,'PAGE_1 (4)'!$S$32))</f>
        <v/>
      </c>
      <c r="H29" s="48">
        <f>IF(SUMIFS(CNXL_SQL_2!$F:$F,CNXL_SQL_2!$A:$A,'PAGE_1 (4)'!$R29,CNXL_SQL_2!$D:$D,'PAGE_1 (4)'!$S$33)=0,"",SUMIFS(CNXL_SQL_2!$F:$F,CNXL_SQL_2!$A:$A,'PAGE_1 (4)'!$R29,CNXL_SQL_2!$D:$D,'PAGE_1 (4)'!$S$33))</f>
        <v/>
      </c>
      <c r="I29" s="48">
        <f>IF(SUMIFS(CNXL_SQL_2!$F:$F,CNXL_SQL_2!$A:$A,'PAGE_1 (4)'!$R29,CNXL_SQL_2!$D:$D,'PAGE_1 (4)'!$S$34)=0,"",SUMIFS(CNXL_SQL_2!$F:$F,CNXL_SQL_2!$A:$A,'PAGE_1 (4)'!$R29,CNXL_SQL_2!$D:$D,'PAGE_1 (4)'!$S$34))</f>
        <v/>
      </c>
      <c r="J29" s="48">
        <f>IF(SUMIFS(CNXL_SQL_2!$F:$F,CNXL_SQL_2!$A:$A,'PAGE_1 (4)'!$R29,CNXL_SQL_2!$D:$D,'PAGE_1 (4)'!$S$35)=0,"",SUMIFS(CNXL_SQL_2!$F:$F,CNXL_SQL_2!$A:$A,'PAGE_1 (4)'!$R29,CNXL_SQL_2!$D:$D,'PAGE_1 (4)'!$S$35))</f>
        <v/>
      </c>
      <c r="K29" s="48">
        <f>IF(SUMIFS(CNXL_SQL_2!$F:$F,CNXL_SQL_2!$A:$A,'PAGE_1 (4)'!$R29,CNXL_SQL_2!$D:$D,'PAGE_1 (4)'!$S$36)=0,"",SUMIFS(CNXL_SQL_2!$F:$F,CNXL_SQL_2!$A:$A,'PAGE_1 (4)'!$R29,CNXL_SQL_2!$D:$D,'PAGE_1 (4)'!$S$36))</f>
        <v/>
      </c>
      <c r="L29" s="48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9" t="n"/>
      <c r="R29" s="85" t="inlineStr">
        <is>
          <t>EV</t>
        </is>
      </c>
      <c r="S29" s="85" t="inlineStr">
        <is>
          <t>WEATHER/ATC</t>
        </is>
      </c>
      <c r="T29" s="60" t="n"/>
      <c r="U29" s="60" t="n"/>
      <c r="V29" s="59" t="n"/>
      <c r="W29" s="60" t="n"/>
      <c r="X29" s="60" t="n"/>
    </row>
    <row r="30" ht="14.5" customHeight="1" s="286">
      <c r="B30" s="191" t="inlineStr">
        <is>
          <t>OO - SkyWest</t>
        </is>
      </c>
      <c r="C30" s="81">
        <f>SUMIF(SCH_DEP_SQL_4!$A:$A,'PAGE_1 (4)'!R30,SCH_DEP_SQL_4!$E:$E)</f>
        <v/>
      </c>
      <c r="D30" s="190">
        <f>IF(SUMIFS(CNXL_SQL_2!$F:$F,CNXL_SQL_2!$A:$A,'PAGE_1 (4)'!$R30,CNXL_SQL_2!$D:$D,'PAGE_1 (4)'!$S$29)=0,"",SUMIFS(CNXL_SQL_2!$F:$F,CNXL_SQL_2!$A:$A,'PAGE_1 (4)'!$R30,CNXL_SQL_2!$D:$D,'PAGE_1 (4)'!$S$29))</f>
        <v/>
      </c>
      <c r="E30" s="190">
        <f>IF(SUMIFS(CNXL_SQL_2!$F:$F,CNXL_SQL_2!$A:$A,'PAGE_1 (4)'!$R30,CNXL_SQL_2!$D:$D,'PAGE_1 (4)'!$S$30)=0,"",SUMIFS(CNXL_SQL_2!$F:$F,CNXL_SQL_2!$A:$A,'PAGE_1 (4)'!$R30,CNXL_SQL_2!$D:$D,'PAGE_1 (4)'!$S$30))</f>
        <v/>
      </c>
      <c r="F30" s="190">
        <f>IF(SUMIFS(CNXL_SQL_2!$F:$F,CNXL_SQL_2!$A:$A,'PAGE_1 (4)'!$R30,CNXL_SQL_2!$D:$D,'PAGE_1 (4)'!$S$31)=0,"",SUMIFS(CNXL_SQL_2!$F:$F,CNXL_SQL_2!$A:$A,'PAGE_1 (4)'!$R30,CNXL_SQL_2!$D:$D,'PAGE_1 (4)'!$S$31))</f>
        <v/>
      </c>
      <c r="G30" s="190">
        <f>IF(SUMIFS(CNXL_SQL_2!$F:$F,CNXL_SQL_2!$A:$A,'PAGE_1 (4)'!$R30,CNXL_SQL_2!$D:$D,'PAGE_1 (4)'!$S$32)=0,"",SUMIFS(CNXL_SQL_2!$F:$F,CNXL_SQL_2!$A:$A,'PAGE_1 (4)'!$R30,CNXL_SQL_2!$D:$D,'PAGE_1 (4)'!$S$32))</f>
        <v/>
      </c>
      <c r="H30" s="190">
        <f>IF(SUMIFS(CNXL_SQL_2!$F:$F,CNXL_SQL_2!$A:$A,'PAGE_1 (4)'!$R30,CNXL_SQL_2!$D:$D,'PAGE_1 (4)'!$S$33)=0,"",SUMIFS(CNXL_SQL_2!$F:$F,CNXL_SQL_2!$A:$A,'PAGE_1 (4)'!$R30,CNXL_SQL_2!$D:$D,'PAGE_1 (4)'!$S$33))</f>
        <v/>
      </c>
      <c r="I30" s="190">
        <f>IF(SUMIFS(CNXL_SQL_2!$F:$F,CNXL_SQL_2!$A:$A,'PAGE_1 (4)'!$R30,CNXL_SQL_2!$D:$D,'PAGE_1 (4)'!$S$34)=0,"",SUMIFS(CNXL_SQL_2!$F:$F,CNXL_SQL_2!$A:$A,'PAGE_1 (4)'!$R30,CNXL_SQL_2!$D:$D,'PAGE_1 (4)'!$S$34))</f>
        <v/>
      </c>
      <c r="J30" s="190">
        <f>IF(SUMIFS(CNXL_SQL_2!$F:$F,CNXL_SQL_2!$A:$A,'PAGE_1 (4)'!$R30,CNXL_SQL_2!$D:$D,'PAGE_1 (4)'!$S$35)=0,"",SUMIFS(CNXL_SQL_2!$F:$F,CNXL_SQL_2!$A:$A,'PAGE_1 (4)'!$R30,CNXL_SQL_2!$D:$D,'PAGE_1 (4)'!$S$35))</f>
        <v/>
      </c>
      <c r="K30" s="190">
        <f>IF(SUMIFS(CNXL_SQL_2!$F:$F,CNXL_SQL_2!$A:$A,'PAGE_1 (4)'!$R30,CNXL_SQL_2!$D:$D,'PAGE_1 (4)'!$S$36)=0,"",SUMIFS(CNXL_SQL_2!$F:$F,CNXL_SQL_2!$A:$A,'PAGE_1 (4)'!$R30,CNXL_SQL_2!$D:$D,'PAGE_1 (4)'!$S$36))</f>
        <v/>
      </c>
      <c r="L30" s="190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9" t="n"/>
      <c r="R30" s="60" t="inlineStr">
        <is>
          <t>OO</t>
        </is>
      </c>
      <c r="S30" s="85" t="inlineStr">
        <is>
          <t>TECHNICAL OPERATIONS-AIRCRAFT</t>
        </is>
      </c>
      <c r="T30" s="60" t="n"/>
      <c r="U30" s="60" t="n"/>
      <c r="V30" s="59" t="n"/>
      <c r="W30" s="60" t="n"/>
      <c r="X30" s="60" t="n"/>
    </row>
    <row r="31" ht="14.5" customHeight="1" s="286">
      <c r="B31" s="66" t="inlineStr">
        <is>
          <t>AX - Trans States</t>
        </is>
      </c>
      <c r="C31" s="80">
        <f>SUMIF(SCH_DEP_SQL_4!$A:$A,'PAGE_1 (4)'!R31,SCH_DEP_SQL_4!$E:$E)</f>
        <v/>
      </c>
      <c r="D31" s="48">
        <f>IF(SUMIFS(CNXL_SQL_2!$F:$F,CNXL_SQL_2!$A:$A,'PAGE_1 (4)'!$R31,CNXL_SQL_2!$D:$D,'PAGE_1 (4)'!$S$29)=0,"",SUMIFS(CNXL_SQL_2!$F:$F,CNXL_SQL_2!$A:$A,'PAGE_1 (4)'!$R31,CNXL_SQL_2!$D:$D,'PAGE_1 (4)'!$S$29))</f>
        <v/>
      </c>
      <c r="E31" s="48">
        <f>IF(SUMIFS(CNXL_SQL_2!$F:$F,CNXL_SQL_2!$A:$A,'PAGE_1 (4)'!$R31,CNXL_SQL_2!$D:$D,'PAGE_1 (4)'!$S$30)=0,"",SUMIFS(CNXL_SQL_2!$F:$F,CNXL_SQL_2!$A:$A,'PAGE_1 (4)'!$R31,CNXL_SQL_2!$D:$D,'PAGE_1 (4)'!$S$30))</f>
        <v/>
      </c>
      <c r="F31" s="48">
        <f>IF(SUMIFS(CNXL_SQL_2!$F:$F,CNXL_SQL_2!$A:$A,'PAGE_1 (4)'!$R31,CNXL_SQL_2!$D:$D,'PAGE_1 (4)'!$S$31)=0,"",SUMIFS(CNXL_SQL_2!$F:$F,CNXL_SQL_2!$A:$A,'PAGE_1 (4)'!$R31,CNXL_SQL_2!$D:$D,'PAGE_1 (4)'!$S$31))</f>
        <v/>
      </c>
      <c r="G31" s="48">
        <f>IF(SUMIFS(CNXL_SQL_2!$F:$F,CNXL_SQL_2!$A:$A,'PAGE_1 (4)'!$R31,CNXL_SQL_2!$D:$D,'PAGE_1 (4)'!$S$32)=0,"",SUMIFS(CNXL_SQL_2!$F:$F,CNXL_SQL_2!$A:$A,'PAGE_1 (4)'!$R31,CNXL_SQL_2!$D:$D,'PAGE_1 (4)'!$S$32))</f>
        <v/>
      </c>
      <c r="H31" s="48">
        <f>IF(SUMIFS(CNXL_SQL_2!$F:$F,CNXL_SQL_2!$A:$A,'PAGE_1 (4)'!$R31,CNXL_SQL_2!$D:$D,'PAGE_1 (4)'!$S$33)=0,"",SUMIFS(CNXL_SQL_2!$F:$F,CNXL_SQL_2!$A:$A,'PAGE_1 (4)'!$R31,CNXL_SQL_2!$D:$D,'PAGE_1 (4)'!$S$33))</f>
        <v/>
      </c>
      <c r="I31" s="48">
        <f>IF(SUMIFS(CNXL_SQL_2!$F:$F,CNXL_SQL_2!$A:$A,'PAGE_1 (4)'!$R31,CNXL_SQL_2!$D:$D,'PAGE_1 (4)'!$S$34)=0,"",SUMIFS(CNXL_SQL_2!$F:$F,CNXL_SQL_2!$A:$A,'PAGE_1 (4)'!$R31,CNXL_SQL_2!$D:$D,'PAGE_1 (4)'!$S$34))</f>
        <v/>
      </c>
      <c r="J31" s="48">
        <f>IF(SUMIFS(CNXL_SQL_2!$F:$F,CNXL_SQL_2!$A:$A,'PAGE_1 (4)'!$R31,CNXL_SQL_2!$D:$D,'PAGE_1 (4)'!$S$35)=0,"",SUMIFS(CNXL_SQL_2!$F:$F,CNXL_SQL_2!$A:$A,'PAGE_1 (4)'!$R31,CNXL_SQL_2!$D:$D,'PAGE_1 (4)'!$S$35))</f>
        <v/>
      </c>
      <c r="K31" s="48">
        <f>IF(SUMIFS(CNXL_SQL_2!$F:$F,CNXL_SQL_2!$A:$A,'PAGE_1 (4)'!$R31,CNXL_SQL_2!$D:$D,'PAGE_1 (4)'!$S$36)=0,"",SUMIFS(CNXL_SQL_2!$F:$F,CNXL_SQL_2!$A:$A,'PAGE_1 (4)'!$R31,CNXL_SQL_2!$D:$D,'PAGE_1 (4)'!$S$36))</f>
        <v/>
      </c>
      <c r="L31" s="48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9" t="n"/>
      <c r="R31" s="60" t="inlineStr">
        <is>
          <t>AX</t>
        </is>
      </c>
      <c r="S31" s="85" t="inlineStr">
        <is>
          <t>FLIGHT OPERATIONS</t>
        </is>
      </c>
      <c r="T31" s="60" t="n"/>
      <c r="U31" s="60" t="n"/>
      <c r="V31" s="59" t="n"/>
      <c r="W31" s="60" t="n"/>
      <c r="X31" s="60" t="n"/>
    </row>
    <row r="32" ht="14.5" customHeight="1" s="286">
      <c r="B32" s="191" t="inlineStr">
        <is>
          <t>YX - Republic</t>
        </is>
      </c>
      <c r="C32" s="81">
        <f>SUMIF(SCH_DEP_SQL_4!$A:$A,'PAGE_1 (4)'!R32,SCH_DEP_SQL_4!$E:$E)</f>
        <v/>
      </c>
      <c r="D32" s="190">
        <f>IF(SUMIFS(CNXL_SQL_2!$F:$F,CNXL_SQL_2!$A:$A,'PAGE_1 (4)'!$R32,CNXL_SQL_2!$D:$D,'PAGE_1 (4)'!$S$29)=0,"",SUMIFS(CNXL_SQL_2!$F:$F,CNXL_SQL_2!$A:$A,'PAGE_1 (4)'!$R32,CNXL_SQL_2!$D:$D,'PAGE_1 (4)'!$S$29))</f>
        <v/>
      </c>
      <c r="E32" s="190">
        <f>IF(SUMIFS(CNXL_SQL_2!$F:$F,CNXL_SQL_2!$A:$A,'PAGE_1 (4)'!$R32,CNXL_SQL_2!$D:$D,'PAGE_1 (4)'!$S$30)=0,"",SUMIFS(CNXL_SQL_2!$F:$F,CNXL_SQL_2!$A:$A,'PAGE_1 (4)'!$R32,CNXL_SQL_2!$D:$D,'PAGE_1 (4)'!$S$30))</f>
        <v/>
      </c>
      <c r="F32" s="190">
        <f>IF(SUMIFS(CNXL_SQL_2!$F:$F,CNXL_SQL_2!$A:$A,'PAGE_1 (4)'!$R32,CNXL_SQL_2!$D:$D,'PAGE_1 (4)'!$S$31)=0,"",SUMIFS(CNXL_SQL_2!$F:$F,CNXL_SQL_2!$A:$A,'PAGE_1 (4)'!$R32,CNXL_SQL_2!$D:$D,'PAGE_1 (4)'!$S$31))</f>
        <v/>
      </c>
      <c r="G32" s="190">
        <f>IF(SUMIFS(CNXL_SQL_2!$F:$F,CNXL_SQL_2!$A:$A,'PAGE_1 (4)'!$R32,CNXL_SQL_2!$D:$D,'PAGE_1 (4)'!$S$32)=0,"",SUMIFS(CNXL_SQL_2!$F:$F,CNXL_SQL_2!$A:$A,'PAGE_1 (4)'!$R32,CNXL_SQL_2!$D:$D,'PAGE_1 (4)'!$S$32))</f>
        <v/>
      </c>
      <c r="H32" s="190">
        <f>IF(SUMIFS(CNXL_SQL_2!$F:$F,CNXL_SQL_2!$A:$A,'PAGE_1 (4)'!$R32,CNXL_SQL_2!$D:$D,'PAGE_1 (4)'!$S$33)=0,"",SUMIFS(CNXL_SQL_2!$F:$F,CNXL_SQL_2!$A:$A,'PAGE_1 (4)'!$R32,CNXL_SQL_2!$D:$D,'PAGE_1 (4)'!$S$33))</f>
        <v/>
      </c>
      <c r="I32" s="190">
        <f>IF(SUMIFS(CNXL_SQL_2!$F:$F,CNXL_SQL_2!$A:$A,'PAGE_1 (4)'!$R32,CNXL_SQL_2!$D:$D,'PAGE_1 (4)'!$S$34)=0,"",SUMIFS(CNXL_SQL_2!$F:$F,CNXL_SQL_2!$A:$A,'PAGE_1 (4)'!$R32,CNXL_SQL_2!$D:$D,'PAGE_1 (4)'!$S$34))</f>
        <v/>
      </c>
      <c r="J32" s="190">
        <f>IF(SUMIFS(CNXL_SQL_2!$F:$F,CNXL_SQL_2!$A:$A,'PAGE_1 (4)'!$R32,CNXL_SQL_2!$D:$D,'PAGE_1 (4)'!$S$35)=0,"",SUMIFS(CNXL_SQL_2!$F:$F,CNXL_SQL_2!$A:$A,'PAGE_1 (4)'!$R32,CNXL_SQL_2!$D:$D,'PAGE_1 (4)'!$S$35))</f>
        <v/>
      </c>
      <c r="K32" s="190">
        <f>IF(SUMIFS(CNXL_SQL_2!$F:$F,CNXL_SQL_2!$A:$A,'PAGE_1 (4)'!$R32,CNXL_SQL_2!$D:$D,'PAGE_1 (4)'!$S$36)=0,"",SUMIFS(CNXL_SQL_2!$F:$F,CNXL_SQL_2!$A:$A,'PAGE_1 (4)'!$R32,CNXL_SQL_2!$D:$D,'PAGE_1 (4)'!$S$36))</f>
        <v/>
      </c>
      <c r="L32" s="190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9" t="n"/>
      <c r="R32" s="60" t="inlineStr">
        <is>
          <t>YX</t>
        </is>
      </c>
      <c r="S32" s="85" t="inlineStr">
        <is>
          <t>INFLIGHT SERVICES</t>
        </is>
      </c>
      <c r="T32" s="60" t="n"/>
      <c r="U32" s="60" t="n"/>
      <c r="V32" s="59" t="n"/>
      <c r="W32" s="60" t="n"/>
      <c r="X32" s="60" t="n"/>
    </row>
    <row r="33" ht="14.5" customHeight="1" s="286">
      <c r="B33" s="66" t="inlineStr">
        <is>
          <t>G7 - Go Jet</t>
        </is>
      </c>
      <c r="C33" s="80">
        <f>SUMIF(SCH_DEP_SQL_4!$A:$A,'PAGE_1 (4)'!R33,SCH_DEP_SQL_4!$E:$E)</f>
        <v/>
      </c>
      <c r="D33" s="48">
        <f>IF(SUMIFS(CNXL_SQL_2!$F:$F,CNXL_SQL_2!$A:$A,'PAGE_1 (4)'!$R33,CNXL_SQL_2!$D:$D,'PAGE_1 (4)'!$S$29)=0,"",SUMIFS(CNXL_SQL_2!$F:$F,CNXL_SQL_2!$A:$A,'PAGE_1 (4)'!$R33,CNXL_SQL_2!$D:$D,'PAGE_1 (4)'!$S$29))</f>
        <v/>
      </c>
      <c r="E33" s="48">
        <f>IF(SUMIFS(CNXL_SQL_2!$F:$F,CNXL_SQL_2!$A:$A,'PAGE_1 (4)'!$R33,CNXL_SQL_2!$D:$D,'PAGE_1 (4)'!$S$30)=0,"",SUMIFS(CNXL_SQL_2!$F:$F,CNXL_SQL_2!$A:$A,'PAGE_1 (4)'!$R33,CNXL_SQL_2!$D:$D,'PAGE_1 (4)'!$S$30))</f>
        <v/>
      </c>
      <c r="F33" s="48">
        <f>IF(SUMIFS(CNXL_SQL_2!$F:$F,CNXL_SQL_2!$A:$A,'PAGE_1 (4)'!$R33,CNXL_SQL_2!$D:$D,'PAGE_1 (4)'!$S$31)=0,"",SUMIFS(CNXL_SQL_2!$F:$F,CNXL_SQL_2!$A:$A,'PAGE_1 (4)'!$R33,CNXL_SQL_2!$D:$D,'PAGE_1 (4)'!$S$31))</f>
        <v/>
      </c>
      <c r="G33" s="48">
        <f>IF(SUMIFS(CNXL_SQL_2!$F:$F,CNXL_SQL_2!$A:$A,'PAGE_1 (4)'!$R33,CNXL_SQL_2!$D:$D,'PAGE_1 (4)'!$S$32)=0,"",SUMIFS(CNXL_SQL_2!$F:$F,CNXL_SQL_2!$A:$A,'PAGE_1 (4)'!$R33,CNXL_SQL_2!$D:$D,'PAGE_1 (4)'!$S$32))</f>
        <v/>
      </c>
      <c r="H33" s="48">
        <f>IF(SUMIFS(CNXL_SQL_2!$F:$F,CNXL_SQL_2!$A:$A,'PAGE_1 (4)'!$R33,CNXL_SQL_2!$D:$D,'PAGE_1 (4)'!$S$33)=0,"",SUMIFS(CNXL_SQL_2!$F:$F,CNXL_SQL_2!$A:$A,'PAGE_1 (4)'!$R33,CNXL_SQL_2!$D:$D,'PAGE_1 (4)'!$S$33))</f>
        <v/>
      </c>
      <c r="I33" s="48">
        <f>IF(SUMIFS(CNXL_SQL_2!$F:$F,CNXL_SQL_2!$A:$A,'PAGE_1 (4)'!$R33,CNXL_SQL_2!$D:$D,'PAGE_1 (4)'!$S$34)=0,"",SUMIFS(CNXL_SQL_2!$F:$F,CNXL_SQL_2!$A:$A,'PAGE_1 (4)'!$R33,CNXL_SQL_2!$D:$D,'PAGE_1 (4)'!$S$34))</f>
        <v/>
      </c>
      <c r="J33" s="48">
        <f>IF(SUMIFS(CNXL_SQL_2!$F:$F,CNXL_SQL_2!$A:$A,'PAGE_1 (4)'!$R33,CNXL_SQL_2!$D:$D,'PAGE_1 (4)'!$S$35)=0,"",SUMIFS(CNXL_SQL_2!$F:$F,CNXL_SQL_2!$A:$A,'PAGE_1 (4)'!$R33,CNXL_SQL_2!$D:$D,'PAGE_1 (4)'!$S$35))</f>
        <v/>
      </c>
      <c r="K33" s="48">
        <f>IF(SUMIFS(CNXL_SQL_2!$F:$F,CNXL_SQL_2!$A:$A,'PAGE_1 (4)'!$R33,CNXL_SQL_2!$D:$D,'PAGE_1 (4)'!$S$36)=0,"",SUMIFS(CNXL_SQL_2!$F:$F,CNXL_SQL_2!$A:$A,'PAGE_1 (4)'!$R33,CNXL_SQL_2!$D:$D,'PAGE_1 (4)'!$S$36))</f>
        <v/>
      </c>
      <c r="L33" s="48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9" t="n"/>
      <c r="R33" s="60" t="inlineStr">
        <is>
          <t>G7</t>
        </is>
      </c>
      <c r="S33" s="85" t="inlineStr">
        <is>
          <t>AIRPORT OPERATIONS</t>
        </is>
      </c>
      <c r="T33" s="60" t="n"/>
      <c r="U33" s="60" t="n"/>
      <c r="V33" s="59" t="n"/>
      <c r="W33" s="60" t="n"/>
      <c r="X33" s="60" t="n"/>
    </row>
    <row r="34" ht="14.5" customHeight="1" s="286">
      <c r="B34" s="191" t="inlineStr">
        <is>
          <t>C5 - CommutAir</t>
        </is>
      </c>
      <c r="C34" s="81">
        <f>SUMIF(SCH_DEP_SQL_4!$A:$A,'PAGE_1 (4)'!R34,SCH_DEP_SQL_4!$E:$E)</f>
        <v/>
      </c>
      <c r="D34" s="190">
        <f>IF(SUMIFS(CNXL_SQL_2!$F:$F,CNXL_SQL_2!$A:$A,'PAGE_1 (4)'!$R34,CNXL_SQL_2!$D:$D,'PAGE_1 (4)'!$S$29)=0,"",SUMIFS(CNXL_SQL_2!$F:$F,CNXL_SQL_2!$A:$A,'PAGE_1 (4)'!$R34,CNXL_SQL_2!$D:$D,'PAGE_1 (4)'!$S$29))</f>
        <v/>
      </c>
      <c r="E34" s="190">
        <f>IF(SUMIFS(CNXL_SQL_2!$F:$F,CNXL_SQL_2!$A:$A,'PAGE_1 (4)'!$R34,CNXL_SQL_2!$D:$D,'PAGE_1 (4)'!$S$30)=0,"",SUMIFS(CNXL_SQL_2!$F:$F,CNXL_SQL_2!$A:$A,'PAGE_1 (4)'!$R34,CNXL_SQL_2!$D:$D,'PAGE_1 (4)'!$S$30))</f>
        <v/>
      </c>
      <c r="F34" s="190">
        <f>IF(SUMIFS(CNXL_SQL_2!$F:$F,CNXL_SQL_2!$A:$A,'PAGE_1 (4)'!$R34,CNXL_SQL_2!$D:$D,'PAGE_1 (4)'!$S$31)=0,"",SUMIFS(CNXL_SQL_2!$F:$F,CNXL_SQL_2!$A:$A,'PAGE_1 (4)'!$R34,CNXL_SQL_2!$D:$D,'PAGE_1 (4)'!$S$31))</f>
        <v/>
      </c>
      <c r="G34" s="190">
        <f>IF(SUMIFS(CNXL_SQL_2!$F:$F,CNXL_SQL_2!$A:$A,'PAGE_1 (4)'!$R34,CNXL_SQL_2!$D:$D,'PAGE_1 (4)'!$S$32)=0,"",SUMIFS(CNXL_SQL_2!$F:$F,CNXL_SQL_2!$A:$A,'PAGE_1 (4)'!$R34,CNXL_SQL_2!$D:$D,'PAGE_1 (4)'!$S$32))</f>
        <v/>
      </c>
      <c r="H34" s="190">
        <f>IF(SUMIFS(CNXL_SQL_2!$F:$F,CNXL_SQL_2!$A:$A,'PAGE_1 (4)'!$R34,CNXL_SQL_2!$D:$D,'PAGE_1 (4)'!$S$33)=0,"",SUMIFS(CNXL_SQL_2!$F:$F,CNXL_SQL_2!$A:$A,'PAGE_1 (4)'!$R34,CNXL_SQL_2!$D:$D,'PAGE_1 (4)'!$S$33))</f>
        <v/>
      </c>
      <c r="I34" s="190">
        <f>IF(SUMIFS(CNXL_SQL_2!$F:$F,CNXL_SQL_2!$A:$A,'PAGE_1 (4)'!$R34,CNXL_SQL_2!$D:$D,'PAGE_1 (4)'!$S$34)=0,"",SUMIFS(CNXL_SQL_2!$F:$F,CNXL_SQL_2!$A:$A,'PAGE_1 (4)'!$R34,CNXL_SQL_2!$D:$D,'PAGE_1 (4)'!$S$34))</f>
        <v/>
      </c>
      <c r="J34" s="190">
        <f>IF(SUMIFS(CNXL_SQL_2!$F:$F,CNXL_SQL_2!$A:$A,'PAGE_1 (4)'!$R34,CNXL_SQL_2!$D:$D,'PAGE_1 (4)'!$S$35)=0,"",SUMIFS(CNXL_SQL_2!$F:$F,CNXL_SQL_2!$A:$A,'PAGE_1 (4)'!$R34,CNXL_SQL_2!$D:$D,'PAGE_1 (4)'!$S$35))</f>
        <v/>
      </c>
      <c r="K34" s="190">
        <f>IF(SUMIFS(CNXL_SQL_2!$F:$F,CNXL_SQL_2!$A:$A,'PAGE_1 (4)'!$R34,CNXL_SQL_2!$D:$D,'PAGE_1 (4)'!$S$36)=0,"",SUMIFS(CNXL_SQL_2!$F:$F,CNXL_SQL_2!$A:$A,'PAGE_1 (4)'!$R34,CNXL_SQL_2!$D:$D,'PAGE_1 (4)'!$S$36))</f>
        <v/>
      </c>
      <c r="L34" s="190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9" t="n"/>
      <c r="R34" s="60" t="inlineStr">
        <is>
          <t>C5</t>
        </is>
      </c>
      <c r="S34" s="85" t="inlineStr">
        <is>
          <t>NETWORK OPERATIONS CENTER</t>
        </is>
      </c>
      <c r="T34" s="60" t="n"/>
      <c r="U34" s="60" t="n"/>
      <c r="V34" s="59" t="n"/>
      <c r="W34" s="60" t="n"/>
      <c r="X34" s="60" t="n"/>
    </row>
    <row r="35" ht="14.5" customHeight="1" s="286">
      <c r="B35" s="66" t="inlineStr">
        <is>
          <t>YV - Mesa</t>
        </is>
      </c>
      <c r="C35" s="80">
        <f>SUMIF(SCH_DEP_SQL_4!$A:$A,'PAGE_1 (4)'!R35,SCH_DEP_SQL_4!$E:$E)</f>
        <v/>
      </c>
      <c r="D35" s="48">
        <f>IF(SUMIFS(CNXL_SQL_2!$F:$F,CNXL_SQL_2!$A:$A,'PAGE_1 (4)'!$R35,CNXL_SQL_2!$D:$D,'PAGE_1 (4)'!$S$29)=0,"",SUMIFS(CNXL_SQL_2!$F:$F,CNXL_SQL_2!$A:$A,'PAGE_1 (4)'!$R35,CNXL_SQL_2!$D:$D,'PAGE_1 (4)'!$S$29))</f>
        <v/>
      </c>
      <c r="E35" s="48">
        <f>IF(SUMIFS(CNXL_SQL_2!$F:$F,CNXL_SQL_2!$A:$A,'PAGE_1 (4)'!$R35,CNXL_SQL_2!$D:$D,'PAGE_1 (4)'!$S$30)=0,"",SUMIFS(CNXL_SQL_2!$F:$F,CNXL_SQL_2!$A:$A,'PAGE_1 (4)'!$R35,CNXL_SQL_2!$D:$D,'PAGE_1 (4)'!$S$30))</f>
        <v/>
      </c>
      <c r="F35" s="48">
        <f>IF(SUMIFS(CNXL_SQL_2!$F:$F,CNXL_SQL_2!$A:$A,'PAGE_1 (4)'!$R35,CNXL_SQL_2!$D:$D,'PAGE_1 (4)'!$S$31)=0,"",SUMIFS(CNXL_SQL_2!$F:$F,CNXL_SQL_2!$A:$A,'PAGE_1 (4)'!$R35,CNXL_SQL_2!$D:$D,'PAGE_1 (4)'!$S$31))</f>
        <v/>
      </c>
      <c r="G35" s="48">
        <f>IF(SUMIFS(CNXL_SQL_2!$F:$F,CNXL_SQL_2!$A:$A,'PAGE_1 (4)'!$R35,CNXL_SQL_2!$D:$D,'PAGE_1 (4)'!$S$32)=0,"",SUMIFS(CNXL_SQL_2!$F:$F,CNXL_SQL_2!$A:$A,'PAGE_1 (4)'!$R35,CNXL_SQL_2!$D:$D,'PAGE_1 (4)'!$S$32))</f>
        <v/>
      </c>
      <c r="H35" s="48">
        <f>IF(SUMIFS(CNXL_SQL_2!$F:$F,CNXL_SQL_2!$A:$A,'PAGE_1 (4)'!$R35,CNXL_SQL_2!$D:$D,'PAGE_1 (4)'!$S$33)=0,"",SUMIFS(CNXL_SQL_2!$F:$F,CNXL_SQL_2!$A:$A,'PAGE_1 (4)'!$R35,CNXL_SQL_2!$D:$D,'PAGE_1 (4)'!$S$33))</f>
        <v/>
      </c>
      <c r="I35" s="48">
        <f>IF(SUMIFS(CNXL_SQL_2!$F:$F,CNXL_SQL_2!$A:$A,'PAGE_1 (4)'!$R35,CNXL_SQL_2!$D:$D,'PAGE_1 (4)'!$S$34)=0,"",SUMIFS(CNXL_SQL_2!$F:$F,CNXL_SQL_2!$A:$A,'PAGE_1 (4)'!$R35,CNXL_SQL_2!$D:$D,'PAGE_1 (4)'!$S$34))</f>
        <v/>
      </c>
      <c r="J35" s="48">
        <f>IF(SUMIFS(CNXL_SQL_2!$F:$F,CNXL_SQL_2!$A:$A,'PAGE_1 (4)'!$R35,CNXL_SQL_2!$D:$D,'PAGE_1 (4)'!$S$35)=0,"",SUMIFS(CNXL_SQL_2!$F:$F,CNXL_SQL_2!$A:$A,'PAGE_1 (4)'!$R35,CNXL_SQL_2!$D:$D,'PAGE_1 (4)'!$S$35))</f>
        <v/>
      </c>
      <c r="K35" s="48">
        <f>IF(SUMIFS(CNXL_SQL_2!$F:$F,CNXL_SQL_2!$A:$A,'PAGE_1 (4)'!$R35,CNXL_SQL_2!$D:$D,'PAGE_1 (4)'!$S$36)=0,"",SUMIFS(CNXL_SQL_2!$F:$F,CNXL_SQL_2!$A:$A,'PAGE_1 (4)'!$R35,CNXL_SQL_2!$D:$D,'PAGE_1 (4)'!$S$36))</f>
        <v/>
      </c>
      <c r="L35" s="48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9" t="n"/>
      <c r="R35" s="60" t="inlineStr">
        <is>
          <t>YV</t>
        </is>
      </c>
      <c r="S35" s="85" t="inlineStr">
        <is>
          <t>TECHNOLOGY</t>
        </is>
      </c>
      <c r="T35" s="60" t="n"/>
      <c r="U35" s="60" t="n"/>
      <c r="V35" s="59" t="n"/>
      <c r="W35" s="60" t="n"/>
      <c r="X35" s="60" t="n"/>
    </row>
    <row r="36" ht="15" customHeight="1" s="286" thickBot="1">
      <c r="B36" s="191" t="inlineStr">
        <is>
          <t>ZW - Air Wisconsin</t>
        </is>
      </c>
      <c r="C36" s="81">
        <f>SUMIF(SCH_DEP_SQL_4!$A:$A,'PAGE_1 (4)'!R36,SCH_DEP_SQL_4!$E:$E)</f>
        <v/>
      </c>
      <c r="D36" s="190">
        <f>IF(SUMIFS(CNXL_SQL_2!$F:$F,CNXL_SQL_2!$A:$A,'PAGE_1 (4)'!$R36,CNXL_SQL_2!$D:$D,'PAGE_1 (4)'!$S$29)=0,"",SUMIFS(CNXL_SQL_2!$F:$F,CNXL_SQL_2!$A:$A,'PAGE_1 (4)'!$R36,CNXL_SQL_2!$D:$D,'PAGE_1 (4)'!$S$29))</f>
        <v/>
      </c>
      <c r="E36" s="190">
        <f>IF(SUMIFS(CNXL_SQL_2!$F:$F,CNXL_SQL_2!$A:$A,'PAGE_1 (4)'!$R36,CNXL_SQL_2!$D:$D,'PAGE_1 (4)'!$S$30)=0,"",SUMIFS(CNXL_SQL_2!$F:$F,CNXL_SQL_2!$A:$A,'PAGE_1 (4)'!$R36,CNXL_SQL_2!$D:$D,'PAGE_1 (4)'!$S$30))</f>
        <v/>
      </c>
      <c r="F36" s="190">
        <f>IF(SUMIFS(CNXL_SQL_2!$F:$F,CNXL_SQL_2!$A:$A,'PAGE_1 (4)'!$R36,CNXL_SQL_2!$D:$D,'PAGE_1 (4)'!$S$31)=0,"",SUMIFS(CNXL_SQL_2!$F:$F,CNXL_SQL_2!$A:$A,'PAGE_1 (4)'!$R36,CNXL_SQL_2!$D:$D,'PAGE_1 (4)'!$S$31))</f>
        <v/>
      </c>
      <c r="G36" s="190">
        <f>IF(SUMIFS(CNXL_SQL_2!$F:$F,CNXL_SQL_2!$A:$A,'PAGE_1 (4)'!$R36,CNXL_SQL_2!$D:$D,'PAGE_1 (4)'!$S$32)=0,"",SUMIFS(CNXL_SQL_2!$F:$F,CNXL_SQL_2!$A:$A,'PAGE_1 (4)'!$R36,CNXL_SQL_2!$D:$D,'PAGE_1 (4)'!$S$32))</f>
        <v/>
      </c>
      <c r="H36" s="190">
        <f>IF(SUMIFS(CNXL_SQL_2!$F:$F,CNXL_SQL_2!$A:$A,'PAGE_1 (4)'!$R36,CNXL_SQL_2!$D:$D,'PAGE_1 (4)'!$S$33)=0,"",SUMIFS(CNXL_SQL_2!$F:$F,CNXL_SQL_2!$A:$A,'PAGE_1 (4)'!$R36,CNXL_SQL_2!$D:$D,'PAGE_1 (4)'!$S$33))</f>
        <v/>
      </c>
      <c r="I36" s="190">
        <f>IF(SUMIFS(CNXL_SQL_2!$F:$F,CNXL_SQL_2!$A:$A,'PAGE_1 (4)'!$R36,CNXL_SQL_2!$D:$D,'PAGE_1 (4)'!$S$34)=0,"",SUMIFS(CNXL_SQL_2!$F:$F,CNXL_SQL_2!$A:$A,'PAGE_1 (4)'!$R36,CNXL_SQL_2!$D:$D,'PAGE_1 (4)'!$S$34))</f>
        <v/>
      </c>
      <c r="J36" s="190">
        <f>IF(SUMIFS(CNXL_SQL_2!$F:$F,CNXL_SQL_2!$A:$A,'PAGE_1 (4)'!$R36,CNXL_SQL_2!$D:$D,'PAGE_1 (4)'!$S$35)=0,"",SUMIFS(CNXL_SQL_2!$F:$F,CNXL_SQL_2!$A:$A,'PAGE_1 (4)'!$R36,CNXL_SQL_2!$D:$D,'PAGE_1 (4)'!$S$35))</f>
        <v/>
      </c>
      <c r="K36" s="190">
        <f>IF(SUMIFS(CNXL_SQL_2!$F:$F,CNXL_SQL_2!$A:$A,'PAGE_1 (4)'!$R36,CNXL_SQL_2!$D:$D,'PAGE_1 (4)'!$S$36)=0,"",SUMIFS(CNXL_SQL_2!$F:$F,CNXL_SQL_2!$A:$A,'PAGE_1 (4)'!$R36,CNXL_SQL_2!$D:$D,'PAGE_1 (4)'!$S$36))</f>
        <v/>
      </c>
      <c r="L36" s="190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9" t="n"/>
      <c r="R36" s="60" t="inlineStr">
        <is>
          <t>ZW</t>
        </is>
      </c>
      <c r="S36" s="85" t="inlineStr">
        <is>
          <t>CATERING OPERATIONS</t>
        </is>
      </c>
      <c r="T36" s="60" t="n"/>
      <c r="U36" s="60" t="n"/>
      <c r="V36" s="59" t="n"/>
      <c r="W36" s="60" t="n"/>
      <c r="X36" s="60" t="n"/>
    </row>
    <row r="37" ht="15" customHeight="1" s="286" thickBot="1">
      <c r="B37" s="68" t="inlineStr">
        <is>
          <t>Total:</t>
        </is>
      </c>
      <c r="C37" s="82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9" t="n"/>
      <c r="R37" s="60" t="n"/>
      <c r="S37" s="85" t="inlineStr">
        <is>
          <t>OTHER</t>
        </is>
      </c>
      <c r="T37" s="60" t="n"/>
      <c r="U37" s="60" t="n"/>
      <c r="V37" s="59" t="n"/>
      <c r="W37" s="60" t="n"/>
      <c r="X37" s="60" t="n"/>
    </row>
    <row r="38" ht="9.4" customHeight="1" s="286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9" t="n"/>
      <c r="R38" s="60" t="n"/>
      <c r="S38" s="60" t="n"/>
      <c r="T38" s="60" t="n"/>
      <c r="U38" s="60" t="n"/>
      <c r="V38" s="59" t="n"/>
      <c r="W38" s="60" t="n"/>
      <c r="X38" s="60" t="n"/>
    </row>
    <row r="39" ht="9.4" customHeight="1" s="286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9" t="n"/>
      <c r="R39" s="60" t="n"/>
      <c r="S39" s="60" t="n"/>
      <c r="T39" s="60" t="n"/>
      <c r="U39" s="60" t="n"/>
      <c r="V39" s="59" t="n"/>
      <c r="W39" s="60" t="n"/>
      <c r="X39" s="60" t="n"/>
    </row>
    <row r="40" ht="9.4" customHeight="1" s="286" thickBot="1">
      <c r="Q40" s="59" t="n"/>
      <c r="R40" s="60" t="n"/>
      <c r="S40" s="60" t="n"/>
      <c r="T40" s="60" t="n"/>
      <c r="U40" s="60" t="n"/>
      <c r="V40" s="59" t="n"/>
      <c r="W40" s="60" t="n"/>
      <c r="X40" s="60" t="n"/>
    </row>
    <row r="41" ht="16" customHeight="1" s="286" thickBot="1">
      <c r="B41" s="316" t="inlineStr">
        <is>
          <t>Residual Cancel Detail</t>
        </is>
      </c>
      <c r="C41" s="351" t="n"/>
      <c r="D41" s="351" t="n"/>
      <c r="E41" s="351" t="n"/>
      <c r="F41" s="351" t="n"/>
      <c r="G41" s="351" t="n"/>
      <c r="H41" s="351" t="n"/>
      <c r="I41" s="351" t="n"/>
      <c r="J41" s="351" t="n"/>
      <c r="K41" s="351" t="n"/>
      <c r="L41" s="351" t="n"/>
      <c r="M41" s="351" t="n"/>
      <c r="N41" s="351" t="n"/>
      <c r="O41" s="351" t="n"/>
      <c r="P41" s="351" t="n"/>
      <c r="Q41" s="59" t="n"/>
      <c r="R41" s="60" t="n"/>
      <c r="S41" s="60" t="n"/>
      <c r="T41" s="60" t="n"/>
      <c r="U41" s="60" t="n"/>
      <c r="V41" s="59" t="n"/>
      <c r="W41" s="60" t="n"/>
      <c r="X41" s="60" t="n"/>
    </row>
    <row r="42" ht="30.65" customHeight="1" s="286" thickBot="1">
      <c r="B42" s="70" t="inlineStr">
        <is>
          <t>Express Partner</t>
        </is>
      </c>
      <c r="C42" s="71" t="inlineStr">
        <is>
          <t>Scheduled Departures</t>
        </is>
      </c>
      <c r="D42" s="72" t="inlineStr">
        <is>
          <t>Weather &amp; ATC</t>
        </is>
      </c>
      <c r="E42" s="72" t="inlineStr">
        <is>
          <t>Technical Operations</t>
        </is>
      </c>
      <c r="F42" s="72" t="inlineStr">
        <is>
          <t>Flight Operations</t>
        </is>
      </c>
      <c r="G42" s="72" t="inlineStr">
        <is>
          <t>Inflight Services</t>
        </is>
      </c>
      <c r="H42" s="72" t="inlineStr">
        <is>
          <t>Airport Operations</t>
        </is>
      </c>
      <c r="I42" s="72" t="inlineStr">
        <is>
          <t>Network Operations</t>
        </is>
      </c>
      <c r="J42" s="72" t="inlineStr">
        <is>
          <t>IT</t>
        </is>
      </c>
      <c r="K42" s="72" t="inlineStr">
        <is>
          <t>Catering Operations</t>
        </is>
      </c>
      <c r="L42" s="72" t="inlineStr">
        <is>
          <t>Other</t>
        </is>
      </c>
      <c r="M42" s="73" t="inlineStr">
        <is>
          <t>Total Cancels</t>
        </is>
      </c>
      <c r="N42" s="74" t="inlineStr">
        <is>
          <t>ES covered for this partner</t>
        </is>
      </c>
      <c r="O42" s="74" t="inlineStr">
        <is>
          <t>Net Cancel</t>
        </is>
      </c>
      <c r="P42" s="74" t="inlineStr">
        <is>
          <t>ES covered by this partner</t>
        </is>
      </c>
      <c r="Q42" s="59" t="n"/>
      <c r="R42" s="59" t="n"/>
      <c r="S42" s="59" t="n"/>
      <c r="T42" s="59" t="n"/>
      <c r="U42" s="59" t="n"/>
      <c r="V42" s="59" t="n"/>
      <c r="W42" s="60" t="n"/>
      <c r="X42" s="60" t="n"/>
    </row>
    <row r="43" ht="13" customHeight="1" s="286">
      <c r="B43" s="66" t="inlineStr">
        <is>
          <t>EV - ExpressJet</t>
        </is>
      </c>
      <c r="C43" s="80">
        <f>SUMIF(SCH_DEP_SQL_4!$A:$A,'PAGE_1 (4)'!R29,SCH_DEP_SQL_4!$E:$E)</f>
        <v/>
      </c>
      <c r="D43" s="48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48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48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48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48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48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48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48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48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60" t="n"/>
      <c r="R43" s="60" t="n"/>
      <c r="S43" s="60" t="n"/>
      <c r="T43" s="60" t="n"/>
      <c r="U43" s="60" t="n"/>
      <c r="V43" s="60" t="n"/>
      <c r="W43" s="60" t="n"/>
      <c r="X43" s="60" t="n"/>
    </row>
    <row r="44" ht="13" customHeight="1" s="286">
      <c r="B44" s="191" t="inlineStr">
        <is>
          <t>OO - SkyWest</t>
        </is>
      </c>
      <c r="C44" s="81">
        <f>SUMIF(SCH_DEP_SQL_4!$A:$A,'PAGE_1 (4)'!R30,SCH_DEP_SQL_4!$E:$E)</f>
        <v/>
      </c>
      <c r="D44" s="190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90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90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90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90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90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90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90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90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3" customHeight="1" s="286">
      <c r="B45" s="66" t="inlineStr">
        <is>
          <t>AX - Trans States</t>
        </is>
      </c>
      <c r="C45" s="80">
        <f>SUMIF(SCH_DEP_SQL_4!$A:$A,'PAGE_1 (4)'!R31,SCH_DEP_SQL_4!$E:$E)</f>
        <v/>
      </c>
      <c r="D45" s="48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48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48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48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48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48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48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48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48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3" customHeight="1" s="286">
      <c r="B46" s="191" t="inlineStr">
        <is>
          <t>YX - Republic</t>
        </is>
      </c>
      <c r="C46" s="81">
        <f>SUMIF(SCH_DEP_SQL_4!$A:$A,'PAGE_1 (4)'!R32,SCH_DEP_SQL_4!$E:$E)</f>
        <v/>
      </c>
      <c r="D46" s="190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90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90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90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90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90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90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90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90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3" customHeight="1" s="286">
      <c r="B47" s="66" t="inlineStr">
        <is>
          <t>G7 - Go Jet</t>
        </is>
      </c>
      <c r="C47" s="80">
        <f>SUMIF(SCH_DEP_SQL_4!$A:$A,'PAGE_1 (4)'!R33,SCH_DEP_SQL_4!$E:$E)</f>
        <v/>
      </c>
      <c r="D47" s="48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48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48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48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48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48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48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48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48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3" customHeight="1" s="286">
      <c r="B48" s="191" t="inlineStr">
        <is>
          <t>C5 - CommutAir</t>
        </is>
      </c>
      <c r="C48" s="81">
        <f>SUMIF(SCH_DEP_SQL_4!$A:$A,'PAGE_1 (4)'!R34,SCH_DEP_SQL_4!$E:$E)</f>
        <v/>
      </c>
      <c r="D48" s="190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90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90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90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90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90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90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90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90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3" customHeight="1" s="286">
      <c r="B49" s="66" t="inlineStr">
        <is>
          <t>YV - Mesa</t>
        </is>
      </c>
      <c r="C49" s="80">
        <f>SUMIF(SCH_DEP_SQL_4!$A:$A,'PAGE_1 (4)'!R35,SCH_DEP_SQL_4!$E:$E)</f>
        <v/>
      </c>
      <c r="D49" s="48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48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48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48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48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48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48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48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48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s="286" thickBot="1">
      <c r="B50" s="191" t="inlineStr">
        <is>
          <t>ZW - Air Wisconsin</t>
        </is>
      </c>
      <c r="C50" s="81">
        <f>SUMIF(SCH_DEP_SQL_4!$A:$A,'PAGE_1 (4)'!R36,SCH_DEP_SQL_4!$E:$E)</f>
        <v/>
      </c>
      <c r="D50" s="190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90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90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90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90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90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90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90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90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s="286" thickBot="1">
      <c r="B51" s="68" t="inlineStr">
        <is>
          <t>Total:</t>
        </is>
      </c>
      <c r="C51" s="82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 s="286">
      <c r="C52" s="69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2"/>
  </conditionalFormatting>
  <conditionalFormatting sqref="E29:E36">
    <cfRule type="top10" rank="1" priority="72" dxfId="2"/>
  </conditionalFormatting>
  <conditionalFormatting sqref="F29:F36">
    <cfRule type="top10" rank="1" priority="71" dxfId="2"/>
  </conditionalFormatting>
  <conditionalFormatting sqref="G29:G36">
    <cfRule type="top10" rank="1" priority="70" dxfId="2"/>
  </conditionalFormatting>
  <conditionalFormatting sqref="H29:H36">
    <cfRule type="top10" rank="1" priority="69" dxfId="2"/>
  </conditionalFormatting>
  <conditionalFormatting sqref="I29:I36">
    <cfRule type="top10" rank="1" priority="68" dxfId="2"/>
  </conditionalFormatting>
  <conditionalFormatting sqref="J29:J36">
    <cfRule type="top10" rank="1" priority="67" dxfId="2"/>
  </conditionalFormatting>
  <conditionalFormatting sqref="K29:K36">
    <cfRule type="top10" rank="1" priority="66" dxfId="2"/>
  </conditionalFormatting>
  <conditionalFormatting sqref="L29:L36">
    <cfRule type="top10" rank="1" priority="65" dxfId="2"/>
  </conditionalFormatting>
  <conditionalFormatting sqref="D43:D50">
    <cfRule type="top10" rank="1" priority="64" dxfId="2"/>
  </conditionalFormatting>
  <conditionalFormatting sqref="E43:E50">
    <cfRule type="top10" rank="1" priority="63" dxfId="2"/>
  </conditionalFormatting>
  <conditionalFormatting sqref="F43:F50">
    <cfRule type="top10" rank="1" priority="62" dxfId="2"/>
  </conditionalFormatting>
  <conditionalFormatting sqref="G43:G50">
    <cfRule type="top10" rank="1" priority="61" dxfId="2"/>
  </conditionalFormatting>
  <conditionalFormatting sqref="H43:H50">
    <cfRule type="top10" rank="1" priority="60" dxfId="2"/>
  </conditionalFormatting>
  <conditionalFormatting sqref="I43:I50">
    <cfRule type="top10" rank="1" priority="59" dxfId="2"/>
  </conditionalFormatting>
  <conditionalFormatting sqref="J43:J50">
    <cfRule type="top10" rank="1" priority="58" dxfId="2"/>
  </conditionalFormatting>
  <conditionalFormatting sqref="K43:K50">
    <cfRule type="top10" rank="1" priority="57" dxfId="2"/>
  </conditionalFormatting>
  <conditionalFormatting sqref="L43:L50">
    <cfRule type="top10" rank="1" priority="56" dxfId="2"/>
  </conditionalFormatting>
  <conditionalFormatting sqref="F6">
    <cfRule type="cellIs" priority="53" operator="greaterThan" dxfId="70">
      <formula>0</formula>
    </cfRule>
    <cfRule type="cellIs" priority="55" operator="lessThan" dxfId="0">
      <formula>0</formula>
    </cfRule>
  </conditionalFormatting>
  <conditionalFormatting sqref="F7">
    <cfRule type="cellIs" priority="54" operator="lessThan" dxfId="0">
      <formula>0</formula>
    </cfRule>
  </conditionalFormatting>
  <conditionalFormatting sqref="G6">
    <cfRule type="cellIs" priority="51" operator="greaterThan" dxfId="121">
      <formula>0</formula>
    </cfRule>
    <cfRule type="cellIs" priority="52" operator="lessThan" dxfId="0">
      <formula>0</formula>
    </cfRule>
  </conditionalFormatting>
  <conditionalFormatting sqref="G7">
    <cfRule type="cellIs" priority="48" operator="greaterThan" dxfId="71">
      <formula>0</formula>
    </cfRule>
    <cfRule type="cellIs" priority="49" operator="greaterThan" dxfId="70">
      <formula>0</formula>
    </cfRule>
    <cfRule type="cellIs" priority="50" operator="lessThan" dxfId="0">
      <formula>0</formula>
    </cfRule>
  </conditionalFormatting>
  <conditionalFormatting sqref="G8">
    <cfRule type="cellIs" priority="45" operator="greaterThan" dxfId="71">
      <formula>0</formula>
    </cfRule>
    <cfRule type="cellIs" priority="46" operator="greaterThan" dxfId="70">
      <formula>0</formula>
    </cfRule>
    <cfRule type="cellIs" priority="47" operator="lessThan" dxfId="0">
      <formula>0</formula>
    </cfRule>
  </conditionalFormatting>
  <conditionalFormatting sqref="F8">
    <cfRule type="cellIs" priority="42" operator="greaterThan" dxfId="71">
      <formula>0</formula>
    </cfRule>
    <cfRule type="cellIs" priority="43" operator="greaterThan" dxfId="70">
      <formula>0</formula>
    </cfRule>
    <cfRule type="cellIs" priority="44" operator="lessThan" dxfId="0">
      <formula>0</formula>
    </cfRule>
  </conditionalFormatting>
  <conditionalFormatting sqref="E19:E22">
    <cfRule type="cellIs" priority="31" operator="greaterThan" dxfId="121">
      <formula>0</formula>
    </cfRule>
    <cfRule type="cellIs" priority="32" operator="lessThan" dxfId="0">
      <formula>0</formula>
    </cfRule>
  </conditionalFormatting>
  <conditionalFormatting sqref="I19">
    <cfRule type="cellIs" priority="17" operator="greaterThan" dxfId="121">
      <formula>0</formula>
    </cfRule>
    <cfRule type="cellIs" priority="18" operator="lessThan" dxfId="0">
      <formula>0</formula>
    </cfRule>
  </conditionalFormatting>
  <conditionalFormatting sqref="I20">
    <cfRule type="cellIs" priority="15" operator="greaterThan" dxfId="121">
      <formula>0</formula>
    </cfRule>
    <cfRule type="cellIs" priority="16" operator="lessThan" dxfId="0">
      <formula>0</formula>
    </cfRule>
  </conditionalFormatting>
  <conditionalFormatting sqref="J19">
    <cfRule type="cellIs" priority="13" operator="greaterThan" dxfId="121">
      <formula>0</formula>
    </cfRule>
    <cfRule type="cellIs" priority="14" operator="lessThan" dxfId="0">
      <formula>0</formula>
    </cfRule>
  </conditionalFormatting>
  <conditionalFormatting sqref="J20">
    <cfRule type="cellIs" priority="11" operator="greaterThan" dxfId="121">
      <formula>0</formula>
    </cfRule>
    <cfRule type="cellIs" priority="12" operator="lessThan" dxfId="0">
      <formula>0</formula>
    </cfRule>
  </conditionalFormatting>
  <conditionalFormatting sqref="J21">
    <cfRule type="cellIs" priority="9" operator="greaterThan" dxfId="121">
      <formula>0</formula>
    </cfRule>
    <cfRule type="cellIs" priority="10" operator="lessThan" dxfId="0">
      <formula>0</formula>
    </cfRule>
  </conditionalFormatting>
  <conditionalFormatting sqref="I22">
    <cfRule type="cellIs" priority="7" operator="greaterThanOrEqual" dxfId="121">
      <formula>0</formula>
    </cfRule>
    <cfRule type="cellIs" priority="8" operator="lessThan" dxfId="0">
      <formula>0</formula>
    </cfRule>
  </conditionalFormatting>
  <conditionalFormatting sqref="J22">
    <cfRule type="cellIs" priority="5" operator="greaterThanOrEqual" dxfId="121">
      <formula>0</formula>
    </cfRule>
    <cfRule type="cellIs" priority="6" operator="lessThan" dxfId="0">
      <formula>0</formula>
    </cfRule>
  </conditionalFormatting>
  <conditionalFormatting sqref="J23">
    <cfRule type="cellIs" priority="3" operator="greaterThan" dxfId="121">
      <formula>0</formula>
    </cfRule>
    <cfRule type="cellIs" priority="4" operator="lessThan" dxfId="0">
      <formula>0</formula>
    </cfRule>
  </conditionalFormatting>
  <conditionalFormatting sqref="E23:E24">
    <cfRule type="cellIs" priority="1" operator="greaterThan" dxfId="121">
      <formula>0</formula>
    </cfRule>
    <cfRule type="cellIs" priority="2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zoomScale="85" zoomScaleNormal="85" workbookViewId="0">
      <selection activeCell="D6" sqref="D6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726562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J3" s="85" t="n"/>
      <c r="K3" s="85" t="n"/>
      <c r="L3" s="85" t="n"/>
      <c r="M3" s="84" t="n"/>
      <c r="N3" s="84" t="n"/>
      <c r="O3" s="84" t="n"/>
      <c r="P3" s="84" t="n"/>
      <c r="Q3" s="84" t="n"/>
      <c r="R3" s="84" t="n"/>
      <c r="S3" s="84" t="n"/>
      <c r="T3" s="84" t="n"/>
    </row>
    <row r="4" ht="18" customHeight="1" s="286" thickBot="1">
      <c r="B4" s="314" t="inlineStr">
        <is>
          <t>Reliability Snapshot - SYS</t>
        </is>
      </c>
      <c r="C4" s="342" t="n"/>
      <c r="D4" s="342" t="n"/>
      <c r="E4" s="342" t="n"/>
      <c r="F4" s="342" t="n"/>
      <c r="G4" s="342" t="n"/>
      <c r="H4" s="342" t="n"/>
      <c r="N4" s="122" t="n"/>
      <c r="O4" s="122" t="n"/>
      <c r="P4" s="60" t="n"/>
      <c r="Q4" s="60" t="n"/>
      <c r="R4" s="60" t="n"/>
      <c r="S4" s="122" t="n"/>
      <c r="T4" s="122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22" t="n"/>
      <c r="O5" s="122" t="n"/>
      <c r="P5" s="60" t="n"/>
      <c r="Q5" s="60">
        <f>MONTH(TODAY()-1)</f>
        <v/>
      </c>
      <c r="R5" s="60" t="n"/>
      <c r="S5" s="122" t="n"/>
      <c r="T5" s="122" t="n"/>
    </row>
    <row r="6" ht="19.15" customHeight="1" s="286">
      <c r="B6" s="62" t="inlineStr">
        <is>
          <t>Completion</t>
        </is>
      </c>
      <c r="C6" s="134">
        <f>UA_SQL_1!N2/UA_SQL_1!M2</f>
        <v/>
      </c>
      <c r="D6" s="134">
        <f>UA_SQL_1!F2/UA_SQL_1!E2</f>
        <v/>
      </c>
      <c r="E6" s="131" t="inlineStr">
        <is>
          <t>-</t>
        </is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  <c r="N6" s="122" t="n"/>
      <c r="O6" s="122" t="n"/>
      <c r="P6" s="60" t="n"/>
      <c r="Q6" s="60" t="n"/>
      <c r="R6" s="60" t="n"/>
      <c r="S6" s="122" t="n"/>
      <c r="T6" s="122" t="n"/>
    </row>
    <row r="7" ht="19.9" customHeight="1" s="286">
      <c r="B7" s="62" t="inlineStr">
        <is>
          <t>A:00</t>
        </is>
      </c>
      <c r="C7" s="344">
        <f>UA_SQL_1!$Q$2/UA_SQL_1!$M$2</f>
        <v/>
      </c>
      <c r="D7" s="344">
        <f>UA_SQL_1!I2/UA_SQL_1!E2</f>
        <v/>
      </c>
      <c r="E7" s="131" t="inlineStr">
        <is>
          <t>-</t>
        </is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  <c r="N7" s="122" t="n"/>
      <c r="O7" s="122" t="n"/>
      <c r="P7" s="60" t="n"/>
      <c r="Q7" s="60" t="n"/>
      <c r="R7" s="60" t="n"/>
      <c r="S7" s="122" t="n"/>
      <c r="T7" s="122" t="n"/>
    </row>
    <row r="8" ht="19.15" customHeight="1" s="286">
      <c r="B8" s="63" t="inlineStr">
        <is>
          <t xml:space="preserve">CD:00 </t>
        </is>
      </c>
      <c r="C8" s="344">
        <f>UA_SQL_1!$P$2/UA_SQL_1!$M$2</f>
        <v/>
      </c>
      <c r="D8" s="346">
        <f>UA_SQL_1!H2/UA_SQL_1!E2</f>
        <v/>
      </c>
      <c r="E8" s="131" t="inlineStr">
        <is>
          <t>-</t>
        </is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  <c r="N8" s="122" t="n"/>
      <c r="O8" s="122" t="n"/>
      <c r="P8" s="122" t="n"/>
      <c r="Q8" s="122" t="n"/>
      <c r="R8" s="122" t="n"/>
      <c r="S8" s="122" t="n"/>
      <c r="T8" s="122" t="n"/>
    </row>
    <row r="9" ht="19.9" customHeight="1" s="286">
      <c r="B9" s="63" t="inlineStr">
        <is>
          <t xml:space="preserve">D:00 </t>
        </is>
      </c>
      <c r="C9" s="344">
        <f>UA_SQL_1!$O$2/UA_SQL_1!$M$2</f>
        <v/>
      </c>
      <c r="D9" s="346">
        <f>UA_SQL_1!G2/UA_SQL_1!E2</f>
        <v/>
      </c>
      <c r="E9" s="131" t="inlineStr">
        <is>
          <t>-</t>
        </is>
      </c>
      <c r="F9" s="75" t="n"/>
      <c r="G9" s="75" t="n"/>
      <c r="H9" s="75" t="n"/>
      <c r="N9" s="122" t="n"/>
      <c r="O9" s="122" t="n"/>
      <c r="P9" s="122" t="n"/>
      <c r="Q9" s="122" t="n"/>
      <c r="R9" s="122" t="n"/>
      <c r="S9" s="122" t="n"/>
      <c r="T9" s="122" t="n"/>
    </row>
    <row r="10" ht="20.5" customHeight="1" s="286">
      <c r="B10" s="62" t="inlineStr">
        <is>
          <t>STAR D:00</t>
        </is>
      </c>
      <c r="C10" s="344">
        <f>UA_SQL_1!$S$2/UA_SQL_1!$R$2</f>
        <v/>
      </c>
      <c r="D10" s="344">
        <f>UA_SQL_1!K2/UA_SQL_1!J2</f>
        <v/>
      </c>
      <c r="E10" s="131" t="inlineStr">
        <is>
          <t>-</t>
        </is>
      </c>
      <c r="F10" s="76" t="n"/>
      <c r="G10" s="76" t="n"/>
      <c r="H10" s="76" t="n"/>
      <c r="N10" s="122" t="n"/>
      <c r="O10" s="122" t="n"/>
      <c r="P10" s="122" t="n"/>
      <c r="Q10" s="122" t="n"/>
      <c r="R10" s="122" t="n"/>
      <c r="S10" s="122" t="n"/>
      <c r="T10" s="122" t="n"/>
    </row>
    <row r="11" ht="19.9" customHeight="1" s="286">
      <c r="B11" s="62" t="inlineStr">
        <is>
          <t>Controllable Completion</t>
        </is>
      </c>
      <c r="C11" s="134">
        <f>(UA_SQL_1!$M$2-UA_SQL_1!$T$2)/UA_SQL_1!$M$2</f>
        <v/>
      </c>
      <c r="D11" s="134">
        <f>(UA_SQL_1!E2-UA_SQL_1!L2)/UA_SQL_1!E2</f>
        <v/>
      </c>
      <c r="E11" s="131" t="inlineStr">
        <is>
          <t>-</t>
        </is>
      </c>
      <c r="F11" s="75" t="n"/>
      <c r="G11" s="75" t="n"/>
      <c r="H11" s="75" t="n"/>
      <c r="N11" s="122" t="n"/>
      <c r="O11" s="122" t="n"/>
      <c r="P11" s="122" t="n"/>
      <c r="Q11" s="122" t="n"/>
      <c r="R11" s="122" t="n"/>
      <c r="S11" s="122" t="n"/>
      <c r="T11" s="122" t="n"/>
    </row>
    <row r="12" ht="19.9" customHeight="1" s="286">
      <c r="B12" s="62" t="inlineStr">
        <is>
          <t>Total diverts</t>
        </is>
      </c>
      <c r="C12" s="52">
        <f>SUMIFS(TOTAL_DIVERTS_SQL_5!$B:$B,TOTAL_DIVERTS_SQL_5!$A:$A,"YEST")</f>
        <v/>
      </c>
      <c r="D12" s="52">
        <f>SUMIFS(TOTAL_DIVERTS_SQL_5!$B:$B,TOTAL_DIVERTS_SQL_5!A:A,"MTD")</f>
        <v/>
      </c>
      <c r="E12" s="86" t="n"/>
      <c r="F12" s="75" t="n"/>
      <c r="G12" s="75" t="n"/>
      <c r="H12" s="75" t="n"/>
      <c r="N12" s="122" t="n"/>
      <c r="O12" s="122" t="n"/>
      <c r="P12" s="122" t="n"/>
      <c r="Q12" s="122" t="n"/>
      <c r="R12" s="122" t="n"/>
      <c r="S12" s="122" t="n"/>
      <c r="T12" s="122" t="n"/>
    </row>
    <row r="13" ht="19.9" customHeight="1" s="286">
      <c r="B13" s="62" t="inlineStr">
        <is>
          <t>Diverts recovered</t>
        </is>
      </c>
      <c r="C13" s="52">
        <f>SUMIF(DIVERTS_RECOVERED_SQL_6!$A:$A,"YEST",DIVERTS_RECOVERED_SQL_6!$C:$C)</f>
        <v/>
      </c>
      <c r="D13" s="52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9.15" customHeight="1" s="286">
      <c r="B14" s="62" t="inlineStr">
        <is>
          <t>Yet to depart</t>
        </is>
      </c>
      <c r="C14" s="52">
        <f>FLIGHTS_NOT_DEPARTED_SQL_8!$A$2</f>
        <v/>
      </c>
      <c r="D14" s="136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9.15" customHeight="1" s="286">
      <c r="B15" s="62" t="inlineStr">
        <is>
          <t>Repositioned flights</t>
        </is>
      </c>
      <c r="C15" s="52">
        <f>REPOSITIONED_FLIGHTS_SQL_13!$A$2</f>
        <v/>
      </c>
      <c r="D15" s="136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4.5" customHeight="1" s="286"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4.5" customHeight="1" s="286">
      <c r="O17" s="59" t="n"/>
      <c r="P17" s="59" t="n"/>
      <c r="Q17" s="59" t="n"/>
      <c r="R17" s="59" t="n"/>
      <c r="S17" s="59" t="n"/>
      <c r="T17" s="59" t="n"/>
      <c r="U17" s="59" t="n"/>
      <c r="V17" s="59" t="n"/>
      <c r="W17" s="60" t="n"/>
      <c r="X17" s="60" t="n"/>
    </row>
    <row r="18" ht="19.15" customHeight="1" s="286" thickBot="1">
      <c r="B18" s="324" t="inlineStr">
        <is>
          <t>Reliability Snapshot - Hubs</t>
        </is>
      </c>
      <c r="C18" s="349" t="n"/>
      <c r="D18" s="349" t="n"/>
      <c r="E18" s="349" t="n"/>
      <c r="F18" s="349" t="n"/>
      <c r="G18" s="349" t="n"/>
      <c r="H18" s="349" t="n"/>
      <c r="I18" s="349" t="n"/>
      <c r="J18" s="349" t="n"/>
      <c r="K18" s="349" t="n"/>
      <c r="L18" s="349" t="n"/>
      <c r="M18" s="34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60" t="n"/>
      <c r="X18" s="60" t="n"/>
    </row>
    <row r="19" ht="19.15" customHeight="1" s="286" thickBot="1">
      <c r="B19" s="64" t="inlineStr">
        <is>
          <t>Market</t>
        </is>
      </c>
      <c r="C19" s="49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8" t="inlineStr">
        <is>
          <t>AS Diff.</t>
        </is>
      </c>
      <c r="H19" s="46" t="inlineStr">
        <is>
          <t>Rank</t>
        </is>
      </c>
      <c r="I19" s="106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8" t="inlineStr">
        <is>
          <t>AS Diff.</t>
        </is>
      </c>
      <c r="M19" s="46" t="inlineStr">
        <is>
          <t>Rank</t>
        </is>
      </c>
      <c r="Q19" s="59" t="n"/>
      <c r="R19" s="59" t="n"/>
      <c r="S19" s="59" t="n"/>
      <c r="T19" s="59" t="n"/>
      <c r="U19" s="59" t="n"/>
      <c r="V19" s="59" t="n"/>
      <c r="W19" s="60" t="n"/>
      <c r="X19" s="60" t="n"/>
    </row>
    <row r="20" ht="19.15" customHeight="1" s="286">
      <c r="B20" s="62" t="inlineStr">
        <is>
          <t>Denver</t>
        </is>
      </c>
      <c r="C20" s="344">
        <f>SUMIFS(UA_HUB_SQL_7!J:J,UA_HUB_SQL_7!$B:$B,PAGE_1!B20)/SUMIFS(UA_HUB_SQL_7!$F:$F,UA_HUB_SQL_7!$B:$B,PAGE_1!B20)</f>
        <v/>
      </c>
      <c r="D20" s="344">
        <f>SUMIFS(UA_HUB_SQL_7!K:K,UA_HUB_SQL_7!B:B,PAGE_1!B20)/SUMIFS(UA_HUB_SQL_7!F:F,UA_HUB_SQL_7!B:B,PAGE_1!B20)</f>
        <v/>
      </c>
      <c r="E20" s="116" t="inlineStr">
        <is>
          <t>-</t>
        </is>
      </c>
      <c r="F20" s="116" t="inlineStr">
        <is>
          <t>-</t>
        </is>
      </c>
      <c r="G20" s="116" t="inlineStr">
        <is>
          <t>-</t>
        </is>
      </c>
      <c r="H20" s="120" t="inlineStr">
        <is>
          <t>-</t>
        </is>
      </c>
      <c r="I20" s="364">
        <f>SUMIFS(UA_HUB_SQL_7!G:G,UA_HUB_SQL_7!$B:$B,PAGE_1!B20)/SUMIFS(UA_HUB_SQL_7!$F:$F,UA_HUB_SQL_7!$B:$B,PAGE_1!B20)</f>
        <v/>
      </c>
      <c r="J20" s="116" t="inlineStr">
        <is>
          <t>-</t>
        </is>
      </c>
      <c r="K20" s="116" t="inlineStr">
        <is>
          <t>-</t>
        </is>
      </c>
      <c r="L20" s="116" t="inlineStr">
        <is>
          <t>-</t>
        </is>
      </c>
      <c r="M20" s="116" t="inlineStr">
        <is>
          <t>-</t>
        </is>
      </c>
      <c r="Q20" s="59" t="n"/>
      <c r="R20" s="59" t="n"/>
      <c r="S20" s="59" t="n"/>
      <c r="T20" s="59" t="n"/>
      <c r="U20" s="59" t="n"/>
      <c r="V20" s="59" t="n"/>
      <c r="W20" s="60" t="n"/>
      <c r="X20" s="60" t="n"/>
    </row>
    <row r="21" ht="19.15" customHeight="1" s="286">
      <c r="B21" s="62" t="inlineStr">
        <is>
          <t>New York</t>
        </is>
      </c>
      <c r="C21" s="344">
        <f>IFERROR(SUMIFS(UA_HUB_SQL_7!J:J,UA_HUB_SQL_7!$B:$B,PAGE_1!B21)/SUMIFS(UA_HUB_SQL_7!$F:$F,UA_HUB_SQL_7!$B:$B,PAGE_1!B21),"-")</f>
        <v/>
      </c>
      <c r="D21" s="344">
        <f>IFERROR(SUMIFS(UA_HUB_SQL_7!K:K,UA_HUB_SQL_7!B:B,PAGE_1!B21)/SUMIFS(UA_HUB_SQL_7!F:F,UA_HUB_SQL_7!B:B,PAGE_1!B21),"-")</f>
        <v/>
      </c>
      <c r="E21" s="83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3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6" t="inlineStr">
        <is>
          <t>-</t>
        </is>
      </c>
      <c r="H21" s="121">
        <f>IFERROR(RANK!F9,"-")</f>
        <v/>
      </c>
      <c r="I21" s="364">
        <f>IFERROR(SUMIFS(UA_HUB_SQL_7!G:G,UA_HUB_SQL_7!$B:$B,PAGE_1!B21)/SUMIFS(UA_HUB_SQL_7!$F:$F,UA_HUB_SQL_7!$B:$B,PAGE_1!B21),"-")</f>
        <v/>
      </c>
      <c r="J21" s="83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3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6" t="inlineStr">
        <is>
          <t>-</t>
        </is>
      </c>
      <c r="M21" s="52">
        <f>IFERROR(RANK!F20,"-")</f>
        <v/>
      </c>
      <c r="Q21" s="59" t="n"/>
      <c r="R21" s="59" t="n"/>
      <c r="S21" s="59" t="n"/>
      <c r="T21" s="59" t="n"/>
      <c r="U21" s="59" t="n"/>
      <c r="V21" s="59" t="n"/>
      <c r="W21" s="60" t="n"/>
      <c r="X21" s="60" t="n"/>
    </row>
    <row r="22" ht="19.15" customHeight="1" s="286">
      <c r="B22" s="63" t="inlineStr">
        <is>
          <t>Washington DC</t>
        </is>
      </c>
      <c r="C22" s="344">
        <f>SUMIFS(UA_HUB_SQL_7!J:J,UA_HUB_SQL_7!$B:$B,PAGE_1!B22)/SUMIFS(UA_HUB_SQL_7!$F:$F,UA_HUB_SQL_7!$B:$B,PAGE_1!B22)</f>
        <v/>
      </c>
      <c r="D22" s="344">
        <f>SUMIFS(UA_HUB_SQL_7!K:K,UA_HUB_SQL_7!B:B,PAGE_1!B22)/SUMIFS(UA_HUB_SQL_7!F:F,UA_HUB_SQL_7!B:B,PAGE_1!B22)</f>
        <v/>
      </c>
      <c r="E22" s="83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3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6" t="inlineStr">
        <is>
          <t>-</t>
        </is>
      </c>
      <c r="H22" s="121">
        <f>RANK!F10</f>
        <v/>
      </c>
      <c r="I22" s="364">
        <f>SUMIFS(UA_HUB_SQL_7!G:G,UA_HUB_SQL_7!$B:$B,PAGE_1!B22)/SUMIFS(UA_HUB_SQL_7!$F:$F,UA_HUB_SQL_7!$B:$B,PAGE_1!B22)</f>
        <v/>
      </c>
      <c r="J22" s="83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3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6" t="inlineStr">
        <is>
          <t>-</t>
        </is>
      </c>
      <c r="M22" s="52">
        <f>RANK!F21</f>
        <v/>
      </c>
      <c r="Q22" s="59" t="n"/>
      <c r="R22" s="59" t="n"/>
      <c r="S22" s="59" t="n"/>
      <c r="T22" s="59" t="n"/>
      <c r="U22" s="59" t="n"/>
      <c r="V22" s="59" t="n"/>
      <c r="W22" s="60" t="n"/>
      <c r="X22" s="60" t="n"/>
    </row>
    <row r="23" ht="19.15" customHeight="1" s="286">
      <c r="B23" s="63" t="inlineStr">
        <is>
          <t>Texas</t>
        </is>
      </c>
      <c r="C23" s="344">
        <f>SUMIFS(UA_HUB_SQL_7!J:J,UA_HUB_SQL_7!$B:$B,PAGE_1!B23)/SUMIFS(UA_HUB_SQL_7!$F:$F,UA_HUB_SQL_7!$B:$B,PAGE_1!B23)</f>
        <v/>
      </c>
      <c r="D23" s="344">
        <f>SUMIFS(UA_HUB_SQL_7!K:K,UA_HUB_SQL_7!B:B,PAGE_1!B23)/SUMIFS(UA_HUB_SQL_7!F:F,UA_HUB_SQL_7!B:B,PAGE_1!B23)</f>
        <v/>
      </c>
      <c r="E23" s="116" t="inlineStr">
        <is>
          <t>-</t>
        </is>
      </c>
      <c r="F23" s="83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6" t="inlineStr">
        <is>
          <t>-</t>
        </is>
      </c>
      <c r="H23" s="121">
        <f>RANK!F11</f>
        <v/>
      </c>
      <c r="I23" s="364">
        <f>SUMIFS(UA_HUB_SQL_7!G:G,UA_HUB_SQL_7!$B:$B,PAGE_1!B23)/SUMIFS(UA_HUB_SQL_7!$F:$F,UA_HUB_SQL_7!$B:$B,PAGE_1!B23)</f>
        <v/>
      </c>
      <c r="J23" s="116" t="inlineStr">
        <is>
          <t>-</t>
        </is>
      </c>
      <c r="K23" s="83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6" t="inlineStr">
        <is>
          <t>-</t>
        </is>
      </c>
      <c r="M23" s="52">
        <f>RANK!F22</f>
        <v/>
      </c>
      <c r="Q23" s="59" t="n"/>
      <c r="R23" s="59" t="n"/>
      <c r="S23" s="59" t="n"/>
      <c r="T23" s="59" t="n"/>
      <c r="U23" s="59" t="n"/>
      <c r="V23" s="59" t="n"/>
      <c r="W23" s="60" t="n"/>
      <c r="X23" s="60" t="n"/>
    </row>
    <row r="24" ht="19.15" customHeight="1" s="286">
      <c r="B24" s="62" t="inlineStr">
        <is>
          <t>Los Angeles</t>
        </is>
      </c>
      <c r="C24" s="344">
        <f>IFERROR(SUMIFS(UA_HUB_SQL_7!J:J,UA_HUB_SQL_7!$B:$B,PAGE_1!B24)/SUMIFS(UA_HUB_SQL_7!$F:$F,UA_HUB_SQL_7!$B:$B,PAGE_1!B24),"-")</f>
        <v/>
      </c>
      <c r="D24" s="344">
        <f>IFERROR(SUMIFS(UA_HUB_SQL_7!K:K,UA_HUB_SQL_7!B:B,PAGE_1!B24)/SUMIFS(UA_HUB_SQL_7!F:F,UA_HUB_SQL_7!B:B,PAGE_1!B24),"-")</f>
        <v/>
      </c>
      <c r="E24" s="83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3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6" t="inlineStr">
        <is>
          <t>-</t>
        </is>
      </c>
      <c r="H24" s="121">
        <f>IFERROR(RANK!F12,"-")</f>
        <v/>
      </c>
      <c r="I24" s="364">
        <f>IFERROR(SUMIFS(UA_HUB_SQL_7!G:G,UA_HUB_SQL_7!$B:$B,PAGE_1!B24)/SUMIFS(UA_HUB_SQL_7!$F:$F,UA_HUB_SQL_7!$B:$B,PAGE_1!B24),"-")</f>
        <v/>
      </c>
      <c r="J24" s="83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3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6" t="inlineStr">
        <is>
          <t>-</t>
        </is>
      </c>
      <c r="M24" s="52">
        <f>IFERROR(RANK!F23,"-")</f>
        <v/>
      </c>
      <c r="Q24" s="59" t="n"/>
      <c r="R24" s="59" t="n"/>
      <c r="S24" s="59" t="n"/>
      <c r="T24" s="59" t="n"/>
      <c r="U24" s="59" t="n"/>
      <c r="V24" s="59" t="n"/>
      <c r="W24" s="60" t="n"/>
      <c r="X24" s="60" t="n"/>
    </row>
    <row r="25" ht="19.15" customHeight="1" s="286">
      <c r="B25" s="63" t="inlineStr">
        <is>
          <t>Chicago</t>
        </is>
      </c>
      <c r="C25" s="344">
        <f>SUMIFS(UA_HUB_SQL_7!J:J,UA_HUB_SQL_7!$B:$B,PAGE_1!B25)/SUMIFS(UA_HUB_SQL_7!$F:$F,UA_HUB_SQL_7!$B:$B,PAGE_1!B25)</f>
        <v/>
      </c>
      <c r="D25" s="344">
        <f>SUMIFS(UA_HUB_SQL_7!K:K,UA_HUB_SQL_7!B:B,PAGE_1!B25)/SUMIFS(UA_HUB_SQL_7!F:F,UA_HUB_SQL_7!B:B,PAGE_1!B25)</f>
        <v/>
      </c>
      <c r="E25" s="83" t="inlineStr">
        <is>
          <t>-</t>
        </is>
      </c>
      <c r="F25" s="83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3" t="inlineStr">
        <is>
          <t>-</t>
        </is>
      </c>
      <c r="H25" s="121">
        <f>IFERROR(RANK!F13,"-")</f>
        <v/>
      </c>
      <c r="I25" s="364">
        <f>SUMIFS(UA_HUB_SQL_7!G:G,UA_HUB_SQL_7!$B:$B,PAGE_1!B25)/SUMIFS(UA_HUB_SQL_7!$F:$F,UA_HUB_SQL_7!$B:$B,PAGE_1!B25)</f>
        <v/>
      </c>
      <c r="J25" s="116" t="inlineStr">
        <is>
          <t>-</t>
        </is>
      </c>
      <c r="K25" s="83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6" t="inlineStr">
        <is>
          <t>-</t>
        </is>
      </c>
      <c r="M25" s="52">
        <f>RANK!F24</f>
        <v/>
      </c>
      <c r="N25" s="60" t="n"/>
      <c r="O25" s="60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9.15" customHeight="1" s="286">
      <c r="B26" s="62" t="inlineStr">
        <is>
          <t>San Francisco</t>
        </is>
      </c>
      <c r="C26" s="344">
        <f>SUMIFS(UA_HUB_SQL_7!J:J,UA_HUB_SQL_7!$B:$B,PAGE_1!B26)/SUMIFS(UA_HUB_SQL_7!$F:$F,UA_HUB_SQL_7!$B:$B,PAGE_1!B26)</f>
        <v/>
      </c>
      <c r="D26" s="344">
        <f>SUMIFS(UA_HUB_SQL_7!K:K,UA_HUB_SQL_7!B:B,PAGE_1!B26)/SUMIFS(UA_HUB_SQL_7!F:F,UA_HUB_SQL_7!B:B,PAGE_1!B26)</f>
        <v/>
      </c>
      <c r="E26" s="116" t="inlineStr">
        <is>
          <t>-</t>
        </is>
      </c>
      <c r="F26" s="116" t="inlineStr">
        <is>
          <t>-</t>
        </is>
      </c>
      <c r="G26" s="83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21">
        <f>RANK!F14</f>
        <v/>
      </c>
      <c r="I26" s="364">
        <f>SUMIFS(UA_HUB_SQL_7!G:G,UA_HUB_SQL_7!$B:$B,PAGE_1!B26)/SUMIFS(UA_HUB_SQL_7!$F:$F,UA_HUB_SQL_7!$B:$B,PAGE_1!B26)</f>
        <v/>
      </c>
      <c r="J26" s="116" t="inlineStr">
        <is>
          <t>-</t>
        </is>
      </c>
      <c r="K26" s="116" t="inlineStr">
        <is>
          <t>-</t>
        </is>
      </c>
      <c r="L26" s="83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2">
        <f>RANK!F25</f>
        <v/>
      </c>
      <c r="N26" s="60">
        <f>SUMIFS(OA_SQL_2!K:K,OA_SQL_2!A:A,PAGE_1!B26,OA_SQL_2!B:B,"AS")/SUMIFS(OA_SQL_2!J:J,OA_SQL_2!A:A,PAGE_1!B26,OA_SQL_2!B:B,"AS")</f>
        <v/>
      </c>
      <c r="O26" s="60" t="n"/>
      <c r="P26" s="59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9.15" customHeight="1" s="286">
      <c r="A27" s="60" t="inlineStr">
        <is>
          <t>Line</t>
        </is>
      </c>
      <c r="B27" s="62" t="inlineStr">
        <is>
          <t>Line stations</t>
        </is>
      </c>
      <c r="C27" s="344">
        <f>SUMIFS(UA_HUB_SQL_7!J:J,UA_HUB_SQL_7!$B:$B,PAGE_1!A27)/SUMIFS(UA_HUB_SQL_7!$F:$F,UA_HUB_SQL_7!$B:$B,PAGE_1!A27)</f>
        <v/>
      </c>
      <c r="D27" s="344">
        <f>SUMIFS(UA_HUB_SQL_7!K:K,UA_HUB_SQL_7!B:B,PAGE_1!A27)/SUMIFS(UA_HUB_SQL_7!F:F,UA_HUB_SQL_7!B:B,PAGE_1!A27)</f>
        <v/>
      </c>
      <c r="E27" s="83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3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3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21">
        <f>RANK!F15</f>
        <v/>
      </c>
      <c r="I27" s="364">
        <f>SUMIFS(UA_HUB_SQL_7!G:G,UA_HUB_SQL_7!$B:$B,PAGE_1!A27)/SUMIFS(UA_HUB_SQL_7!$F:$F,UA_HUB_SQL_7!$B:$B,PAGE_1!A27)</f>
        <v/>
      </c>
      <c r="J27" s="83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3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3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2">
        <f>RANK!F26</f>
        <v/>
      </c>
      <c r="N27" s="60">
        <f>(SUMIFS(UA_HUB_SQL_7!K:K,UA_HUB_SQL_7!B:B,PAGE_1!A27)/SUMIFS(UA_HUB_SQL_7!F:F,UA_HUB_SQL_7!B:B,PAGE_1!A27))</f>
        <v/>
      </c>
      <c r="O27" s="60">
        <f>(SUMIFS(OA_SQL_2!K:K,OA_SQL_2!A:A,PAGE_1!A27,OA_SQL_2!B:B,"DL")/SUMIFS(OA_SQL_2!J:J,OA_SQL_2!A:A,PAGE_1!A27,OA_SQL_2!B:B,"DL"))</f>
        <v/>
      </c>
      <c r="P27" s="59" t="n"/>
      <c r="Q27" s="59" t="n"/>
      <c r="R27" s="59" t="n"/>
      <c r="S27" s="59" t="n"/>
      <c r="T27" s="59" t="n"/>
      <c r="U27" s="59" t="n"/>
      <c r="V27" s="59" t="n"/>
      <c r="W27" s="60" t="n"/>
      <c r="X27" s="60" t="n"/>
    </row>
    <row r="28">
      <c r="N28" s="60" t="n"/>
      <c r="O28" s="60" t="n"/>
      <c r="P28" s="59" t="n"/>
      <c r="Q28" s="59" t="n"/>
      <c r="R28" s="59" t="n"/>
      <c r="S28" s="59" t="n"/>
      <c r="T28" s="59" t="n"/>
      <c r="U28" s="59" t="n"/>
      <c r="V28" s="59" t="n"/>
      <c r="W28" s="60" t="n"/>
      <c r="X28" s="60" t="n"/>
    </row>
    <row r="29" ht="12.5" customHeight="1" s="286" thickBot="1">
      <c r="C29" s="347" t="n"/>
      <c r="Q29" s="59" t="n"/>
      <c r="R29" s="59" t="n"/>
      <c r="S29" s="59" t="n"/>
      <c r="T29" s="59" t="n"/>
      <c r="U29" s="59" t="n"/>
      <c r="V29" s="59" t="n"/>
      <c r="W29" s="60" t="n"/>
      <c r="X29" s="60" t="n"/>
    </row>
    <row r="30" ht="16" customHeight="1" s="286" thickBot="1">
      <c r="B30" s="314" t="inlineStr">
        <is>
          <t>Cancel Detail</t>
        </is>
      </c>
      <c r="C30" s="342" t="n"/>
      <c r="D30" s="342" t="n"/>
      <c r="E30" s="342" t="n"/>
      <c r="F30" s="342" t="n"/>
      <c r="G30" s="342" t="n"/>
      <c r="H30" s="342" t="n"/>
      <c r="I30" s="342" t="n"/>
      <c r="J30" s="342" t="n"/>
      <c r="K30" s="342" t="n"/>
      <c r="L30" s="342" t="n"/>
      <c r="M30" s="342" t="n"/>
      <c r="N30" s="342" t="n"/>
      <c r="O30" s="342" t="n"/>
      <c r="P30" s="342" t="n"/>
      <c r="Q30" s="59" t="n"/>
      <c r="R30" s="60" t="n"/>
      <c r="S30" s="60" t="n"/>
      <c r="T30" s="60" t="n"/>
      <c r="U30" s="60" t="n"/>
      <c r="V30" s="59" t="n"/>
      <c r="W30" s="60" t="n"/>
      <c r="X30" s="60" t="n"/>
    </row>
    <row r="31" ht="30.65" customHeight="1" s="286" thickBot="1">
      <c r="B31" s="70" t="inlineStr">
        <is>
          <t>Express Partner</t>
        </is>
      </c>
      <c r="C31" s="71" t="inlineStr">
        <is>
          <t>Scheduled Departures</t>
        </is>
      </c>
      <c r="D31" s="72" t="inlineStr">
        <is>
          <t>Weather &amp; ATC</t>
        </is>
      </c>
      <c r="E31" s="72" t="inlineStr">
        <is>
          <t>Technical Operations</t>
        </is>
      </c>
      <c r="F31" s="72" t="inlineStr">
        <is>
          <t>Flight Operations</t>
        </is>
      </c>
      <c r="G31" s="72" t="inlineStr">
        <is>
          <t>Inflight Services</t>
        </is>
      </c>
      <c r="H31" s="72" t="inlineStr">
        <is>
          <t>Airport Operations</t>
        </is>
      </c>
      <c r="I31" s="72" t="inlineStr">
        <is>
          <t>Network Operations</t>
        </is>
      </c>
      <c r="J31" s="72" t="inlineStr">
        <is>
          <t>IT</t>
        </is>
      </c>
      <c r="K31" s="72" t="inlineStr">
        <is>
          <t>Catering Operations</t>
        </is>
      </c>
      <c r="L31" s="72" t="inlineStr">
        <is>
          <t>Other</t>
        </is>
      </c>
      <c r="M31" s="73" t="inlineStr">
        <is>
          <t>Total Cancels</t>
        </is>
      </c>
      <c r="N31" s="74" t="inlineStr">
        <is>
          <t>ES covered for this partner</t>
        </is>
      </c>
      <c r="O31" s="74" t="inlineStr">
        <is>
          <t>Net Cancel</t>
        </is>
      </c>
      <c r="P31" s="74" t="inlineStr">
        <is>
          <t>ES covered by this partner</t>
        </is>
      </c>
      <c r="Q31" s="145" t="n"/>
      <c r="R31" s="143" t="n"/>
      <c r="S31" s="143" t="n"/>
      <c r="T31" s="143" t="n"/>
      <c r="U31" s="143" t="n"/>
      <c r="V31" s="60" t="n"/>
      <c r="W31" s="60" t="n"/>
      <c r="X31" s="60" t="n"/>
    </row>
    <row r="32" ht="14.5" customHeight="1" s="286">
      <c r="B32" s="191" t="inlineStr">
        <is>
          <t>OO - SkyWest</t>
        </is>
      </c>
      <c r="C32" s="81">
        <f>SUMIF(SCH_DEP_SQL_4!$A:$A,PAGE_1!R33,SCH_DEP_SQL_4!$E:$E)</f>
        <v/>
      </c>
      <c r="D32" s="190">
        <f>IF(SUMIFS(CNXL_SQL_2!$F:$F,CNXL_SQL_2!$A:$A,PAGE_1!$R33,CNXL_SQL_2!$D:$D,PAGE_1!$S$32)=0,"",SUMIFS(CNXL_SQL_2!$F:$F,CNXL_SQL_2!$A:$A,PAGE_1!$R33,CNXL_SQL_2!$D:$D,PAGE_1!$S$32))</f>
        <v/>
      </c>
      <c r="E32" s="190">
        <f>IF(SUMIFS(CNXL_SQL_2!$F:$F,CNXL_SQL_2!$A:$A,PAGE_1!$R33,CNXL_SQL_2!$D:$D,PAGE_1!$S$33)=0,"",SUMIFS(CNXL_SQL_2!$F:$F,CNXL_SQL_2!$A:$A,PAGE_1!$R33,CNXL_SQL_2!$D:$D,PAGE_1!$S$33))</f>
        <v/>
      </c>
      <c r="F32" s="190">
        <f>IF(SUMIFS(CNXL_SQL_2!$F:$F,CNXL_SQL_2!$A:$A,PAGE_1!$R33,CNXL_SQL_2!$D:$D,PAGE_1!$S$34)=0,"",SUMIFS(CNXL_SQL_2!$F:$F,CNXL_SQL_2!$A:$A,PAGE_1!$R33,CNXL_SQL_2!$D:$D,PAGE_1!$S$34))</f>
        <v/>
      </c>
      <c r="G32" s="190">
        <f>IF(SUMIFS(CNXL_SQL_2!$F:$F,CNXL_SQL_2!$A:$A,PAGE_1!$R33,CNXL_SQL_2!$D:$D,PAGE_1!$S$35)=0,"",SUMIFS(CNXL_SQL_2!$F:$F,CNXL_SQL_2!$A:$A,PAGE_1!$R33,CNXL_SQL_2!$D:$D,PAGE_1!$S$35))</f>
        <v/>
      </c>
      <c r="H32" s="190">
        <f>IF(SUMIFS(CNXL_SQL_2!$F:$F,CNXL_SQL_2!$A:$A,PAGE_1!$R33,CNXL_SQL_2!$D:$D,PAGE_1!$S$36)=0,"",SUMIFS(CNXL_SQL_2!$F:$F,CNXL_SQL_2!$A:$A,PAGE_1!$R33,CNXL_SQL_2!$D:$D,PAGE_1!$S$36))</f>
        <v/>
      </c>
      <c r="I32" s="190">
        <f>IF(SUMIFS(CNXL_SQL_2!$F:$F,CNXL_SQL_2!$A:$A,PAGE_1!$R33,CNXL_SQL_2!$D:$D,PAGE_1!$S$37)=0,"",SUMIFS(CNXL_SQL_2!$F:$F,CNXL_SQL_2!$A:$A,PAGE_1!$R33,CNXL_SQL_2!$D:$D,PAGE_1!$S$37))</f>
        <v/>
      </c>
      <c r="J32" s="190">
        <f>IF(SUMIFS(CNXL_SQL_2!$F:$F,CNXL_SQL_2!$A:$A,PAGE_1!$R33,CNXL_SQL_2!$D:$D,PAGE_1!$S$38)=0,"",SUMIFS(CNXL_SQL_2!$F:$F,CNXL_SQL_2!$A:$A,PAGE_1!$R33,CNXL_SQL_2!$D:$D,PAGE_1!$S$38))</f>
        <v/>
      </c>
      <c r="K32" s="190">
        <f>IF(SUMIFS(CNXL_SQL_2!$F:$F,CNXL_SQL_2!$A:$A,PAGE_1!$R33,CNXL_SQL_2!$D:$D,PAGE_1!$S$39)=0,"",SUMIFS(CNXL_SQL_2!$F:$F,CNXL_SQL_2!$A:$A,PAGE_1!$R33,CNXL_SQL_2!$D:$D,PAGE_1!$S$39))</f>
        <v/>
      </c>
      <c r="L32" s="190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45" t="n"/>
      <c r="R32" s="144" t="n"/>
      <c r="S32" s="144" t="inlineStr">
        <is>
          <t>WEATHER/ATC</t>
        </is>
      </c>
      <c r="T32" s="143" t="n"/>
      <c r="U32" s="143" t="n"/>
      <c r="V32" s="60" t="n"/>
      <c r="W32" s="60" t="n"/>
      <c r="X32" s="60" t="n"/>
    </row>
    <row r="33" ht="14.5" customHeight="1" s="286">
      <c r="B33" s="192" t="inlineStr">
        <is>
          <t>YX - Republic</t>
        </is>
      </c>
      <c r="C33" s="138">
        <f>SUMIF(SCH_DEP_SQL_4!$A:$A,PAGE_1!R35,SCH_DEP_SQL_4!$E:$E)</f>
        <v/>
      </c>
      <c r="D33" s="193">
        <f>IF(SUMIFS(CNXL_SQL_2!$F:$F,CNXL_SQL_2!$A:$A,PAGE_1!$R35,CNXL_SQL_2!$D:$D,PAGE_1!$S$32)=0,"",SUMIFS(CNXL_SQL_2!$F:$F,CNXL_SQL_2!$A:$A,PAGE_1!$R35,CNXL_SQL_2!$D:$D,PAGE_1!$S$32))</f>
        <v/>
      </c>
      <c r="E33" s="193">
        <f>IF(SUMIFS(CNXL_SQL_2!$F:$F,CNXL_SQL_2!$A:$A,PAGE_1!$R35,CNXL_SQL_2!$D:$D,PAGE_1!$S$33)=0,"",SUMIFS(CNXL_SQL_2!$F:$F,CNXL_SQL_2!$A:$A,PAGE_1!$R35,CNXL_SQL_2!$D:$D,PAGE_1!$S$33))</f>
        <v/>
      </c>
      <c r="F33" s="193">
        <f>IF(SUMIFS(CNXL_SQL_2!$F:$F,CNXL_SQL_2!$A:$A,PAGE_1!$R35,CNXL_SQL_2!$D:$D,PAGE_1!$S$34)=0,"",SUMIFS(CNXL_SQL_2!$F:$F,CNXL_SQL_2!$A:$A,PAGE_1!$R35,CNXL_SQL_2!$D:$D,PAGE_1!$S$34))</f>
        <v/>
      </c>
      <c r="G33" s="193">
        <f>IF(SUMIFS(CNXL_SQL_2!$F:$F,CNXL_SQL_2!$A:$A,PAGE_1!$R35,CNXL_SQL_2!$D:$D,PAGE_1!$S$35)=0,"",SUMIFS(CNXL_SQL_2!$F:$F,CNXL_SQL_2!$A:$A,PAGE_1!$R35,CNXL_SQL_2!$D:$D,PAGE_1!$S$35))</f>
        <v/>
      </c>
      <c r="H33" s="193">
        <f>IF(SUMIFS(CNXL_SQL_2!$F:$F,CNXL_SQL_2!$A:$A,PAGE_1!$R35,CNXL_SQL_2!$D:$D,PAGE_1!$S$36)=0,"",SUMIFS(CNXL_SQL_2!$F:$F,CNXL_SQL_2!$A:$A,PAGE_1!$R35,CNXL_SQL_2!$D:$D,PAGE_1!$S$36))</f>
        <v/>
      </c>
      <c r="I33" s="193">
        <f>IF(SUMIFS(CNXL_SQL_2!$F:$F,CNXL_SQL_2!$A:$A,PAGE_1!$R35,CNXL_SQL_2!$D:$D,PAGE_1!$S$37)=0,"",SUMIFS(CNXL_SQL_2!$F:$F,CNXL_SQL_2!$A:$A,PAGE_1!$R35,CNXL_SQL_2!$D:$D,PAGE_1!$S$37))</f>
        <v/>
      </c>
      <c r="J33" s="193">
        <f>IF(SUMIFS(CNXL_SQL_2!$F:$F,CNXL_SQL_2!$A:$A,PAGE_1!$R35,CNXL_SQL_2!$D:$D,PAGE_1!$S$38)=0,"",SUMIFS(CNXL_SQL_2!$F:$F,CNXL_SQL_2!$A:$A,PAGE_1!$R35,CNXL_SQL_2!$D:$D,PAGE_1!$S$38))</f>
        <v/>
      </c>
      <c r="K33" s="193">
        <f>IF(SUMIFS(CNXL_SQL_2!$F:$F,CNXL_SQL_2!$A:$A,PAGE_1!$R35,CNXL_SQL_2!$D:$D,PAGE_1!$S$39)=0,"",SUMIFS(CNXL_SQL_2!$F:$F,CNXL_SQL_2!$A:$A,PAGE_1!$R35,CNXL_SQL_2!$D:$D,PAGE_1!$S$39))</f>
        <v/>
      </c>
      <c r="L33" s="193">
        <f>IF(SUMIFS(CNXL_SQL_2!$F:$F,CNXL_SQL_2!$A:$A,PAGE_1!$R35,CNXL_SQL_2!$D:$D,PAGE_1!$S$40)=0,"",SUMIFS(CNXL_SQL_2!$F:$F,CNXL_SQL_2!$A:$A,PAGE_1!$R35,CNXL_SQL_2!$D:$D,PAGE_1!$S$40))</f>
        <v/>
      </c>
      <c r="M33" s="140">
        <f>IF(SUM(D33:L33)=0,"",SUM(D33:L33))</f>
        <v/>
      </c>
      <c r="N33" s="140">
        <f>ES_MATRIX!K6</f>
        <v/>
      </c>
      <c r="O33" s="140">
        <f>IFERROR(M33-ES_MATRIX!L6,"")</f>
        <v/>
      </c>
      <c r="P33" s="141">
        <f>IF(SUMIF(CNXL_SQL_2!$E:$E,PAGE_1!R35,CNXL_SQL_2!$F:$F)=0,"",SUMIF(CNXL_SQL_2!$E:$E,PAGE_1!R35,CNXL_SQL_2!$F:$F))</f>
        <v/>
      </c>
      <c r="Q33" s="145" t="n"/>
      <c r="R33" s="143" t="inlineStr">
        <is>
          <t>OO</t>
        </is>
      </c>
      <c r="S33" s="144" t="inlineStr">
        <is>
          <t>TECHNICAL OPERATIONS-AIRCRAFT</t>
        </is>
      </c>
      <c r="T33" s="143" t="n"/>
      <c r="U33" s="143" t="n"/>
      <c r="V33" s="60" t="n"/>
      <c r="W33" s="60" t="n"/>
      <c r="X33" s="60" t="n"/>
    </row>
    <row r="34" ht="14.5" customHeight="1" s="286">
      <c r="B34" s="191" t="inlineStr">
        <is>
          <t>G7 - Go Jet</t>
        </is>
      </c>
      <c r="C34" s="81">
        <f>SUMIF(SCH_DEP_SQL_4!$A:$A,PAGE_1!R36,SCH_DEP_SQL_4!$E:$E)</f>
        <v/>
      </c>
      <c r="D34" s="190">
        <f>IF(SUMIFS(CNXL_SQL_2!$F:$F,CNXL_SQL_2!$A:$A,PAGE_1!$R36,CNXL_SQL_2!$D:$D,PAGE_1!$S$32)=0,"",SUMIFS(CNXL_SQL_2!$F:$F,CNXL_SQL_2!$A:$A,PAGE_1!$R36,CNXL_SQL_2!$D:$D,PAGE_1!$S$32))</f>
        <v/>
      </c>
      <c r="E34" s="190">
        <f>IF(SUMIFS(CNXL_SQL_2!$F:$F,CNXL_SQL_2!$A:$A,PAGE_1!$R36,CNXL_SQL_2!$D:$D,PAGE_1!$S$33)=0,"",SUMIFS(CNXL_SQL_2!$F:$F,CNXL_SQL_2!$A:$A,PAGE_1!$R36,CNXL_SQL_2!$D:$D,PAGE_1!$S$33))</f>
        <v/>
      </c>
      <c r="F34" s="190">
        <f>IF(SUMIFS(CNXL_SQL_2!$F:$F,CNXL_SQL_2!$A:$A,PAGE_1!$R36,CNXL_SQL_2!$D:$D,PAGE_1!$S$34)=0,"",SUMIFS(CNXL_SQL_2!$F:$F,CNXL_SQL_2!$A:$A,PAGE_1!$R36,CNXL_SQL_2!$D:$D,PAGE_1!$S$34))</f>
        <v/>
      </c>
      <c r="G34" s="190">
        <f>IF(SUMIFS(CNXL_SQL_2!$F:$F,CNXL_SQL_2!$A:$A,PAGE_1!$R36,CNXL_SQL_2!$D:$D,PAGE_1!$S$35)=0,"",SUMIFS(CNXL_SQL_2!$F:$F,CNXL_SQL_2!$A:$A,PAGE_1!$R36,CNXL_SQL_2!$D:$D,PAGE_1!$S$35))</f>
        <v/>
      </c>
      <c r="H34" s="190">
        <f>IF(SUMIFS(CNXL_SQL_2!$F:$F,CNXL_SQL_2!$A:$A,PAGE_1!$R36,CNXL_SQL_2!$D:$D,PAGE_1!$S$36)=0,"",SUMIFS(CNXL_SQL_2!$F:$F,CNXL_SQL_2!$A:$A,PAGE_1!$R36,CNXL_SQL_2!$D:$D,PAGE_1!$S$36))</f>
        <v/>
      </c>
      <c r="I34" s="190">
        <f>IF(SUMIFS(CNXL_SQL_2!$F:$F,CNXL_SQL_2!$A:$A,PAGE_1!$R36,CNXL_SQL_2!$D:$D,PAGE_1!$S$37)=0,"",SUMIFS(CNXL_SQL_2!$F:$F,CNXL_SQL_2!$A:$A,PAGE_1!$R36,CNXL_SQL_2!$D:$D,PAGE_1!$S$37))</f>
        <v/>
      </c>
      <c r="J34" s="190">
        <f>IF(SUMIFS(CNXL_SQL_2!$F:$F,CNXL_SQL_2!$A:$A,PAGE_1!$R36,CNXL_SQL_2!$D:$D,PAGE_1!$S$38)=0,"",SUMIFS(CNXL_SQL_2!$F:$F,CNXL_SQL_2!$A:$A,PAGE_1!$R36,CNXL_SQL_2!$D:$D,PAGE_1!$S$38))</f>
        <v/>
      </c>
      <c r="K34" s="190">
        <f>IF(SUMIFS(CNXL_SQL_2!$F:$F,CNXL_SQL_2!$A:$A,PAGE_1!$R36,CNXL_SQL_2!$D:$D,PAGE_1!$S$39)=0,"",SUMIFS(CNXL_SQL_2!$F:$F,CNXL_SQL_2!$A:$A,PAGE_1!$R36,CNXL_SQL_2!$D:$D,PAGE_1!$S$39))</f>
        <v/>
      </c>
      <c r="L34" s="190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45" t="n"/>
      <c r="R34" s="143" t="n"/>
      <c r="S34" s="144" t="inlineStr">
        <is>
          <t>FLIGHT OPERATIONS</t>
        </is>
      </c>
      <c r="T34" s="143" t="n"/>
      <c r="U34" s="143" t="n"/>
      <c r="V34" s="60" t="n"/>
      <c r="W34" s="60" t="n"/>
      <c r="X34" s="60" t="n"/>
    </row>
    <row r="35" ht="14.5" customHeight="1" s="286">
      <c r="B35" s="192" t="inlineStr">
        <is>
          <t>C5 - CommutAir</t>
        </is>
      </c>
      <c r="C35" s="138">
        <f>SUMIF(SCH_DEP_SQL_4!$A:$A,PAGE_1!R37,SCH_DEP_SQL_4!$E:$E)</f>
        <v/>
      </c>
      <c r="D35" s="193">
        <f>IF(SUMIFS(CNXL_SQL_2!$F:$F,CNXL_SQL_2!$A:$A,PAGE_1!$R37,CNXL_SQL_2!$D:$D,PAGE_1!$S$32)=0,"",SUMIFS(CNXL_SQL_2!$F:$F,CNXL_SQL_2!$A:$A,PAGE_1!$R37,CNXL_SQL_2!$D:$D,PAGE_1!$S$32))</f>
        <v/>
      </c>
      <c r="E35" s="193">
        <f>IF(SUMIFS(CNXL_SQL_2!$F:$F,CNXL_SQL_2!$A:$A,PAGE_1!$R37,CNXL_SQL_2!$D:$D,PAGE_1!$S$33)=0,"",SUMIFS(CNXL_SQL_2!$F:$F,CNXL_SQL_2!$A:$A,PAGE_1!$R37,CNXL_SQL_2!$D:$D,PAGE_1!$S$33))</f>
        <v/>
      </c>
      <c r="F35" s="193">
        <f>IF(SUMIFS(CNXL_SQL_2!$F:$F,CNXL_SQL_2!$A:$A,PAGE_1!$R37,CNXL_SQL_2!$D:$D,PAGE_1!$S$34)=0,"",SUMIFS(CNXL_SQL_2!$F:$F,CNXL_SQL_2!$A:$A,PAGE_1!$R37,CNXL_SQL_2!$D:$D,PAGE_1!$S$34))</f>
        <v/>
      </c>
      <c r="G35" s="193">
        <f>IF(SUMIFS(CNXL_SQL_2!$F:$F,CNXL_SQL_2!$A:$A,PAGE_1!$R37,CNXL_SQL_2!$D:$D,PAGE_1!$S$35)=0,"",SUMIFS(CNXL_SQL_2!$F:$F,CNXL_SQL_2!$A:$A,PAGE_1!$R37,CNXL_SQL_2!$D:$D,PAGE_1!$S$35))</f>
        <v/>
      </c>
      <c r="H35" s="193">
        <f>IF(SUMIFS(CNXL_SQL_2!$F:$F,CNXL_SQL_2!$A:$A,PAGE_1!$R37,CNXL_SQL_2!$D:$D,PAGE_1!$S$36)=0,"",SUMIFS(CNXL_SQL_2!$F:$F,CNXL_SQL_2!$A:$A,PAGE_1!$R37,CNXL_SQL_2!$D:$D,PAGE_1!$S$36))</f>
        <v/>
      </c>
      <c r="I35" s="193">
        <f>IF(SUMIFS(CNXL_SQL_2!$F:$F,CNXL_SQL_2!$A:$A,PAGE_1!$R37,CNXL_SQL_2!$D:$D,PAGE_1!$S$37)=0,"",SUMIFS(CNXL_SQL_2!$F:$F,CNXL_SQL_2!$A:$A,PAGE_1!$R37,CNXL_SQL_2!$D:$D,PAGE_1!$S$37))</f>
        <v/>
      </c>
      <c r="J35" s="193">
        <f>IF(SUMIFS(CNXL_SQL_2!$F:$F,CNXL_SQL_2!$A:$A,PAGE_1!$R37,CNXL_SQL_2!$D:$D,PAGE_1!$S$38)=0,"",SUMIFS(CNXL_SQL_2!$F:$F,CNXL_SQL_2!$A:$A,PAGE_1!$R37,CNXL_SQL_2!$D:$D,PAGE_1!$S$38))</f>
        <v/>
      </c>
      <c r="K35" s="193">
        <f>IF(SUMIFS(CNXL_SQL_2!$F:$F,CNXL_SQL_2!$A:$A,PAGE_1!$R37,CNXL_SQL_2!$D:$D,PAGE_1!$S$39)=0,"",SUMIFS(CNXL_SQL_2!$F:$F,CNXL_SQL_2!$A:$A,PAGE_1!$R37,CNXL_SQL_2!$D:$D,PAGE_1!$S$39))</f>
        <v/>
      </c>
      <c r="L35" s="193">
        <f>IF(SUMIFS(CNXL_SQL_2!$F:$F,CNXL_SQL_2!$A:$A,PAGE_1!$R37,CNXL_SQL_2!$D:$D,PAGE_1!$S$40)=0,"",SUMIFS(CNXL_SQL_2!$F:$F,CNXL_SQL_2!$A:$A,PAGE_1!$R37,CNXL_SQL_2!$D:$D,PAGE_1!$S$40))</f>
        <v/>
      </c>
      <c r="M35" s="142">
        <f>IF(SUM(D35:L35)=0,"",SUM(D35:L35))</f>
        <v/>
      </c>
      <c r="N35" s="140">
        <f>ES_MATRIX!K8</f>
        <v/>
      </c>
      <c r="O35" s="140">
        <f>IFERROR(M35-ES_MATRIX!L8,"")</f>
        <v/>
      </c>
      <c r="P35" s="141">
        <f>IF(SUMIF(CNXL_SQL_2!$E:$E,PAGE_1!R37,CNXL_SQL_2!$F:$F)=0,"",SUMIF(CNXL_SQL_2!$E:$E,PAGE_1!R37,CNXL_SQL_2!$F:$F))</f>
        <v/>
      </c>
      <c r="Q35" s="145" t="n"/>
      <c r="R35" s="143" t="inlineStr">
        <is>
          <t>YX</t>
        </is>
      </c>
      <c r="S35" s="144" t="inlineStr">
        <is>
          <t>INFLIGHT SERVICES</t>
        </is>
      </c>
      <c r="T35" s="143" t="n"/>
      <c r="U35" s="143" t="n"/>
      <c r="V35" s="60" t="n"/>
      <c r="W35" s="60" t="n"/>
      <c r="X35" s="60" t="n"/>
    </row>
    <row r="36" ht="14.5" customHeight="1" s="286">
      <c r="B36" s="191" t="inlineStr">
        <is>
          <t>YV - Mesa</t>
        </is>
      </c>
      <c r="C36" s="81">
        <f>SUMIF(SCH_DEP_SQL_4!$A:$A,PAGE_1!R38,SCH_DEP_SQL_4!$E:$E)</f>
        <v/>
      </c>
      <c r="D36" s="190">
        <f>IF(SUMIFS(CNXL_SQL_2!$F:$F,CNXL_SQL_2!$A:$A,PAGE_1!$R38,CNXL_SQL_2!$D:$D,PAGE_1!$S$32)=0,"",SUMIFS(CNXL_SQL_2!$F:$F,CNXL_SQL_2!$A:$A,PAGE_1!$R38,CNXL_SQL_2!$D:$D,PAGE_1!$S$32))</f>
        <v/>
      </c>
      <c r="E36" s="190">
        <f>IF(SUMIFS(CNXL_SQL_2!$F:$F,CNXL_SQL_2!$A:$A,PAGE_1!$R38,CNXL_SQL_2!$D:$D,PAGE_1!$S$33)=0,"",SUMIFS(CNXL_SQL_2!$F:$F,CNXL_SQL_2!$A:$A,PAGE_1!$R38,CNXL_SQL_2!$D:$D,PAGE_1!$S$33))</f>
        <v/>
      </c>
      <c r="F36" s="190">
        <f>IF(SUMIFS(CNXL_SQL_2!$F:$F,CNXL_SQL_2!$A:$A,PAGE_1!$R38,CNXL_SQL_2!$D:$D,PAGE_1!$S$34)=0,"",SUMIFS(CNXL_SQL_2!$F:$F,CNXL_SQL_2!$A:$A,PAGE_1!$R38,CNXL_SQL_2!$D:$D,PAGE_1!$S$34))</f>
        <v/>
      </c>
      <c r="G36" s="190">
        <f>IF(SUMIFS(CNXL_SQL_2!$F:$F,CNXL_SQL_2!$A:$A,PAGE_1!$R38,CNXL_SQL_2!$D:$D,PAGE_1!$S$35)=0,"",SUMIFS(CNXL_SQL_2!$F:$F,CNXL_SQL_2!$A:$A,PAGE_1!$R38,CNXL_SQL_2!$D:$D,PAGE_1!$S$35))</f>
        <v/>
      </c>
      <c r="H36" s="190">
        <f>IF(SUMIFS(CNXL_SQL_2!$F:$F,CNXL_SQL_2!$A:$A,PAGE_1!$R38,CNXL_SQL_2!$D:$D,PAGE_1!$S$36)=0,"",SUMIFS(CNXL_SQL_2!$F:$F,CNXL_SQL_2!$A:$A,PAGE_1!$R38,CNXL_SQL_2!$D:$D,PAGE_1!$S$36))</f>
        <v/>
      </c>
      <c r="I36" s="190">
        <f>IF(SUMIFS(CNXL_SQL_2!$F:$F,CNXL_SQL_2!$A:$A,PAGE_1!$R38,CNXL_SQL_2!$D:$D,PAGE_1!$S$37)=0,"",SUMIFS(CNXL_SQL_2!$F:$F,CNXL_SQL_2!$A:$A,PAGE_1!$R38,CNXL_SQL_2!$D:$D,PAGE_1!$S$37))</f>
        <v/>
      </c>
      <c r="J36" s="190">
        <f>IF(SUMIFS(CNXL_SQL_2!$F:$F,CNXL_SQL_2!$A:$A,PAGE_1!$R38,CNXL_SQL_2!$D:$D,PAGE_1!$S$38)=0,"",SUMIFS(CNXL_SQL_2!$F:$F,CNXL_SQL_2!$A:$A,PAGE_1!$R38,CNXL_SQL_2!$D:$D,PAGE_1!$S$38))</f>
        <v/>
      </c>
      <c r="K36" s="190">
        <f>IF(SUMIFS(CNXL_SQL_2!$F:$F,CNXL_SQL_2!$A:$A,PAGE_1!$R38,CNXL_SQL_2!$D:$D,PAGE_1!$S$39)=0,"",SUMIFS(CNXL_SQL_2!$F:$F,CNXL_SQL_2!$A:$A,PAGE_1!$R38,CNXL_SQL_2!$D:$D,PAGE_1!$S$39))</f>
        <v/>
      </c>
      <c r="L36" s="190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45" t="n"/>
      <c r="R36" s="143" t="inlineStr">
        <is>
          <t>G7</t>
        </is>
      </c>
      <c r="S36" s="144" t="inlineStr">
        <is>
          <t>AIRPORT OPERATIONS</t>
        </is>
      </c>
      <c r="T36" s="143" t="n"/>
      <c r="U36" s="143" t="n"/>
      <c r="V36" s="60" t="n"/>
      <c r="W36" s="60" t="n"/>
      <c r="X36" s="60" t="n"/>
    </row>
    <row r="37" ht="15" customHeight="1" s="286" thickBot="1">
      <c r="B37" s="192" t="inlineStr">
        <is>
          <t>ZW - Air Wisconsin</t>
        </is>
      </c>
      <c r="C37" s="138">
        <f>SUMIF(SCH_DEP_SQL_4!$A:$A,PAGE_1!R39,SCH_DEP_SQL_4!$E:$E)</f>
        <v/>
      </c>
      <c r="D37" s="193">
        <f>IF(SUMIFS(CNXL_SQL_2!$F:$F,CNXL_SQL_2!$A:$A,PAGE_1!$R39,CNXL_SQL_2!$D:$D,PAGE_1!$S$32)=0,"",SUMIFS(CNXL_SQL_2!$F:$F,CNXL_SQL_2!$A:$A,PAGE_1!$R39,CNXL_SQL_2!$D:$D,PAGE_1!$S$32))</f>
        <v/>
      </c>
      <c r="E37" s="193">
        <f>IF(SUMIFS(CNXL_SQL_2!$F:$F,CNXL_SQL_2!$A:$A,PAGE_1!$R39,CNXL_SQL_2!$D:$D,PAGE_1!$S$33)=0,"",SUMIFS(CNXL_SQL_2!$F:$F,CNXL_SQL_2!$A:$A,PAGE_1!$R39,CNXL_SQL_2!$D:$D,PAGE_1!$S$33))</f>
        <v/>
      </c>
      <c r="F37" s="193">
        <f>IF(SUMIFS(CNXL_SQL_2!$F:$F,CNXL_SQL_2!$A:$A,PAGE_1!$R39,CNXL_SQL_2!$D:$D,PAGE_1!$S$34)=0,"",SUMIFS(CNXL_SQL_2!$F:$F,CNXL_SQL_2!$A:$A,PAGE_1!$R39,CNXL_SQL_2!$D:$D,PAGE_1!$S$34))</f>
        <v/>
      </c>
      <c r="G37" s="193">
        <f>IF(SUMIFS(CNXL_SQL_2!$F:$F,CNXL_SQL_2!$A:$A,PAGE_1!$R39,CNXL_SQL_2!$D:$D,PAGE_1!$S$35)=0,"",SUMIFS(CNXL_SQL_2!$F:$F,CNXL_SQL_2!$A:$A,PAGE_1!$R39,CNXL_SQL_2!$D:$D,PAGE_1!$S$35))</f>
        <v/>
      </c>
      <c r="H37" s="193">
        <f>IF(SUMIFS(CNXL_SQL_2!$F:$F,CNXL_SQL_2!$A:$A,PAGE_1!$R39,CNXL_SQL_2!$D:$D,PAGE_1!$S$36)=0,"",SUMIFS(CNXL_SQL_2!$F:$F,CNXL_SQL_2!$A:$A,PAGE_1!$R39,CNXL_SQL_2!$D:$D,PAGE_1!$S$36))</f>
        <v/>
      </c>
      <c r="I37" s="193">
        <f>IF(SUMIFS(CNXL_SQL_2!$F:$F,CNXL_SQL_2!$A:$A,PAGE_1!$R39,CNXL_SQL_2!$D:$D,PAGE_1!$S$37)=0,"",SUMIFS(CNXL_SQL_2!$F:$F,CNXL_SQL_2!$A:$A,PAGE_1!$R39,CNXL_SQL_2!$D:$D,PAGE_1!$S$37))</f>
        <v/>
      </c>
      <c r="J37" s="193">
        <f>IF(SUMIFS(CNXL_SQL_2!$F:$F,CNXL_SQL_2!$A:$A,PAGE_1!$R39,CNXL_SQL_2!$D:$D,PAGE_1!$S$38)=0,"",SUMIFS(CNXL_SQL_2!$F:$F,CNXL_SQL_2!$A:$A,PAGE_1!$R39,CNXL_SQL_2!$D:$D,PAGE_1!$S$38))</f>
        <v/>
      </c>
      <c r="K37" s="193">
        <f>IF(SUMIFS(CNXL_SQL_2!$F:$F,CNXL_SQL_2!$A:$A,PAGE_1!$R39,CNXL_SQL_2!$D:$D,PAGE_1!$S$39)=0,"",SUMIFS(CNXL_SQL_2!$F:$F,CNXL_SQL_2!$A:$A,PAGE_1!$R39,CNXL_SQL_2!$D:$D,PAGE_1!$S$39))</f>
        <v/>
      </c>
      <c r="L37" s="193">
        <f>IF(SUMIFS(CNXL_SQL_2!$F:$F,CNXL_SQL_2!$A:$A,PAGE_1!$R39,CNXL_SQL_2!$D:$D,PAGE_1!$S$40)=0,"",SUMIFS(CNXL_SQL_2!$F:$F,CNXL_SQL_2!$A:$A,PAGE_1!$R39,CNXL_SQL_2!$D:$D,PAGE_1!$S$40))</f>
        <v/>
      </c>
      <c r="M37" s="140">
        <f>IF(SUM(D37:L37)=0,"",SUM(D37:L37))</f>
        <v/>
      </c>
      <c r="N37" s="140">
        <f>ES_MATRIX!K10</f>
        <v/>
      </c>
      <c r="O37" s="140">
        <f>IFERROR(M37-ES_MATRIX!L10,"")</f>
        <v/>
      </c>
      <c r="P37" s="141">
        <f>IF(SUMIF(CNXL_SQL_2!$E:$E,PAGE_1!R39,CNXL_SQL_2!$F:$F)=0,"",SUMIF(CNXL_SQL_2!$E:$E,PAGE_1!R39,CNXL_SQL_2!$F:$F))</f>
        <v/>
      </c>
      <c r="Q37" s="145" t="n"/>
      <c r="R37" s="143" t="inlineStr">
        <is>
          <t>C5</t>
        </is>
      </c>
      <c r="S37" s="144" t="inlineStr">
        <is>
          <t>NETWORK OPERATIONS CENTER</t>
        </is>
      </c>
      <c r="T37" s="143" t="n"/>
      <c r="U37" s="143" t="n"/>
      <c r="V37" s="60" t="n"/>
      <c r="W37" s="60" t="n"/>
      <c r="X37" s="60" t="n"/>
    </row>
    <row r="38" ht="15" customHeight="1" s="286" thickBot="1">
      <c r="B38" s="68" t="inlineStr">
        <is>
          <t>Total:</t>
        </is>
      </c>
      <c r="C38" s="82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45" t="n"/>
      <c r="R38" s="143" t="inlineStr">
        <is>
          <t>YV</t>
        </is>
      </c>
      <c r="S38" s="144" t="inlineStr">
        <is>
          <t>TECHNOLOGY</t>
        </is>
      </c>
      <c r="T38" s="143" t="n"/>
      <c r="U38" s="143" t="n"/>
      <c r="V38" s="60" t="n"/>
      <c r="W38" s="60" t="n"/>
      <c r="X38" s="60" t="n"/>
    </row>
    <row r="39" ht="14.5" customHeight="1" s="286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5" t="n"/>
      <c r="R39" s="143" t="inlineStr">
        <is>
          <t>ZW</t>
        </is>
      </c>
      <c r="S39" s="144" t="inlineStr">
        <is>
          <t>CATERING OPERATIONS</t>
        </is>
      </c>
      <c r="T39" s="143" t="n"/>
      <c r="U39" s="143" t="n"/>
      <c r="V39" s="60" t="n"/>
      <c r="W39" s="60" t="n"/>
      <c r="X39" s="60" t="n"/>
    </row>
    <row r="40" ht="14.5" customHeight="1" s="286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3" t="n"/>
      <c r="R40" s="143" t="n"/>
      <c r="S40" s="144" t="inlineStr">
        <is>
          <t>OTHER</t>
        </is>
      </c>
      <c r="T40" s="143" t="n"/>
      <c r="U40" s="143" t="n"/>
      <c r="V40" s="60" t="n"/>
      <c r="W40" s="60" t="n"/>
      <c r="X40" s="60" t="n"/>
    </row>
    <row r="41" ht="9.4" customHeight="1" s="286" thickBot="1">
      <c r="Q41" s="143" t="n"/>
      <c r="R41" s="143" t="n"/>
      <c r="S41" s="143" t="n"/>
      <c r="T41" s="143" t="n"/>
      <c r="U41" s="143" t="n"/>
      <c r="V41" s="60" t="n"/>
      <c r="W41" s="60" t="n"/>
      <c r="X41" s="60" t="n"/>
    </row>
    <row r="42" ht="9.4" customHeight="1" s="286" thickBot="1">
      <c r="B42" s="316" t="inlineStr">
        <is>
          <t>Residual Cancel Detail</t>
        </is>
      </c>
      <c r="C42" s="351" t="n"/>
      <c r="D42" s="351" t="n"/>
      <c r="E42" s="351" t="n"/>
      <c r="F42" s="351" t="n"/>
      <c r="G42" s="351" t="n"/>
      <c r="H42" s="351" t="n"/>
      <c r="I42" s="351" t="n"/>
      <c r="J42" s="351" t="n"/>
      <c r="K42" s="351" t="n"/>
      <c r="L42" s="351" t="n"/>
      <c r="M42" s="351" t="n"/>
      <c r="N42" s="351" t="n"/>
      <c r="O42" s="351" t="n"/>
      <c r="P42" s="351" t="n"/>
      <c r="Q42" s="143" t="n"/>
      <c r="R42" s="143" t="n"/>
      <c r="S42" s="143" t="n"/>
      <c r="T42" s="143" t="n"/>
      <c r="U42" s="143" t="n"/>
      <c r="V42" s="59" t="n"/>
      <c r="W42" s="60" t="n"/>
      <c r="X42" s="60" t="n"/>
    </row>
    <row r="43" ht="30.65" customHeight="1" s="286" thickBot="1">
      <c r="B43" s="70" t="inlineStr">
        <is>
          <t>Express Partner</t>
        </is>
      </c>
      <c r="C43" s="71" t="inlineStr">
        <is>
          <t>Scheduled Departures</t>
        </is>
      </c>
      <c r="D43" s="72" t="inlineStr">
        <is>
          <t>Weather &amp; ATC</t>
        </is>
      </c>
      <c r="E43" s="72" t="inlineStr">
        <is>
          <t>Technical Operations</t>
        </is>
      </c>
      <c r="F43" s="72" t="inlineStr">
        <is>
          <t>Flight Operations</t>
        </is>
      </c>
      <c r="G43" s="72" t="inlineStr">
        <is>
          <t>Inflight Services</t>
        </is>
      </c>
      <c r="H43" s="72" t="inlineStr">
        <is>
          <t>Airport Operations</t>
        </is>
      </c>
      <c r="I43" s="72" t="inlineStr">
        <is>
          <t>Network Operations</t>
        </is>
      </c>
      <c r="J43" s="72" t="inlineStr">
        <is>
          <t>IT</t>
        </is>
      </c>
      <c r="K43" s="72" t="inlineStr">
        <is>
          <t>Catering Operations</t>
        </is>
      </c>
      <c r="L43" s="72" t="inlineStr">
        <is>
          <t>Other</t>
        </is>
      </c>
      <c r="M43" s="73" t="inlineStr">
        <is>
          <t>Total Cancels</t>
        </is>
      </c>
      <c r="N43" s="74" t="inlineStr">
        <is>
          <t>ES covered for this partner</t>
        </is>
      </c>
      <c r="O43" s="74" t="inlineStr">
        <is>
          <t>Net Cancel</t>
        </is>
      </c>
      <c r="P43" s="74" t="inlineStr">
        <is>
          <t>ES covered by this partner</t>
        </is>
      </c>
      <c r="Q43" s="143" t="n"/>
      <c r="R43" s="143" t="n"/>
      <c r="S43" s="143" t="n"/>
      <c r="T43" s="143" t="n"/>
      <c r="U43" s="143" t="n"/>
      <c r="V43" s="59" t="n"/>
      <c r="W43" s="60" t="n"/>
      <c r="X43" s="60" t="n"/>
    </row>
    <row r="44" ht="13" customHeight="1" s="286">
      <c r="B44" s="191" t="inlineStr">
        <is>
          <t>OO - SkyWest</t>
        </is>
      </c>
      <c r="C44" s="81">
        <f>SUMIF(SCH_DEP_SQL_4!$A:$A,PAGE_1!R33,SCH_DEP_SQL_4!$E:$E)</f>
        <v/>
      </c>
      <c r="D44" s="190">
        <f>IF(SUMIFS(RES_CNXL_SQL_3!$F:$F,RES_CNXL_SQL_3!$A:$A,PAGE_1!$R33,RES_CNXL_SQL_3!$D:$D,PAGE_1!$S$32)=0,"",SUMIFS(RES_CNXL_SQL_3!$F:$F,RES_CNXL_SQL_3!$A:$A,PAGE_1!$R33,RES_CNXL_SQL_3!$D:$D,PAGE_1!$S$32))</f>
        <v/>
      </c>
      <c r="E44" s="190">
        <f>IF(SUMIFS(RES_CNXL_SQL_3!$F:$F,RES_CNXL_SQL_3!$A:$A,PAGE_1!$R33,RES_CNXL_SQL_3!$D:$D,PAGE_1!$S$33)=0,"",SUMIFS(RES_CNXL_SQL_3!$F:$F,RES_CNXL_SQL_3!$A:$A,PAGE_1!$R33,RES_CNXL_SQL_3!$D:$D,PAGE_1!$S$33))</f>
        <v/>
      </c>
      <c r="F44" s="190">
        <f>IF(SUMIFS(RES_CNXL_SQL_3!$F:$F,RES_CNXL_SQL_3!$A:$A,PAGE_1!$R33,RES_CNXL_SQL_3!$D:$D,PAGE_1!$S$34)=0,"",SUMIFS(RES_CNXL_SQL_3!$F:$F,RES_CNXL_SQL_3!$A:$A,PAGE_1!$R33,RES_CNXL_SQL_3!$D:$D,PAGE_1!$S$34))</f>
        <v/>
      </c>
      <c r="G44" s="190">
        <f>IF(SUMIFS(RES_CNXL_SQL_3!$F:$F,RES_CNXL_SQL_3!$A:$A,PAGE_1!$R33,RES_CNXL_SQL_3!$D:$D,PAGE_1!$S$35)=0,"",SUMIFS(RES_CNXL_SQL_3!$F:$F,RES_CNXL_SQL_3!$A:$A,PAGE_1!$R33,RES_CNXL_SQL_3!$D:$D,PAGE_1!$S$35))</f>
        <v/>
      </c>
      <c r="H44" s="190">
        <f>IF(SUMIFS(RES_CNXL_SQL_3!$F:$F,RES_CNXL_SQL_3!$A:$A,PAGE_1!$R33,RES_CNXL_SQL_3!$D:$D,PAGE_1!$S$36)=0,"",SUMIFS(RES_CNXL_SQL_3!$F:$F,RES_CNXL_SQL_3!$A:$A,PAGE_1!$R33,RES_CNXL_SQL_3!$D:$D,PAGE_1!$S$36))</f>
        <v/>
      </c>
      <c r="I44" s="190">
        <f>IF(SUMIFS(RES_CNXL_SQL_3!$F:$F,RES_CNXL_SQL_3!$A:$A,PAGE_1!$R33,RES_CNXL_SQL_3!$D:$D,PAGE_1!$S$37)=0,"",SUMIFS(RES_CNXL_SQL_3!$F:$F,RES_CNXL_SQL_3!$A:$A,PAGE_1!$R33,RES_CNXL_SQL_3!$D:$D,PAGE_1!$S$37))</f>
        <v/>
      </c>
      <c r="J44" s="190">
        <f>IF(SUMIFS(RES_CNXL_SQL_3!$F:$F,RES_CNXL_SQL_3!$A:$A,PAGE_1!$R33,RES_CNXL_SQL_3!$D:$D,PAGE_1!$S$38)=0,"",SUMIFS(RES_CNXL_SQL_3!$F:$F,RES_CNXL_SQL_3!$A:$A,PAGE_1!$R33,RES_CNXL_SQL_3!$D:$D,PAGE_1!$S$38))</f>
        <v/>
      </c>
      <c r="K44" s="190">
        <f>IF(SUMIFS(RES_CNXL_SQL_3!$F:$F,RES_CNXL_SQL_3!$A:$A,PAGE_1!$R33,RES_CNXL_SQL_3!$D:$D,PAGE_1!$S$39)=0,"",SUMIFS(RES_CNXL_SQL_3!$F:$F,RES_CNXL_SQL_3!$A:$A,PAGE_1!$R33,RES_CNXL_SQL_3!$D:$D,PAGE_1!$S$39))</f>
        <v/>
      </c>
      <c r="L44" s="190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9" t="n"/>
      <c r="R44" s="60" t="n"/>
      <c r="S44" s="60" t="n"/>
      <c r="T44" s="60" t="n"/>
      <c r="U44" s="60" t="n"/>
      <c r="V44" s="59" t="n"/>
      <c r="W44" s="60" t="n"/>
      <c r="X44" s="60" t="n"/>
    </row>
    <row r="45" ht="13" customHeight="1" s="286">
      <c r="B45" s="192" t="inlineStr">
        <is>
          <t>YX - Republic</t>
        </is>
      </c>
      <c r="C45" s="138">
        <f>SUMIF(SCH_DEP_SQL_4!$A:$A,PAGE_1!R35,SCH_DEP_SQL_4!$E:$E)</f>
        <v/>
      </c>
      <c r="D45" s="193">
        <f>IF(SUMIFS(RES_CNXL_SQL_3!$F:$F,RES_CNXL_SQL_3!$A:$A,PAGE_1!$R35,RES_CNXL_SQL_3!$D:$D,PAGE_1!$S$32)=0,"",SUMIFS(RES_CNXL_SQL_3!$F:$F,RES_CNXL_SQL_3!$A:$A,PAGE_1!$R35,RES_CNXL_SQL_3!$D:$D,PAGE_1!$S$32))</f>
        <v/>
      </c>
      <c r="E45" s="193">
        <f>IF(SUMIFS(RES_CNXL_SQL_3!$F:$F,RES_CNXL_SQL_3!$A:$A,PAGE_1!$R35,RES_CNXL_SQL_3!$D:$D,PAGE_1!$S$33)=0,"",SUMIFS(RES_CNXL_SQL_3!$F:$F,RES_CNXL_SQL_3!$A:$A,PAGE_1!$R35,RES_CNXL_SQL_3!$D:$D,PAGE_1!$S$33))</f>
        <v/>
      </c>
      <c r="F45" s="193">
        <f>IF(SUMIFS(RES_CNXL_SQL_3!$F:$F,RES_CNXL_SQL_3!$A:$A,PAGE_1!$R35,RES_CNXL_SQL_3!$D:$D,PAGE_1!$S$34)=0,"",SUMIFS(RES_CNXL_SQL_3!$F:$F,RES_CNXL_SQL_3!$A:$A,PAGE_1!$R35,RES_CNXL_SQL_3!$D:$D,PAGE_1!$S$34))</f>
        <v/>
      </c>
      <c r="G45" s="193">
        <f>IF(SUMIFS(RES_CNXL_SQL_3!$F:$F,RES_CNXL_SQL_3!$A:$A,PAGE_1!$R35,RES_CNXL_SQL_3!$D:$D,PAGE_1!$S$35)=0,"",SUMIFS(RES_CNXL_SQL_3!$F:$F,RES_CNXL_SQL_3!$A:$A,PAGE_1!$R35,RES_CNXL_SQL_3!$D:$D,PAGE_1!$S$35))</f>
        <v/>
      </c>
      <c r="H45" s="193">
        <f>IF(SUMIFS(RES_CNXL_SQL_3!$F:$F,RES_CNXL_SQL_3!$A:$A,PAGE_1!$R35,RES_CNXL_SQL_3!$D:$D,PAGE_1!$S$36)=0,"",SUMIFS(RES_CNXL_SQL_3!$F:$F,RES_CNXL_SQL_3!$A:$A,PAGE_1!$R35,RES_CNXL_SQL_3!$D:$D,PAGE_1!$S$36))</f>
        <v/>
      </c>
      <c r="I45" s="193">
        <f>IF(SUMIFS(RES_CNXL_SQL_3!$F:$F,RES_CNXL_SQL_3!$A:$A,PAGE_1!$R35,RES_CNXL_SQL_3!$D:$D,PAGE_1!$S$37)=0,"",SUMIFS(RES_CNXL_SQL_3!$F:$F,RES_CNXL_SQL_3!$A:$A,PAGE_1!$R35,RES_CNXL_SQL_3!$D:$D,PAGE_1!$S$37))</f>
        <v/>
      </c>
      <c r="J45" s="193">
        <f>IF(SUMIFS(RES_CNXL_SQL_3!$F:$F,RES_CNXL_SQL_3!$A:$A,PAGE_1!$R35,RES_CNXL_SQL_3!$D:$D,PAGE_1!$S$38)=0,"",SUMIFS(RES_CNXL_SQL_3!$F:$F,RES_CNXL_SQL_3!$A:$A,PAGE_1!$R35,RES_CNXL_SQL_3!$D:$D,PAGE_1!$S$38))</f>
        <v/>
      </c>
      <c r="K45" s="193">
        <f>IF(SUMIFS(RES_CNXL_SQL_3!$F:$F,RES_CNXL_SQL_3!$A:$A,PAGE_1!$R35,RES_CNXL_SQL_3!$D:$D,PAGE_1!$S$39)=0,"",SUMIFS(RES_CNXL_SQL_3!$F:$F,RES_CNXL_SQL_3!$A:$A,PAGE_1!$R35,RES_CNXL_SQL_3!$D:$D,PAGE_1!$S$39))</f>
        <v/>
      </c>
      <c r="L45" s="193">
        <f>IF(SUMIFS(RES_CNXL_SQL_3!$F:$F,RES_CNXL_SQL_3!$A:$A,PAGE_1!$R35,RES_CNXL_SQL_3!$D:$D,PAGE_1!$S$40)=0,"",SUMIFS(RES_CNXL_SQL_3!$F:$F,RES_CNXL_SQL_3!$A:$A,PAGE_1!$R35,RES_CNXL_SQL_3!$D:$D,PAGE_1!$S$40))</f>
        <v/>
      </c>
      <c r="M45" s="140">
        <f>IF(SUM(D45:L45)=0,"",SUM(D45:L45))</f>
        <v/>
      </c>
      <c r="N45" s="140">
        <f>ES_MATRIX!K17</f>
        <v/>
      </c>
      <c r="O45" s="140">
        <f>IFERROR(M45-ES_MATRIX!L17,"")</f>
        <v/>
      </c>
      <c r="P45" s="141">
        <f>IF(SUMIF(RES_CNXL_SQL_3!$E:$E,PAGE_1!R35,RES_CNXL_SQL_3!$F:$F)=0,"",SUMIF(RES_CNXL_SQL_3!$E:$E,PAGE_1!R35,RES_CNXL_SQL_3!$F:$F))</f>
        <v/>
      </c>
      <c r="Q45" s="59" t="n"/>
      <c r="R45" s="59" t="n"/>
      <c r="S45" s="59" t="n"/>
      <c r="T45" s="59" t="n"/>
      <c r="U45" s="59" t="n"/>
      <c r="V45" s="59" t="n"/>
      <c r="W45" s="60" t="n"/>
      <c r="X45" s="60" t="n"/>
    </row>
    <row r="46" ht="13" customHeight="1" s="286">
      <c r="B46" s="191" t="inlineStr">
        <is>
          <t>G7 - Go Jet</t>
        </is>
      </c>
      <c r="C46" s="81">
        <f>SUMIF(SCH_DEP_SQL_4!$A:$A,PAGE_1!R36,SCH_DEP_SQL_4!$E:$E)</f>
        <v/>
      </c>
      <c r="D46" s="190">
        <f>IF(SUMIFS(RES_CNXL_SQL_3!$F:$F,RES_CNXL_SQL_3!$A:$A,PAGE_1!$R36,RES_CNXL_SQL_3!$D:$D,PAGE_1!$S$32)=0,"",SUMIFS(RES_CNXL_SQL_3!$F:$F,RES_CNXL_SQL_3!$A:$A,PAGE_1!$R36,RES_CNXL_SQL_3!$D:$D,PAGE_1!$S$32))</f>
        <v/>
      </c>
      <c r="E46" s="190">
        <f>IF(SUMIFS(RES_CNXL_SQL_3!$F:$F,RES_CNXL_SQL_3!$A:$A,PAGE_1!$R36,RES_CNXL_SQL_3!$D:$D,PAGE_1!$S$33)=0,"",SUMIFS(RES_CNXL_SQL_3!$F:$F,RES_CNXL_SQL_3!$A:$A,PAGE_1!$R36,RES_CNXL_SQL_3!$D:$D,PAGE_1!$S$33))</f>
        <v/>
      </c>
      <c r="F46" s="190">
        <f>IF(SUMIFS(RES_CNXL_SQL_3!$F:$F,RES_CNXL_SQL_3!$A:$A,PAGE_1!$R36,RES_CNXL_SQL_3!$D:$D,PAGE_1!$S$34)=0,"",SUMIFS(RES_CNXL_SQL_3!$F:$F,RES_CNXL_SQL_3!$A:$A,PAGE_1!$R36,RES_CNXL_SQL_3!$D:$D,PAGE_1!$S$34))</f>
        <v/>
      </c>
      <c r="G46" s="190">
        <f>IF(SUMIFS(RES_CNXL_SQL_3!$F:$F,RES_CNXL_SQL_3!$A:$A,PAGE_1!$R36,RES_CNXL_SQL_3!$D:$D,PAGE_1!$S$35)=0,"",SUMIFS(RES_CNXL_SQL_3!$F:$F,RES_CNXL_SQL_3!$A:$A,PAGE_1!$R36,RES_CNXL_SQL_3!$D:$D,PAGE_1!$S$35))</f>
        <v/>
      </c>
      <c r="H46" s="190">
        <f>IF(SUMIFS(RES_CNXL_SQL_3!$F:$F,RES_CNXL_SQL_3!$A:$A,PAGE_1!$R36,RES_CNXL_SQL_3!$D:$D,PAGE_1!$S$36)=0,"",SUMIFS(RES_CNXL_SQL_3!$F:$F,RES_CNXL_SQL_3!$A:$A,PAGE_1!$R36,RES_CNXL_SQL_3!$D:$D,PAGE_1!$S$36))</f>
        <v/>
      </c>
      <c r="I46" s="190">
        <f>IF(SUMIFS(RES_CNXL_SQL_3!$F:$F,RES_CNXL_SQL_3!$A:$A,PAGE_1!$R36,RES_CNXL_SQL_3!$D:$D,PAGE_1!$S$37)=0,"",SUMIFS(RES_CNXL_SQL_3!$F:$F,RES_CNXL_SQL_3!$A:$A,PAGE_1!$R36,RES_CNXL_SQL_3!$D:$D,PAGE_1!$S$37))</f>
        <v/>
      </c>
      <c r="J46" s="190">
        <f>IF(SUMIFS(RES_CNXL_SQL_3!$F:$F,RES_CNXL_SQL_3!$A:$A,PAGE_1!$R36,RES_CNXL_SQL_3!$D:$D,PAGE_1!$S$38)=0,"",SUMIFS(RES_CNXL_SQL_3!$F:$F,RES_CNXL_SQL_3!$A:$A,PAGE_1!$R36,RES_CNXL_SQL_3!$D:$D,PAGE_1!$S$38))</f>
        <v/>
      </c>
      <c r="K46" s="190">
        <f>IF(SUMIFS(RES_CNXL_SQL_3!$F:$F,RES_CNXL_SQL_3!$A:$A,PAGE_1!$R36,RES_CNXL_SQL_3!$D:$D,PAGE_1!$S$39)=0,"",SUMIFS(RES_CNXL_SQL_3!$F:$F,RES_CNXL_SQL_3!$A:$A,PAGE_1!$R36,RES_CNXL_SQL_3!$D:$D,PAGE_1!$S$39))</f>
        <v/>
      </c>
      <c r="L46" s="190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60" t="n"/>
      <c r="R46" s="60" t="n"/>
      <c r="S46" s="60" t="n"/>
      <c r="T46" s="60" t="n"/>
      <c r="U46" s="60" t="n"/>
      <c r="V46" s="60" t="n"/>
      <c r="W46" s="60" t="n"/>
      <c r="X46" s="60" t="n"/>
    </row>
    <row r="47" ht="13" customHeight="1" s="286">
      <c r="B47" s="192" t="inlineStr">
        <is>
          <t>C5 - CommutAir</t>
        </is>
      </c>
      <c r="C47" s="138">
        <f>SUMIF(SCH_DEP_SQL_4!$A:$A,PAGE_1!R37,SCH_DEP_SQL_4!$E:$E)</f>
        <v/>
      </c>
      <c r="D47" s="193">
        <f>IF(SUMIFS(RES_CNXL_SQL_3!$F:$F,RES_CNXL_SQL_3!$A:$A,PAGE_1!$R37,RES_CNXL_SQL_3!$D:$D,PAGE_1!$S$32)=0,"",SUMIFS(RES_CNXL_SQL_3!$F:$F,RES_CNXL_SQL_3!$A:$A,PAGE_1!$R37,RES_CNXL_SQL_3!$D:$D,PAGE_1!$S$32))</f>
        <v/>
      </c>
      <c r="E47" s="193">
        <f>IF(SUMIFS(RES_CNXL_SQL_3!$F:$F,RES_CNXL_SQL_3!$A:$A,PAGE_1!$R37,RES_CNXL_SQL_3!$D:$D,PAGE_1!$S$33)=0,"",SUMIFS(RES_CNXL_SQL_3!$F:$F,RES_CNXL_SQL_3!$A:$A,PAGE_1!$R37,RES_CNXL_SQL_3!$D:$D,PAGE_1!$S$33))</f>
        <v/>
      </c>
      <c r="F47" s="193">
        <f>IF(SUMIFS(RES_CNXL_SQL_3!$F:$F,RES_CNXL_SQL_3!$A:$A,PAGE_1!$R37,RES_CNXL_SQL_3!$D:$D,PAGE_1!$S$34)=0,"",SUMIFS(RES_CNXL_SQL_3!$F:$F,RES_CNXL_SQL_3!$A:$A,PAGE_1!$R37,RES_CNXL_SQL_3!$D:$D,PAGE_1!$S$34))</f>
        <v/>
      </c>
      <c r="G47" s="193">
        <f>IF(SUMIFS(RES_CNXL_SQL_3!$F:$F,RES_CNXL_SQL_3!$A:$A,PAGE_1!$R37,RES_CNXL_SQL_3!$D:$D,PAGE_1!$S$35)=0,"",SUMIFS(RES_CNXL_SQL_3!$F:$F,RES_CNXL_SQL_3!$A:$A,PAGE_1!$R37,RES_CNXL_SQL_3!$D:$D,PAGE_1!$S$35))</f>
        <v/>
      </c>
      <c r="H47" s="193">
        <f>IF(SUMIFS(RES_CNXL_SQL_3!$F:$F,RES_CNXL_SQL_3!$A:$A,PAGE_1!$R37,RES_CNXL_SQL_3!$D:$D,PAGE_1!$S$36)=0,"",SUMIFS(RES_CNXL_SQL_3!$F:$F,RES_CNXL_SQL_3!$A:$A,PAGE_1!$R37,RES_CNXL_SQL_3!$D:$D,PAGE_1!$S$36))</f>
        <v/>
      </c>
      <c r="I47" s="193">
        <f>IF(SUMIFS(RES_CNXL_SQL_3!$F:$F,RES_CNXL_SQL_3!$A:$A,PAGE_1!$R37,RES_CNXL_SQL_3!$D:$D,PAGE_1!$S$37)=0,"",SUMIFS(RES_CNXL_SQL_3!$F:$F,RES_CNXL_SQL_3!$A:$A,PAGE_1!$R37,RES_CNXL_SQL_3!$D:$D,PAGE_1!$S$37))</f>
        <v/>
      </c>
      <c r="J47" s="193">
        <f>IF(SUMIFS(RES_CNXL_SQL_3!$F:$F,RES_CNXL_SQL_3!$A:$A,PAGE_1!$R37,RES_CNXL_SQL_3!$D:$D,PAGE_1!$S$38)=0,"",SUMIFS(RES_CNXL_SQL_3!$F:$F,RES_CNXL_SQL_3!$A:$A,PAGE_1!$R37,RES_CNXL_SQL_3!$D:$D,PAGE_1!$S$38))</f>
        <v/>
      </c>
      <c r="K47" s="193">
        <f>IF(SUMIFS(RES_CNXL_SQL_3!$F:$F,RES_CNXL_SQL_3!$A:$A,PAGE_1!$R37,RES_CNXL_SQL_3!$D:$D,PAGE_1!$S$39)=0,"",SUMIFS(RES_CNXL_SQL_3!$F:$F,RES_CNXL_SQL_3!$A:$A,PAGE_1!$R37,RES_CNXL_SQL_3!$D:$D,PAGE_1!$S$39))</f>
        <v/>
      </c>
      <c r="L47" s="193">
        <f>IF(SUMIFS(RES_CNXL_SQL_3!$F:$F,RES_CNXL_SQL_3!$A:$A,PAGE_1!$R37,RES_CNXL_SQL_3!$D:$D,PAGE_1!$S$40)=0,"",SUMIFS(RES_CNXL_SQL_3!$F:$F,RES_CNXL_SQL_3!$A:$A,PAGE_1!$R37,RES_CNXL_SQL_3!$D:$D,PAGE_1!$S$40))</f>
        <v/>
      </c>
      <c r="M47" s="142">
        <f>IF(SUM(D47:L47)=0,"",SUM(D47:L47))</f>
        <v/>
      </c>
      <c r="N47" s="140">
        <f>ES_MATRIX!K19</f>
        <v/>
      </c>
      <c r="O47" s="140">
        <f>IFERROR(M47-ES_MATRIX!L19,"")</f>
        <v/>
      </c>
      <c r="P47" s="141">
        <f>IF(SUMIF(RES_CNXL_SQL_3!$E:$E,PAGE_1!R37,RES_CNXL_SQL_3!$F:$F)=0,"",SUMIF(RES_CNXL_SQL_3!$E:$E,PAGE_1!R37,RES_CNXL_SQL_3!$F:$F))</f>
        <v/>
      </c>
    </row>
    <row r="48" ht="13" customHeight="1" s="286">
      <c r="B48" s="191" t="inlineStr">
        <is>
          <t>YV - Mesa</t>
        </is>
      </c>
      <c r="C48" s="81">
        <f>SUMIF(SCH_DEP_SQL_4!$A:$A,PAGE_1!R38,SCH_DEP_SQL_4!$E:$E)</f>
        <v/>
      </c>
      <c r="D48" s="190">
        <f>IF(SUMIFS(RES_CNXL_SQL_3!$F:$F,RES_CNXL_SQL_3!$A:$A,PAGE_1!$R38,RES_CNXL_SQL_3!$D:$D,PAGE_1!$S$32)=0,"",SUMIFS(RES_CNXL_SQL_3!$F:$F,RES_CNXL_SQL_3!$A:$A,PAGE_1!$R38,RES_CNXL_SQL_3!$D:$D,PAGE_1!$S$32))</f>
        <v/>
      </c>
      <c r="E48" s="190">
        <f>IF(SUMIFS(RES_CNXL_SQL_3!$F:$F,RES_CNXL_SQL_3!$A:$A,PAGE_1!$R38,RES_CNXL_SQL_3!$D:$D,PAGE_1!$S$33)=0,"",SUMIFS(RES_CNXL_SQL_3!$F:$F,RES_CNXL_SQL_3!$A:$A,PAGE_1!$R38,RES_CNXL_SQL_3!$D:$D,PAGE_1!$S$33))</f>
        <v/>
      </c>
      <c r="F48" s="190">
        <f>IF(SUMIFS(RES_CNXL_SQL_3!$F:$F,RES_CNXL_SQL_3!$A:$A,PAGE_1!$R38,RES_CNXL_SQL_3!$D:$D,PAGE_1!$S$34)=0,"",SUMIFS(RES_CNXL_SQL_3!$F:$F,RES_CNXL_SQL_3!$A:$A,PAGE_1!$R38,RES_CNXL_SQL_3!$D:$D,PAGE_1!$S$34))</f>
        <v/>
      </c>
      <c r="G48" s="190">
        <f>IF(SUMIFS(RES_CNXL_SQL_3!$F:$F,RES_CNXL_SQL_3!$A:$A,PAGE_1!$R38,RES_CNXL_SQL_3!$D:$D,PAGE_1!$S$35)=0,"",SUMIFS(RES_CNXL_SQL_3!$F:$F,RES_CNXL_SQL_3!$A:$A,PAGE_1!$R38,RES_CNXL_SQL_3!$D:$D,PAGE_1!$S$35))</f>
        <v/>
      </c>
      <c r="H48" s="190">
        <f>IF(SUMIFS(RES_CNXL_SQL_3!$F:$F,RES_CNXL_SQL_3!$A:$A,PAGE_1!$R38,RES_CNXL_SQL_3!$D:$D,PAGE_1!$S$36)=0,"",SUMIFS(RES_CNXL_SQL_3!$F:$F,RES_CNXL_SQL_3!$A:$A,PAGE_1!$R38,RES_CNXL_SQL_3!$D:$D,PAGE_1!$S$36))</f>
        <v/>
      </c>
      <c r="I48" s="190">
        <f>IF(SUMIFS(RES_CNXL_SQL_3!$F:$F,RES_CNXL_SQL_3!$A:$A,PAGE_1!$R38,RES_CNXL_SQL_3!$D:$D,PAGE_1!$S$37)=0,"",SUMIFS(RES_CNXL_SQL_3!$F:$F,RES_CNXL_SQL_3!$A:$A,PAGE_1!$R38,RES_CNXL_SQL_3!$D:$D,PAGE_1!$S$37))</f>
        <v/>
      </c>
      <c r="J48" s="190">
        <f>IF(SUMIFS(RES_CNXL_SQL_3!$F:$F,RES_CNXL_SQL_3!$A:$A,PAGE_1!$R38,RES_CNXL_SQL_3!$D:$D,PAGE_1!$S$38)=0,"",SUMIFS(RES_CNXL_SQL_3!$F:$F,RES_CNXL_SQL_3!$A:$A,PAGE_1!$R38,RES_CNXL_SQL_3!$D:$D,PAGE_1!$S$38))</f>
        <v/>
      </c>
      <c r="K48" s="190">
        <f>IF(SUMIFS(RES_CNXL_SQL_3!$F:$F,RES_CNXL_SQL_3!$A:$A,PAGE_1!$R38,RES_CNXL_SQL_3!$D:$D,PAGE_1!$S$39)=0,"",SUMIFS(RES_CNXL_SQL_3!$F:$F,RES_CNXL_SQL_3!$A:$A,PAGE_1!$R38,RES_CNXL_SQL_3!$D:$D,PAGE_1!$S$39))</f>
        <v/>
      </c>
      <c r="L48" s="190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s="286" thickBot="1">
      <c r="B49" s="192" t="inlineStr">
        <is>
          <t>ZW - Air Wisconsin</t>
        </is>
      </c>
      <c r="C49" s="138">
        <f>SUMIF(SCH_DEP_SQL_4!$A:$A,PAGE_1!R39,SCH_DEP_SQL_4!$E:$E)</f>
        <v/>
      </c>
      <c r="D49" s="193">
        <f>IF(SUMIFS(RES_CNXL_SQL_3!$F:$F,RES_CNXL_SQL_3!$A:$A,PAGE_1!$R39,RES_CNXL_SQL_3!$D:$D,PAGE_1!$S$32)=0,"",SUMIFS(RES_CNXL_SQL_3!$F:$F,RES_CNXL_SQL_3!$A:$A,PAGE_1!$R39,RES_CNXL_SQL_3!$D:$D,PAGE_1!$S$32))</f>
        <v/>
      </c>
      <c r="E49" s="193">
        <f>IF(SUMIFS(RES_CNXL_SQL_3!$F:$F,RES_CNXL_SQL_3!$A:$A,PAGE_1!$R39,RES_CNXL_SQL_3!$D:$D,PAGE_1!$S$33)=0,"",SUMIFS(RES_CNXL_SQL_3!$F:$F,RES_CNXL_SQL_3!$A:$A,PAGE_1!$R39,RES_CNXL_SQL_3!$D:$D,PAGE_1!$S$33))</f>
        <v/>
      </c>
      <c r="F49" s="193">
        <f>IF(SUMIFS(RES_CNXL_SQL_3!$F:$F,RES_CNXL_SQL_3!$A:$A,PAGE_1!$R39,RES_CNXL_SQL_3!$D:$D,PAGE_1!$S$34)=0,"",SUMIFS(RES_CNXL_SQL_3!$F:$F,RES_CNXL_SQL_3!$A:$A,PAGE_1!$R39,RES_CNXL_SQL_3!$D:$D,PAGE_1!$S$34))</f>
        <v/>
      </c>
      <c r="G49" s="193">
        <f>IF(SUMIFS(RES_CNXL_SQL_3!$F:$F,RES_CNXL_SQL_3!$A:$A,PAGE_1!$R39,RES_CNXL_SQL_3!$D:$D,PAGE_1!$S$35)=0,"",SUMIFS(RES_CNXL_SQL_3!$F:$F,RES_CNXL_SQL_3!$A:$A,PAGE_1!$R39,RES_CNXL_SQL_3!$D:$D,PAGE_1!$S$35))</f>
        <v/>
      </c>
      <c r="H49" s="193">
        <f>IF(SUMIFS(RES_CNXL_SQL_3!$F:$F,RES_CNXL_SQL_3!$A:$A,PAGE_1!$R39,RES_CNXL_SQL_3!$D:$D,PAGE_1!$S$36)=0,"",SUMIFS(RES_CNXL_SQL_3!$F:$F,RES_CNXL_SQL_3!$A:$A,PAGE_1!$R39,RES_CNXL_SQL_3!$D:$D,PAGE_1!$S$36))</f>
        <v/>
      </c>
      <c r="I49" s="193">
        <f>IF(SUMIFS(RES_CNXL_SQL_3!$F:$F,RES_CNXL_SQL_3!$A:$A,PAGE_1!$R39,RES_CNXL_SQL_3!$D:$D,PAGE_1!$S$37)=0,"",SUMIFS(RES_CNXL_SQL_3!$F:$F,RES_CNXL_SQL_3!$A:$A,PAGE_1!$R39,RES_CNXL_SQL_3!$D:$D,PAGE_1!$S$37))</f>
        <v/>
      </c>
      <c r="J49" s="193">
        <f>IF(SUMIFS(RES_CNXL_SQL_3!$F:$F,RES_CNXL_SQL_3!$A:$A,PAGE_1!$R39,RES_CNXL_SQL_3!$D:$D,PAGE_1!$S$38)=0,"",SUMIFS(RES_CNXL_SQL_3!$F:$F,RES_CNXL_SQL_3!$A:$A,PAGE_1!$R39,RES_CNXL_SQL_3!$D:$D,PAGE_1!$S$38))</f>
        <v/>
      </c>
      <c r="K49" s="193">
        <f>IF(SUMIFS(RES_CNXL_SQL_3!$F:$F,RES_CNXL_SQL_3!$A:$A,PAGE_1!$R39,RES_CNXL_SQL_3!$D:$D,PAGE_1!$S$39)=0,"",SUMIFS(RES_CNXL_SQL_3!$F:$F,RES_CNXL_SQL_3!$A:$A,PAGE_1!$R39,RES_CNXL_SQL_3!$D:$D,PAGE_1!$S$39))</f>
        <v/>
      </c>
      <c r="L49" s="193">
        <f>IF(SUMIFS(RES_CNXL_SQL_3!$F:$F,RES_CNXL_SQL_3!$A:$A,PAGE_1!$R39,RES_CNXL_SQL_3!$D:$D,PAGE_1!$S$40)=0,"",SUMIFS(RES_CNXL_SQL_3!$F:$F,RES_CNXL_SQL_3!$A:$A,PAGE_1!$R39,RES_CNXL_SQL_3!$D:$D,PAGE_1!$S$40))</f>
        <v/>
      </c>
      <c r="M49" s="140">
        <f>IF(SUM(D49:L49)=0,"",SUM(D49:L49))</f>
        <v/>
      </c>
      <c r="N49" s="140">
        <f>ES_MATRIX!K21</f>
        <v/>
      </c>
      <c r="O49" s="140">
        <f>IFERROR(M49-ES_MATRIX!L21,"")</f>
        <v/>
      </c>
      <c r="P49" s="141">
        <f>IF(SUMIF(RES_CNXL_SQL_3!$E:$E,PAGE_1!R39,RES_CNXL_SQL_3!$F:$F)=0,"",SUMIF(RES_CNXL_SQL_3!$E:$E,PAGE_1!R39,RES_CNXL_SQL_3!$F:$F))</f>
        <v/>
      </c>
    </row>
    <row r="50" ht="13.5" customHeight="1" s="286" thickBot="1">
      <c r="B50" s="68" t="inlineStr">
        <is>
          <t>Total:</t>
        </is>
      </c>
      <c r="C50" s="82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9" t="n"/>
    </row>
    <row r="55" ht="21" customHeight="1" s="286"/>
  </sheetData>
  <mergeCells count="6">
    <mergeCell ref="B2:C2"/>
    <mergeCell ref="D2:E2"/>
    <mergeCell ref="B42:P42"/>
    <mergeCell ref="B4:H4"/>
    <mergeCell ref="B18:M18"/>
    <mergeCell ref="B30:P30"/>
  </mergeCells>
  <conditionalFormatting sqref="F6">
    <cfRule type="cellIs" priority="230" operator="greaterThanOrEqual" dxfId="1">
      <formula>0</formula>
    </cfRule>
    <cfRule type="cellIs" priority="232" operator="lessThan" dxfId="0">
      <formula>0</formula>
    </cfRule>
  </conditionalFormatting>
  <conditionalFormatting sqref="G6">
    <cfRule type="cellIs" priority="227" operator="greaterThanOrEqual" dxfId="121">
      <formula>0</formula>
    </cfRule>
    <cfRule type="cellIs" priority="229" operator="lessThan" dxfId="0">
      <formula>0</formula>
    </cfRule>
  </conditionalFormatting>
  <conditionalFormatting sqref="G7">
    <cfRule type="cellIs" priority="224" operator="greaterThan" dxfId="71">
      <formula>0</formula>
    </cfRule>
    <cfRule type="cellIs" priority="226" operator="lessThan" dxfId="0">
      <formula>0</formula>
    </cfRule>
  </conditionalFormatting>
  <conditionalFormatting sqref="G8">
    <cfRule type="cellIs" priority="221" operator="greaterThan" dxfId="71">
      <formula>0</formula>
    </cfRule>
    <cfRule type="cellIs" priority="223" operator="lessThan" dxfId="0">
      <formula>0</formula>
    </cfRule>
  </conditionalFormatting>
  <conditionalFormatting sqref="F8">
    <cfRule type="cellIs" priority="218" operator="greaterThan" dxfId="71">
      <formula>0</formula>
    </cfRule>
    <cfRule type="cellIs" priority="220" operator="lessThan" dxfId="0">
      <formula>0</formula>
    </cfRule>
  </conditionalFormatting>
  <conditionalFormatting sqref="J24">
    <cfRule type="cellIs" priority="127" operator="greaterThanOrEqual" dxfId="121">
      <formula>0</formula>
    </cfRule>
    <cfRule type="cellIs" priority="128" operator="lessThan" dxfId="0">
      <formula>0</formula>
    </cfRule>
  </conditionalFormatting>
  <conditionalFormatting sqref="K24">
    <cfRule type="cellIs" priority="125" operator="greaterThanOrEqual" dxfId="121">
      <formula>0</formula>
    </cfRule>
    <cfRule type="cellIs" priority="126" operator="lessThan" dxfId="0">
      <formula>0</formula>
    </cfRule>
  </conditionalFormatting>
  <conditionalFormatting sqref="F7">
    <cfRule type="cellIs" priority="108" operator="greaterThan" dxfId="71">
      <formula>0</formula>
    </cfRule>
    <cfRule type="cellIs" priority="109" operator="lessThan" dxfId="0">
      <formula>0</formula>
    </cfRule>
  </conditionalFormatting>
  <conditionalFormatting sqref="K25">
    <cfRule type="cellIs" priority="106" operator="greaterThanOrEqual" dxfId="121">
      <formula>0</formula>
    </cfRule>
    <cfRule type="cellIs" priority="107" operator="lessThan" dxfId="0">
      <formula>0</formula>
    </cfRule>
  </conditionalFormatting>
  <conditionalFormatting sqref="L26">
    <cfRule type="cellIs" priority="104" operator="greaterThanOrEqual" dxfId="121">
      <formula>0</formula>
    </cfRule>
    <cfRule type="cellIs" priority="105" operator="lessThan" dxfId="0">
      <formula>0</formula>
    </cfRule>
  </conditionalFormatting>
  <conditionalFormatting sqref="K23">
    <cfRule type="cellIs" priority="102" operator="greaterThanOrEqual" dxfId="121">
      <formula>0</formula>
    </cfRule>
    <cfRule type="cellIs" priority="103" operator="lessThan" dxfId="0">
      <formula>0</formula>
    </cfRule>
  </conditionalFormatting>
  <conditionalFormatting sqref="J22">
    <cfRule type="cellIs" priority="100" operator="greaterThanOrEqual" dxfId="121">
      <formula>0</formula>
    </cfRule>
    <cfRule type="cellIs" priority="101" operator="lessThan" dxfId="0">
      <formula>0</formula>
    </cfRule>
  </conditionalFormatting>
  <conditionalFormatting sqref="J21">
    <cfRule type="cellIs" priority="98" operator="greaterThanOrEqual" dxfId="121">
      <formula>0</formula>
    </cfRule>
    <cfRule type="cellIs" priority="99" operator="lessThan" dxfId="0">
      <formula>0</formula>
    </cfRule>
  </conditionalFormatting>
  <conditionalFormatting sqref="K21">
    <cfRule type="cellIs" priority="96" operator="greaterThanOrEqual" dxfId="121">
      <formula>0</formula>
    </cfRule>
    <cfRule type="cellIs" priority="97" operator="lessThan" dxfId="0">
      <formula>0</formula>
    </cfRule>
  </conditionalFormatting>
  <conditionalFormatting sqref="F21:F25">
    <cfRule type="cellIs" priority="92" operator="greaterThanOrEqual" dxfId="121">
      <formula>0</formula>
    </cfRule>
    <cfRule type="cellIs" priority="93" operator="lessThan" dxfId="0">
      <formula>0</formula>
    </cfRule>
  </conditionalFormatting>
  <conditionalFormatting sqref="E21:E22">
    <cfRule type="cellIs" priority="90" operator="greaterThanOrEqual" dxfId="121">
      <formula>0</formula>
    </cfRule>
    <cfRule type="cellIs" priority="91" operator="lessThan" dxfId="0">
      <formula>0</formula>
    </cfRule>
  </conditionalFormatting>
  <conditionalFormatting sqref="E25">
    <cfRule type="cellIs" priority="88" operator="greaterThanOrEqual" dxfId="121">
      <formula>0</formula>
    </cfRule>
    <cfRule type="cellIs" priority="89" operator="lessThan" dxfId="0">
      <formula>0</formula>
    </cfRule>
  </conditionalFormatting>
  <conditionalFormatting sqref="G26">
    <cfRule type="cellIs" priority="86" operator="greaterThanOrEqual" dxfId="121">
      <formula>0</formula>
    </cfRule>
    <cfRule type="cellIs" priority="87" operator="lessThan" dxfId="0">
      <formula>0</formula>
    </cfRule>
  </conditionalFormatting>
  <conditionalFormatting sqref="L27">
    <cfRule type="cellIs" priority="82" operator="greaterThanOrEqual" dxfId="121">
      <formula>0</formula>
    </cfRule>
    <cfRule type="cellIs" priority="83" operator="lessThan" dxfId="0">
      <formula>0</formula>
    </cfRule>
  </conditionalFormatting>
  <conditionalFormatting sqref="E24">
    <cfRule type="cellIs" priority="78" operator="greaterThanOrEqual" dxfId="121">
      <formula>0</formula>
    </cfRule>
    <cfRule type="cellIs" priority="79" operator="lessThan" dxfId="0">
      <formula>0</formula>
    </cfRule>
  </conditionalFormatting>
  <conditionalFormatting sqref="E27">
    <cfRule type="cellIs" priority="76" operator="greaterThanOrEqual" dxfId="121">
      <formula>0</formula>
    </cfRule>
    <cfRule type="cellIs" priority="77" operator="lessThan" dxfId="0">
      <formula>0</formula>
    </cfRule>
  </conditionalFormatting>
  <conditionalFormatting sqref="F27">
    <cfRule type="cellIs" priority="74" operator="greaterThanOrEqual" dxfId="121">
      <formula>0</formula>
    </cfRule>
    <cfRule type="cellIs" priority="75" operator="lessThan" dxfId="0">
      <formula>0</formula>
    </cfRule>
  </conditionalFormatting>
  <conditionalFormatting sqref="G25">
    <cfRule type="cellIs" priority="72" operator="greaterThanOrEqual" dxfId="121">
      <formula>0</formula>
    </cfRule>
    <cfRule type="cellIs" priority="73" operator="lessThan" dxfId="0">
      <formula>0</formula>
    </cfRule>
  </conditionalFormatting>
  <conditionalFormatting sqref="G27">
    <cfRule type="cellIs" priority="70" operator="greaterThanOrEqual" dxfId="121">
      <formula>0</formula>
    </cfRule>
    <cfRule type="cellIs" priority="71" operator="lessThan" dxfId="0">
      <formula>0</formula>
    </cfRule>
  </conditionalFormatting>
  <conditionalFormatting sqref="J27">
    <cfRule type="cellIs" priority="68" operator="greaterThanOrEqual" dxfId="121">
      <formula>0</formula>
    </cfRule>
    <cfRule type="cellIs" priority="69" operator="lessThan" dxfId="0">
      <formula>0</formula>
    </cfRule>
  </conditionalFormatting>
  <conditionalFormatting sqref="K22">
    <cfRule type="cellIs" priority="66" operator="greaterThanOrEqual" dxfId="121">
      <formula>0</formula>
    </cfRule>
    <cfRule type="cellIs" priority="67" operator="lessThan" dxfId="0">
      <formula>0</formula>
    </cfRule>
  </conditionalFormatting>
  <conditionalFormatting sqref="K27">
    <cfRule type="cellIs" priority="64" operator="greaterThanOrEqual" dxfId="121">
      <formula>0</formula>
    </cfRule>
    <cfRule type="cellIs" priority="65" operator="lessThan" dxfId="0">
      <formula>0</formula>
    </cfRule>
  </conditionalFormatting>
  <conditionalFormatting sqref="D32:D37">
    <cfRule type="top10" rank="1" priority="18" dxfId="2"/>
  </conditionalFormatting>
  <conditionalFormatting sqref="E32:E37">
    <cfRule type="top10" rank="1" priority="17" dxfId="2"/>
  </conditionalFormatting>
  <conditionalFormatting sqref="F32:F37">
    <cfRule type="top10" rank="1" priority="16" dxfId="2"/>
  </conditionalFormatting>
  <conditionalFormatting sqref="G32:G37">
    <cfRule type="top10" rank="1" priority="15" dxfId="2"/>
  </conditionalFormatting>
  <conditionalFormatting sqref="H32:H37">
    <cfRule type="top10" rank="1" priority="14" dxfId="2"/>
  </conditionalFormatting>
  <conditionalFormatting sqref="I32:I37">
    <cfRule type="top10" rank="1" priority="13" dxfId="2"/>
  </conditionalFormatting>
  <conditionalFormatting sqref="J32:J37">
    <cfRule type="top10" rank="1" priority="12" dxfId="2"/>
  </conditionalFormatting>
  <conditionalFormatting sqref="K32:K37">
    <cfRule type="top10" rank="1" priority="11" dxfId="2"/>
  </conditionalFormatting>
  <conditionalFormatting sqref="L32:L37">
    <cfRule type="top10" rank="1" priority="10" dxfId="2"/>
  </conditionalFormatting>
  <conditionalFormatting sqref="D44:D49">
    <cfRule type="top10" rank="1" priority="9" dxfId="2"/>
  </conditionalFormatting>
  <conditionalFormatting sqref="E44:E49">
    <cfRule type="top10" rank="1" priority="8" dxfId="2"/>
  </conditionalFormatting>
  <conditionalFormatting sqref="F44:F49">
    <cfRule type="top10" rank="1" priority="7" dxfId="2"/>
  </conditionalFormatting>
  <conditionalFormatting sqref="G44:G49">
    <cfRule type="top10" rank="1" priority="6" dxfId="2"/>
  </conditionalFormatting>
  <conditionalFormatting sqref="H44:H49">
    <cfRule type="top10" rank="1" priority="5" dxfId="2"/>
  </conditionalFormatting>
  <conditionalFormatting sqref="I44:I49">
    <cfRule type="top10" rank="1" priority="4" dxfId="2"/>
  </conditionalFormatting>
  <conditionalFormatting sqref="J44:J49">
    <cfRule type="top10" rank="1" priority="3" dxfId="2"/>
  </conditionalFormatting>
  <conditionalFormatting sqref="K44:K49">
    <cfRule type="top10" rank="1" priority="2" dxfId="2"/>
  </conditionalFormatting>
  <conditionalFormatting sqref="L44:L49">
    <cfRule type="top10" rank="1" priority="1" dxfId="2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s="286" thickBot="1"/>
    <row r="2" ht="28.9" customHeight="1" s="286">
      <c r="B2" s="339" t="inlineStr">
        <is>
          <t>UAX Daily Snapshot for</t>
        </is>
      </c>
      <c r="C2" s="340" t="n"/>
      <c r="D2" s="341">
        <f>TODAY()-1</f>
        <v/>
      </c>
      <c r="E2" s="340" t="n"/>
    </row>
    <row r="3" ht="15" customHeight="1" s="286" thickBot="1">
      <c r="F3" s="1" t="n"/>
      <c r="J3" s="85" t="n"/>
      <c r="K3" s="85" t="n"/>
      <c r="L3" s="85" t="n"/>
      <c r="M3" s="84" t="n"/>
    </row>
    <row r="4" ht="18" customHeight="1" s="286" thickBot="1">
      <c r="B4" s="314" t="inlineStr">
        <is>
          <t>Reliability Snapshot - SYS</t>
        </is>
      </c>
      <c r="C4" s="342" t="n"/>
      <c r="D4" s="342" t="n"/>
      <c r="E4" s="342" t="n"/>
      <c r="F4" s="342" t="n"/>
      <c r="G4" s="342" t="n"/>
      <c r="H4" s="342" t="n"/>
    </row>
    <row r="5" ht="19.9" customHeight="1" s="286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 s="286">
      <c r="B6" s="62" t="inlineStr">
        <is>
          <t>Completion</t>
        </is>
      </c>
      <c r="C6" s="352">
        <f>UA_SQL_1!N2/UA_SQL_1!M2</f>
        <v/>
      </c>
      <c r="D6" s="352">
        <f>UA_SQL_1!F2/UA_SQL_1!E2</f>
        <v/>
      </c>
      <c r="E6" s="344">
        <f>SUMIF(EX_Goals!$B:$B,PAGE_1_old!#REF!,EX_Goals!$E:$E)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</row>
    <row r="7" ht="19.9" customHeight="1" s="286">
      <c r="B7" s="62" t="inlineStr">
        <is>
          <t>A:00</t>
        </is>
      </c>
      <c r="C7" s="352">
        <f>UA_SQL_1!Q2/UA_SQL_1!M2</f>
        <v/>
      </c>
      <c r="D7" s="352">
        <f>UA_SQL_1!I2/UA_SQL_1!E2</f>
        <v/>
      </c>
      <c r="E7" s="344">
        <f>SUMIF(EX_Goals!$B:$B,PAGE_1_old!#REF!,EX_Goals!$D:$D)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</row>
    <row r="8" ht="19.15" customHeight="1" s="286">
      <c r="B8" s="63" t="inlineStr">
        <is>
          <t xml:space="preserve">CS D:00 </t>
        </is>
      </c>
      <c r="C8" s="352">
        <f>UA_SQL_1!P2/UA_SQL_1!M2</f>
        <v/>
      </c>
      <c r="D8" s="357">
        <f>UA_SQL_1!H2/UA_SQL_1!E2</f>
        <v/>
      </c>
      <c r="E8" s="344">
        <f>SUMIF(EX_Goals!$B:$B,PAGE_1_old!#REF!,EX_Goals!$C:$C)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</row>
    <row r="9" ht="19.9" customHeight="1" s="286">
      <c r="B9" s="63" t="inlineStr">
        <is>
          <t xml:space="preserve">D:00 </t>
        </is>
      </c>
      <c r="C9" s="352">
        <f>UA_SQL_1!O2/UA_SQL_1!M2</f>
        <v/>
      </c>
      <c r="D9" s="357">
        <f>UA_SQL_1!G2/UA_SQL_1!E2</f>
        <v/>
      </c>
      <c r="E9" s="344">
        <f>SUMIF(EX_Goals!$B:$B,PAGE_1_old!#REF!,EX_Goals!$C:$C)</f>
        <v/>
      </c>
      <c r="F9" s="75" t="n"/>
      <c r="G9" s="75" t="n"/>
      <c r="H9" s="75" t="n"/>
    </row>
    <row r="10" ht="20.5" customHeight="1" s="286">
      <c r="B10" s="62" t="inlineStr">
        <is>
          <t>STAR D:00</t>
        </is>
      </c>
      <c r="C10" s="352">
        <f>UA_SQL_1!S2/UA_SQL_1!R2</f>
        <v/>
      </c>
      <c r="D10" s="352">
        <f>UA_SQL_1!K2/UA_SQL_1!J2</f>
        <v/>
      </c>
      <c r="E10" s="344">
        <f>SUMIF(EX_Goals!$B:$B,PAGE_1_old!#REF!,EX_Goals!$F:$F)</f>
        <v/>
      </c>
      <c r="F10" s="76" t="n"/>
      <c r="G10" s="76" t="n"/>
      <c r="H10" s="76" t="n"/>
    </row>
    <row r="11" ht="19.9" customHeight="1" s="286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SUMIF(EX_Goals!$B:$B,PAGE_1_old!#REF!,EX_Goals!$G:$G)</f>
        <v/>
      </c>
      <c r="F11" s="75" t="n"/>
      <c r="G11" s="75" t="n"/>
      <c r="H11" s="75" t="n"/>
    </row>
    <row r="12" ht="19.9" customHeight="1" s="286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</row>
    <row r="13" ht="19.9" customHeight="1" s="286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4.5" customHeight="1" s="286"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5" customHeight="1" s="286" thickBot="1"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9.15" customHeight="1" s="286" thickBot="1">
      <c r="B16" s="316" t="inlineStr">
        <is>
          <t>Reliability Snapshot - Hubs</t>
        </is>
      </c>
      <c r="C16" s="351" t="n"/>
      <c r="D16" s="351" t="n"/>
      <c r="E16" s="351" t="n"/>
      <c r="F16" s="351" t="n"/>
      <c r="G16" s="351" t="n"/>
      <c r="H16" s="351" t="n"/>
      <c r="I16" s="351" t="n"/>
      <c r="J16" s="351" t="n"/>
      <c r="K16" s="351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9.15" customHeight="1" s="286" thickBot="1">
      <c r="B17" s="64" t="inlineStr">
        <is>
          <t>Market</t>
        </is>
      </c>
      <c r="C17" s="49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6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9" t="n"/>
      <c r="P17" s="59" t="n"/>
      <c r="Q17" s="59" t="n"/>
      <c r="R17" s="59" t="n"/>
      <c r="S17" s="59" t="n"/>
      <c r="T17" s="59" t="n"/>
      <c r="U17" s="60" t="n"/>
      <c r="V17" s="60" t="n"/>
    </row>
    <row r="18" ht="19.15" customHeight="1" s="286">
      <c r="B18" s="62" t="inlineStr">
        <is>
          <t>Denver</t>
        </is>
      </c>
      <c r="C18" s="352">
        <f>SUMIFS(UA_HUB_SQL_7!J:J,UA_HUB_SQL_7!$B:$B,PAGE_1_old!B18)/SUMIFS(UA_HUB_SQL_7!$F:$F,UA_HUB_SQL_7!$B:$B,PAGE_1_old!B18)</f>
        <v/>
      </c>
      <c r="D18" s="352">
        <f>SUMIFS(UA_HUB_SQL_7!K:K,UA_HUB_SQL_7!B:B,PAGE_1_old!B18)/SUMIFS(UA_HUB_SQL_7!F:F,UA_HUB_SQL_7!B:B,PAGE_1_old!B18)</f>
        <v/>
      </c>
      <c r="E18" s="108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8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2">
        <f>RANK!F8</f>
        <v/>
      </c>
      <c r="H18" s="352">
        <f>SUMIFS(UA_HUB_SQL_7!G:G,UA_HUB_SQL_7!$B:$B,PAGE_1_old!B18)/SUMIFS(UA_HUB_SQL_7!$F:$F,UA_HUB_SQL_7!$B:$B,PAGE_1_old!B18)</f>
        <v/>
      </c>
      <c r="I18" s="108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8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2">
        <f>RANK!M19</f>
        <v/>
      </c>
      <c r="O18" s="59" t="n"/>
      <c r="P18" s="59" t="n"/>
      <c r="Q18" s="59" t="n"/>
      <c r="R18" s="59" t="n"/>
      <c r="S18" s="59" t="n"/>
      <c r="T18" s="59" t="n"/>
      <c r="U18" s="60" t="n"/>
      <c r="V18" s="60" t="n"/>
    </row>
    <row r="19" ht="19.15" customHeight="1" s="286">
      <c r="B19" s="62" t="inlineStr">
        <is>
          <t>New York</t>
        </is>
      </c>
      <c r="C19" s="352">
        <f>SUMIFS(UA_HUB_SQL_7!J:J,UA_HUB_SQL_7!$B:$B,PAGE_1_old!B19)/SUMIFS(UA_HUB_SQL_7!$F:$F,UA_HUB_SQL_7!$B:$B,PAGE_1_old!B19)</f>
        <v/>
      </c>
      <c r="D19" s="352">
        <f>SUMIFS(UA_HUB_SQL_7!K:K,UA_HUB_SQL_7!B:B,PAGE_1_old!B19)/SUMIFS(UA_HUB_SQL_7!F:F,UA_HUB_SQL_7!B:B,PAGE_1_old!B19)</f>
        <v/>
      </c>
      <c r="E19" s="108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8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2">
        <f>RANK!F9</f>
        <v/>
      </c>
      <c r="H19" s="352">
        <f>SUMIFS(UA_HUB_SQL_7!G:G,UA_HUB_SQL_7!$B:$B,PAGE_1_old!B19)/SUMIFS(UA_HUB_SQL_7!$F:$F,UA_HUB_SQL_7!$B:$B,PAGE_1_old!B19)</f>
        <v/>
      </c>
      <c r="I19" s="108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8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2">
        <f>RANK!M20</f>
        <v/>
      </c>
      <c r="O19" s="59" t="n"/>
      <c r="P19" s="59" t="n"/>
      <c r="Q19" s="59" t="n"/>
      <c r="R19" s="59" t="n"/>
      <c r="S19" s="59" t="n"/>
      <c r="T19" s="59" t="n"/>
      <c r="U19" s="60" t="n"/>
      <c r="V19" s="60" t="n"/>
    </row>
    <row r="20" ht="19.15" customHeight="1" s="286">
      <c r="B20" s="63" t="inlineStr">
        <is>
          <t>Washington DC</t>
        </is>
      </c>
      <c r="C20" s="352">
        <f>SUMIFS(UA_HUB_SQL_7!J:J,UA_HUB_SQL_7!$B:$B,PAGE_1_old!B20)/SUMIFS(UA_HUB_SQL_7!$F:$F,UA_HUB_SQL_7!$B:$B,PAGE_1_old!B20)</f>
        <v/>
      </c>
      <c r="D20" s="352">
        <f>SUMIFS(UA_HUB_SQL_7!K:K,UA_HUB_SQL_7!B:B,PAGE_1_old!B20)/SUMIFS(UA_HUB_SQL_7!F:F,UA_HUB_SQL_7!B:B,PAGE_1_old!B20)</f>
        <v/>
      </c>
      <c r="E20" s="108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8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2">
        <f>RANK!F10</f>
        <v/>
      </c>
      <c r="H20" s="352">
        <f>SUMIFS(UA_HUB_SQL_7!G:G,UA_HUB_SQL_7!$B:$B,PAGE_1_old!B20)/SUMIFS(UA_HUB_SQL_7!$F:$F,UA_HUB_SQL_7!$B:$B,PAGE_1_old!B20)</f>
        <v/>
      </c>
      <c r="I20" s="108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8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2">
        <f>RANK!M21</f>
        <v/>
      </c>
      <c r="O20" s="59" t="n"/>
      <c r="P20" s="59" t="n"/>
      <c r="Q20" s="59" t="n"/>
      <c r="R20" s="59" t="n"/>
      <c r="S20" s="59" t="n"/>
      <c r="T20" s="59" t="n"/>
      <c r="U20" s="60" t="n"/>
      <c r="V20" s="60" t="n"/>
    </row>
    <row r="21" ht="19.15" customHeight="1" s="286">
      <c r="B21" s="63" t="inlineStr">
        <is>
          <t>Texas</t>
        </is>
      </c>
      <c r="C21" s="352">
        <f>SUMIFS(UA_HUB_SQL_7!J:J,UA_HUB_SQL_7!$B:$B,PAGE_1_old!B21)/SUMIFS(UA_HUB_SQL_7!$F:$F,UA_HUB_SQL_7!$B:$B,PAGE_1_old!B21)</f>
        <v/>
      </c>
      <c r="D21" s="352">
        <f>SUMIFS(UA_HUB_SQL_7!K:K,UA_HUB_SQL_7!B:B,PAGE_1_old!B21)/SUMIFS(UA_HUB_SQL_7!F:F,UA_HUB_SQL_7!B:B,PAGE_1_old!B21)</f>
        <v/>
      </c>
      <c r="E21" s="108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8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2">
        <f>RANK!F11</f>
        <v/>
      </c>
      <c r="H21" s="352">
        <f>SUMIFS(UA_HUB_SQL_7!G:G,UA_HUB_SQL_7!$B:$B,PAGE_1_old!B21)/SUMIFS(UA_HUB_SQL_7!$F:$F,UA_HUB_SQL_7!$B:$B,PAGE_1_old!B21)</f>
        <v/>
      </c>
      <c r="I21" s="108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8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2">
        <f>RANK!M22</f>
        <v/>
      </c>
      <c r="O21" s="59" t="n"/>
      <c r="P21" s="59" t="n"/>
      <c r="Q21" s="59" t="n"/>
      <c r="R21" s="59" t="n"/>
      <c r="S21" s="59" t="n"/>
      <c r="T21" s="59" t="n"/>
      <c r="U21" s="60" t="n"/>
      <c r="V21" s="60" t="n"/>
    </row>
    <row r="22" ht="19.15" customHeight="1" s="286">
      <c r="B22" s="62" t="inlineStr">
        <is>
          <t>Los Angeles</t>
        </is>
      </c>
      <c r="C22" s="352">
        <f>SUMIFS(UA_HUB_SQL_7!J:J,UA_HUB_SQL_7!$B:$B,PAGE_1_old!B22)/SUMIFS(UA_HUB_SQL_7!$F:$F,UA_HUB_SQL_7!$B:$B,PAGE_1_old!B22)</f>
        <v/>
      </c>
      <c r="D22" s="352">
        <f>SUMIFS(UA_HUB_SQL_7!K:K,UA_HUB_SQL_7!B:B,PAGE_1_old!B22)/SUMIFS(UA_HUB_SQL_7!F:F,UA_HUB_SQL_7!B:B,PAGE_1_old!B22)</f>
        <v/>
      </c>
      <c r="E22" s="108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8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2">
        <f>RANK!F12</f>
        <v/>
      </c>
      <c r="H22" s="352">
        <f>SUMIFS(UA_HUB_SQL_7!G:G,UA_HUB_SQL_7!$B:$B,PAGE_1_old!B22)/SUMIFS(UA_HUB_SQL_7!$F:$F,UA_HUB_SQL_7!$B:$B,PAGE_1_old!B22)</f>
        <v/>
      </c>
      <c r="I22" s="108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8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2">
        <f>RANK!M23</f>
        <v/>
      </c>
      <c r="O22" s="59" t="n"/>
      <c r="P22" s="59" t="n"/>
      <c r="Q22" s="59" t="n"/>
      <c r="R22" s="59" t="n"/>
      <c r="S22" s="59" t="n"/>
      <c r="T22" s="59" t="n"/>
      <c r="U22" s="60" t="n"/>
      <c r="V22" s="60" t="n"/>
    </row>
    <row r="23" ht="19.15" customHeight="1" s="286">
      <c r="B23" s="63" t="inlineStr">
        <is>
          <t>Chicago</t>
        </is>
      </c>
      <c r="C23" s="352">
        <f>SUMIFS(UA_HUB_SQL_7!J:J,UA_HUB_SQL_7!$B:$B,PAGE_1_old!B23)/SUMIFS(UA_HUB_SQL_7!$F:$F,UA_HUB_SQL_7!$B:$B,PAGE_1_old!B23)</f>
        <v/>
      </c>
      <c r="D23" s="352">
        <f>SUMIFS(UA_HUB_SQL_7!K:K,UA_HUB_SQL_7!B:B,PAGE_1_old!B23)/SUMIFS(UA_HUB_SQL_7!F:F,UA_HUB_SQL_7!B:B,PAGE_1_old!B23)</f>
        <v/>
      </c>
      <c r="E23" s="108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8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2">
        <f>RANK!F13</f>
        <v/>
      </c>
      <c r="H23" s="352">
        <f>SUMIFS(UA_HUB_SQL_7!G:G,UA_HUB_SQL_7!$B:$B,PAGE_1_old!B23)/SUMIFS(UA_HUB_SQL_7!$F:$F,UA_HUB_SQL_7!$B:$B,PAGE_1_old!B23)</f>
        <v/>
      </c>
      <c r="I23" s="108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8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2">
        <f>RANK!M24</f>
        <v/>
      </c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60" t="n"/>
      <c r="V23" s="60" t="n"/>
    </row>
    <row r="24" ht="19.15" customHeight="1" s="286">
      <c r="B24" s="62" t="inlineStr">
        <is>
          <t>San Francisco</t>
        </is>
      </c>
      <c r="C24" s="352">
        <f>SUMIFS(UA_HUB_SQL_7!J:J,UA_HUB_SQL_7!$B:$B,PAGE_1_old!B24)/SUMIFS(UA_HUB_SQL_7!$F:$F,UA_HUB_SQL_7!$B:$B,PAGE_1_old!B24)</f>
        <v/>
      </c>
      <c r="D24" s="352">
        <f>SUMIFS(UA_HUB_SQL_7!K:K,UA_HUB_SQL_7!B:B,PAGE_1_old!B24)/SUMIFS(UA_HUB_SQL_7!F:F,UA_HUB_SQL_7!B:B,PAGE_1_old!B24)</f>
        <v/>
      </c>
      <c r="E24" s="108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8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2">
        <f>RANK!F14</f>
        <v/>
      </c>
      <c r="H24" s="352">
        <f>SUMIFS(UA_HUB_SQL_7!G:G,UA_HUB_SQL_7!$B:$B,PAGE_1_old!B24)/SUMIFS(UA_HUB_SQL_7!$F:$F,UA_HUB_SQL_7!$B:$B,PAGE_1_old!B24)</f>
        <v/>
      </c>
      <c r="I24" s="108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8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2">
        <f>RANK!M25</f>
        <v/>
      </c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60" t="n"/>
      <c r="V24" s="60" t="n"/>
    </row>
    <row r="25"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2.5" customHeight="1" s="286" thickBot="1">
      <c r="C26" s="347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6" customHeight="1" s="286" thickBot="1">
      <c r="B27" s="314" t="inlineStr">
        <is>
          <t>Cancel Detail</t>
        </is>
      </c>
      <c r="C27" s="342" t="n"/>
      <c r="D27" s="342" t="n"/>
      <c r="E27" s="342" t="n"/>
      <c r="F27" s="342" t="n"/>
      <c r="G27" s="342" t="n"/>
      <c r="H27" s="342" t="n"/>
      <c r="I27" s="342" t="n"/>
      <c r="J27" s="342" t="n"/>
      <c r="K27" s="342" t="n"/>
      <c r="L27" s="342" t="n"/>
      <c r="M27" s="342" t="n"/>
      <c r="N27" s="342" t="n"/>
      <c r="O27" s="342" t="n"/>
      <c r="P27" s="342" t="n"/>
      <c r="Q27" s="59" t="n"/>
      <c r="R27" s="60" t="n"/>
      <c r="S27" s="60" t="n"/>
      <c r="T27" s="60" t="n"/>
      <c r="U27" s="60" t="n"/>
      <c r="V27" s="59" t="n"/>
      <c r="W27" s="60" t="n"/>
      <c r="X27" s="60" t="n"/>
    </row>
    <row r="28" ht="30.65" customHeight="1" s="286" thickBot="1">
      <c r="B28" s="70" t="inlineStr">
        <is>
          <t>Express Partner</t>
        </is>
      </c>
      <c r="C28" s="71" t="inlineStr">
        <is>
          <t>Scheduled Departures</t>
        </is>
      </c>
      <c r="D28" s="72" t="inlineStr">
        <is>
          <t>Weather &amp; ATC</t>
        </is>
      </c>
      <c r="E28" s="72" t="inlineStr">
        <is>
          <t>Technical Operations</t>
        </is>
      </c>
      <c r="F28" s="72" t="inlineStr">
        <is>
          <t>Flight Operations</t>
        </is>
      </c>
      <c r="G28" s="72" t="inlineStr">
        <is>
          <t>Inflight Services</t>
        </is>
      </c>
      <c r="H28" s="72" t="inlineStr">
        <is>
          <t>Airport Operations</t>
        </is>
      </c>
      <c r="I28" s="72" t="inlineStr">
        <is>
          <t>Network Operations</t>
        </is>
      </c>
      <c r="J28" s="72" t="inlineStr">
        <is>
          <t>IT</t>
        </is>
      </c>
      <c r="K28" s="72" t="inlineStr">
        <is>
          <t>Catering Operations</t>
        </is>
      </c>
      <c r="L28" s="72" t="inlineStr">
        <is>
          <t>Other</t>
        </is>
      </c>
      <c r="M28" s="73" t="inlineStr">
        <is>
          <t>Total Cancels</t>
        </is>
      </c>
      <c r="N28" s="74" t="inlineStr">
        <is>
          <t>ES covered for this partner</t>
        </is>
      </c>
      <c r="O28" s="74" t="inlineStr">
        <is>
          <t>Net Cancel</t>
        </is>
      </c>
      <c r="P28" s="74" t="inlineStr">
        <is>
          <t>ES covered by this partner</t>
        </is>
      </c>
      <c r="Q28" s="59" t="n"/>
      <c r="R28" s="60" t="n"/>
      <c r="S28" s="60" t="n"/>
      <c r="T28" s="60" t="n"/>
      <c r="U28" s="60" t="n"/>
      <c r="V28" s="59" t="n"/>
      <c r="W28" s="60" t="n"/>
      <c r="X28" s="60" t="n"/>
    </row>
    <row r="29" ht="14.5" customHeight="1" s="286">
      <c r="B29" s="66" t="inlineStr">
        <is>
          <t>EV - ExpressJet</t>
        </is>
      </c>
      <c r="C29" s="80">
        <f>SUMIF(SCH_DEP_SQL_4!$A:$A,PAGE_1_old!R29,SCH_DEP_SQL_4!$E:$E)</f>
        <v/>
      </c>
      <c r="D29" s="48">
        <f>IF(SUMIFS(CNXL_SQL_2!$F:$F,CNXL_SQL_2!$A:$A,PAGE_1_old!$R29,CNXL_SQL_2!$D:$D,PAGE_1_old!$S$29)=0,"",SUMIFS(CNXL_SQL_2!$F:$F,CNXL_SQL_2!$A:$A,PAGE_1_old!$R29,CNXL_SQL_2!$D:$D,PAGE_1_old!$S$29))</f>
        <v/>
      </c>
      <c r="E29" s="48">
        <f>IF(SUMIFS(CNXL_SQL_2!$F:$F,CNXL_SQL_2!$A:$A,PAGE_1_old!$R29,CNXL_SQL_2!$D:$D,PAGE_1_old!$S$30)=0,"",SUMIFS(CNXL_SQL_2!$F:$F,CNXL_SQL_2!$A:$A,PAGE_1_old!$R29,CNXL_SQL_2!$D:$D,PAGE_1_old!$S$30))</f>
        <v/>
      </c>
      <c r="F29" s="48">
        <f>IF(SUMIFS(CNXL_SQL_2!$F:$F,CNXL_SQL_2!$A:$A,PAGE_1_old!$R29,CNXL_SQL_2!$D:$D,PAGE_1_old!$S$31)=0,"",SUMIFS(CNXL_SQL_2!$F:$F,CNXL_SQL_2!$A:$A,PAGE_1_old!$R29,CNXL_SQL_2!$D:$D,PAGE_1_old!$S$31))</f>
        <v/>
      </c>
      <c r="G29" s="48">
        <f>IF(SUMIFS(CNXL_SQL_2!$F:$F,CNXL_SQL_2!$A:$A,PAGE_1_old!$R29,CNXL_SQL_2!$D:$D,PAGE_1_old!$S$32)=0,"",SUMIFS(CNXL_SQL_2!$F:$F,CNXL_SQL_2!$A:$A,PAGE_1_old!$R29,CNXL_SQL_2!$D:$D,PAGE_1_old!$S$32))</f>
        <v/>
      </c>
      <c r="H29" s="48">
        <f>IF(SUMIFS(CNXL_SQL_2!$F:$F,CNXL_SQL_2!$A:$A,PAGE_1_old!$R29,CNXL_SQL_2!$D:$D,PAGE_1_old!$S$33)=0,"",SUMIFS(CNXL_SQL_2!$F:$F,CNXL_SQL_2!$A:$A,PAGE_1_old!$R29,CNXL_SQL_2!$D:$D,PAGE_1_old!$S$33))</f>
        <v/>
      </c>
      <c r="I29" s="48">
        <f>IF(SUMIFS(CNXL_SQL_2!$F:$F,CNXL_SQL_2!$A:$A,PAGE_1_old!$R29,CNXL_SQL_2!$D:$D,PAGE_1_old!$S$34)=0,"",SUMIFS(CNXL_SQL_2!$F:$F,CNXL_SQL_2!$A:$A,PAGE_1_old!$R29,CNXL_SQL_2!$D:$D,PAGE_1_old!$S$34))</f>
        <v/>
      </c>
      <c r="J29" s="48">
        <f>IF(SUMIFS(CNXL_SQL_2!$F:$F,CNXL_SQL_2!$A:$A,PAGE_1_old!$R29,CNXL_SQL_2!$D:$D,PAGE_1_old!$S$35)=0,"",SUMIFS(CNXL_SQL_2!$F:$F,CNXL_SQL_2!$A:$A,PAGE_1_old!$R29,CNXL_SQL_2!$D:$D,PAGE_1_old!$S$35))</f>
        <v/>
      </c>
      <c r="K29" s="48">
        <f>IF(SUMIFS(CNXL_SQL_2!$F:$F,CNXL_SQL_2!$A:$A,PAGE_1_old!$R29,CNXL_SQL_2!$D:$D,PAGE_1_old!$S$36)=0,"",SUMIFS(CNXL_SQL_2!$F:$F,CNXL_SQL_2!$A:$A,PAGE_1_old!$R29,CNXL_SQL_2!$D:$D,PAGE_1_old!$S$36))</f>
        <v/>
      </c>
      <c r="L29" s="48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9" t="n"/>
      <c r="R29" s="85" t="inlineStr">
        <is>
          <t>EV</t>
        </is>
      </c>
      <c r="S29" s="85" t="inlineStr">
        <is>
          <t>WEATHER/ATC</t>
        </is>
      </c>
      <c r="T29" s="60" t="n"/>
      <c r="U29" s="60" t="n"/>
      <c r="V29" s="59" t="n"/>
      <c r="W29" s="60" t="n"/>
      <c r="X29" s="60" t="n"/>
    </row>
    <row r="30" ht="14.5" customHeight="1" s="286">
      <c r="B30" s="191" t="inlineStr">
        <is>
          <t>OO - SkyWest</t>
        </is>
      </c>
      <c r="C30" s="81">
        <f>SUMIF(SCH_DEP_SQL_4!$A:$A,PAGE_1_old!R30,SCH_DEP_SQL_4!$E:$E)</f>
        <v/>
      </c>
      <c r="D30" s="190">
        <f>IF(SUMIFS(CNXL_SQL_2!$F:$F,CNXL_SQL_2!$A:$A,PAGE_1_old!$R30,CNXL_SQL_2!$D:$D,PAGE_1_old!$S$29)=0,"",SUMIFS(CNXL_SQL_2!$F:$F,CNXL_SQL_2!$A:$A,PAGE_1_old!$R30,CNXL_SQL_2!$D:$D,PAGE_1_old!$S$29))</f>
        <v/>
      </c>
      <c r="E30" s="190">
        <f>IF(SUMIFS(CNXL_SQL_2!$F:$F,CNXL_SQL_2!$A:$A,PAGE_1_old!$R30,CNXL_SQL_2!$D:$D,PAGE_1_old!$S$30)=0,"",SUMIFS(CNXL_SQL_2!$F:$F,CNXL_SQL_2!$A:$A,PAGE_1_old!$R30,CNXL_SQL_2!$D:$D,PAGE_1_old!$S$30))</f>
        <v/>
      </c>
      <c r="F30" s="190">
        <f>IF(SUMIFS(CNXL_SQL_2!$F:$F,CNXL_SQL_2!$A:$A,PAGE_1_old!$R30,CNXL_SQL_2!$D:$D,PAGE_1_old!$S$31)=0,"",SUMIFS(CNXL_SQL_2!$F:$F,CNXL_SQL_2!$A:$A,PAGE_1_old!$R30,CNXL_SQL_2!$D:$D,PAGE_1_old!$S$31))</f>
        <v/>
      </c>
      <c r="G30" s="190">
        <f>IF(SUMIFS(CNXL_SQL_2!$F:$F,CNXL_SQL_2!$A:$A,PAGE_1_old!$R30,CNXL_SQL_2!$D:$D,PAGE_1_old!$S$32)=0,"",SUMIFS(CNXL_SQL_2!$F:$F,CNXL_SQL_2!$A:$A,PAGE_1_old!$R30,CNXL_SQL_2!$D:$D,PAGE_1_old!$S$32))</f>
        <v/>
      </c>
      <c r="H30" s="190">
        <f>IF(SUMIFS(CNXL_SQL_2!$F:$F,CNXL_SQL_2!$A:$A,PAGE_1_old!$R30,CNXL_SQL_2!$D:$D,PAGE_1_old!$S$33)=0,"",SUMIFS(CNXL_SQL_2!$F:$F,CNXL_SQL_2!$A:$A,PAGE_1_old!$R30,CNXL_SQL_2!$D:$D,PAGE_1_old!$S$33))</f>
        <v/>
      </c>
      <c r="I30" s="190">
        <f>IF(SUMIFS(CNXL_SQL_2!$F:$F,CNXL_SQL_2!$A:$A,PAGE_1_old!$R30,CNXL_SQL_2!$D:$D,PAGE_1_old!$S$34)=0,"",SUMIFS(CNXL_SQL_2!$F:$F,CNXL_SQL_2!$A:$A,PAGE_1_old!$R30,CNXL_SQL_2!$D:$D,PAGE_1_old!$S$34))</f>
        <v/>
      </c>
      <c r="J30" s="190">
        <f>IF(SUMIFS(CNXL_SQL_2!$F:$F,CNXL_SQL_2!$A:$A,PAGE_1_old!$R30,CNXL_SQL_2!$D:$D,PAGE_1_old!$S$35)=0,"",SUMIFS(CNXL_SQL_2!$F:$F,CNXL_SQL_2!$A:$A,PAGE_1_old!$R30,CNXL_SQL_2!$D:$D,PAGE_1_old!$S$35))</f>
        <v/>
      </c>
      <c r="K30" s="190">
        <f>IF(SUMIFS(CNXL_SQL_2!$F:$F,CNXL_SQL_2!$A:$A,PAGE_1_old!$R30,CNXL_SQL_2!$D:$D,PAGE_1_old!$S$36)=0,"",SUMIFS(CNXL_SQL_2!$F:$F,CNXL_SQL_2!$A:$A,PAGE_1_old!$R30,CNXL_SQL_2!$D:$D,PAGE_1_old!$S$36))</f>
        <v/>
      </c>
      <c r="L30" s="190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9" t="n"/>
      <c r="R30" s="60" t="inlineStr">
        <is>
          <t>OO</t>
        </is>
      </c>
      <c r="S30" s="85" t="inlineStr">
        <is>
          <t>TECHNICAL OPERATIONS-AIRCRAFT</t>
        </is>
      </c>
      <c r="T30" s="60" t="n"/>
      <c r="U30" s="60" t="n"/>
      <c r="V30" s="59" t="n"/>
      <c r="W30" s="60" t="n"/>
      <c r="X30" s="60" t="n"/>
    </row>
    <row r="31" ht="14.5" customHeight="1" s="286">
      <c r="B31" s="66" t="inlineStr">
        <is>
          <t>AX - Trans States</t>
        </is>
      </c>
      <c r="C31" s="80">
        <f>SUMIF(SCH_DEP_SQL_4!$A:$A,PAGE_1_old!R31,SCH_DEP_SQL_4!$E:$E)</f>
        <v/>
      </c>
      <c r="D31" s="48">
        <f>IF(SUMIFS(CNXL_SQL_2!$F:$F,CNXL_SQL_2!$A:$A,PAGE_1_old!$R31,CNXL_SQL_2!$D:$D,PAGE_1_old!$S$29)=0,"",SUMIFS(CNXL_SQL_2!$F:$F,CNXL_SQL_2!$A:$A,PAGE_1_old!$R31,CNXL_SQL_2!$D:$D,PAGE_1_old!$S$29))</f>
        <v/>
      </c>
      <c r="E31" s="48">
        <f>IF(SUMIFS(CNXL_SQL_2!$F:$F,CNXL_SQL_2!$A:$A,PAGE_1_old!$R31,CNXL_SQL_2!$D:$D,PAGE_1_old!$S$30)=0,"",SUMIFS(CNXL_SQL_2!$F:$F,CNXL_SQL_2!$A:$A,PAGE_1_old!$R31,CNXL_SQL_2!$D:$D,PAGE_1_old!$S$30))</f>
        <v/>
      </c>
      <c r="F31" s="48">
        <f>IF(SUMIFS(CNXL_SQL_2!$F:$F,CNXL_SQL_2!$A:$A,PAGE_1_old!$R31,CNXL_SQL_2!$D:$D,PAGE_1_old!$S$31)=0,"",SUMIFS(CNXL_SQL_2!$F:$F,CNXL_SQL_2!$A:$A,PAGE_1_old!$R31,CNXL_SQL_2!$D:$D,PAGE_1_old!$S$31))</f>
        <v/>
      </c>
      <c r="G31" s="48">
        <f>IF(SUMIFS(CNXL_SQL_2!$F:$F,CNXL_SQL_2!$A:$A,PAGE_1_old!$R31,CNXL_SQL_2!$D:$D,PAGE_1_old!$S$32)=0,"",SUMIFS(CNXL_SQL_2!$F:$F,CNXL_SQL_2!$A:$A,PAGE_1_old!$R31,CNXL_SQL_2!$D:$D,PAGE_1_old!$S$32))</f>
        <v/>
      </c>
      <c r="H31" s="48">
        <f>IF(SUMIFS(CNXL_SQL_2!$F:$F,CNXL_SQL_2!$A:$A,PAGE_1_old!$R31,CNXL_SQL_2!$D:$D,PAGE_1_old!$S$33)=0,"",SUMIFS(CNXL_SQL_2!$F:$F,CNXL_SQL_2!$A:$A,PAGE_1_old!$R31,CNXL_SQL_2!$D:$D,PAGE_1_old!$S$33))</f>
        <v/>
      </c>
      <c r="I31" s="48">
        <f>IF(SUMIFS(CNXL_SQL_2!$F:$F,CNXL_SQL_2!$A:$A,PAGE_1_old!$R31,CNXL_SQL_2!$D:$D,PAGE_1_old!$S$34)=0,"",SUMIFS(CNXL_SQL_2!$F:$F,CNXL_SQL_2!$A:$A,PAGE_1_old!$R31,CNXL_SQL_2!$D:$D,PAGE_1_old!$S$34))</f>
        <v/>
      </c>
      <c r="J31" s="48">
        <f>IF(SUMIFS(CNXL_SQL_2!$F:$F,CNXL_SQL_2!$A:$A,PAGE_1_old!$R31,CNXL_SQL_2!$D:$D,PAGE_1_old!$S$35)=0,"",SUMIFS(CNXL_SQL_2!$F:$F,CNXL_SQL_2!$A:$A,PAGE_1_old!$R31,CNXL_SQL_2!$D:$D,PAGE_1_old!$S$35))</f>
        <v/>
      </c>
      <c r="K31" s="48">
        <f>IF(SUMIFS(CNXL_SQL_2!$F:$F,CNXL_SQL_2!$A:$A,PAGE_1_old!$R31,CNXL_SQL_2!$D:$D,PAGE_1_old!$S$36)=0,"",SUMIFS(CNXL_SQL_2!$F:$F,CNXL_SQL_2!$A:$A,PAGE_1_old!$R31,CNXL_SQL_2!$D:$D,PAGE_1_old!$S$36))</f>
        <v/>
      </c>
      <c r="L31" s="48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9" t="n"/>
      <c r="R31" s="60" t="inlineStr">
        <is>
          <t>AX</t>
        </is>
      </c>
      <c r="S31" s="85" t="inlineStr">
        <is>
          <t>FLIGHT OPERATIONS</t>
        </is>
      </c>
      <c r="T31" s="60" t="n"/>
      <c r="U31" s="60" t="n"/>
      <c r="V31" s="59" t="n"/>
      <c r="W31" s="60" t="n"/>
      <c r="X31" s="60" t="n"/>
    </row>
    <row r="32" ht="14.5" customHeight="1" s="286">
      <c r="B32" s="191" t="inlineStr">
        <is>
          <t>YX - Republic</t>
        </is>
      </c>
      <c r="C32" s="81">
        <f>SUMIF(SCH_DEP_SQL_4!$A:$A,PAGE_1_old!R32,SCH_DEP_SQL_4!$E:$E)</f>
        <v/>
      </c>
      <c r="D32" s="190">
        <f>IF(SUMIFS(CNXL_SQL_2!$F:$F,CNXL_SQL_2!$A:$A,PAGE_1_old!$R32,CNXL_SQL_2!$D:$D,PAGE_1_old!$S$29)=0,"",SUMIFS(CNXL_SQL_2!$F:$F,CNXL_SQL_2!$A:$A,PAGE_1_old!$R32,CNXL_SQL_2!$D:$D,PAGE_1_old!$S$29))</f>
        <v/>
      </c>
      <c r="E32" s="190">
        <f>IF(SUMIFS(CNXL_SQL_2!$F:$F,CNXL_SQL_2!$A:$A,PAGE_1_old!$R32,CNXL_SQL_2!$D:$D,PAGE_1_old!$S$30)=0,"",SUMIFS(CNXL_SQL_2!$F:$F,CNXL_SQL_2!$A:$A,PAGE_1_old!$R32,CNXL_SQL_2!$D:$D,PAGE_1_old!$S$30))</f>
        <v/>
      </c>
      <c r="F32" s="190">
        <f>IF(SUMIFS(CNXL_SQL_2!$F:$F,CNXL_SQL_2!$A:$A,PAGE_1_old!$R32,CNXL_SQL_2!$D:$D,PAGE_1_old!$S$31)=0,"",SUMIFS(CNXL_SQL_2!$F:$F,CNXL_SQL_2!$A:$A,PAGE_1_old!$R32,CNXL_SQL_2!$D:$D,PAGE_1_old!$S$31))</f>
        <v/>
      </c>
      <c r="G32" s="190">
        <f>IF(SUMIFS(CNXL_SQL_2!$F:$F,CNXL_SQL_2!$A:$A,PAGE_1_old!$R32,CNXL_SQL_2!$D:$D,PAGE_1_old!$S$32)=0,"",SUMIFS(CNXL_SQL_2!$F:$F,CNXL_SQL_2!$A:$A,PAGE_1_old!$R32,CNXL_SQL_2!$D:$D,PAGE_1_old!$S$32))</f>
        <v/>
      </c>
      <c r="H32" s="190">
        <f>IF(SUMIFS(CNXL_SQL_2!$F:$F,CNXL_SQL_2!$A:$A,PAGE_1_old!$R32,CNXL_SQL_2!$D:$D,PAGE_1_old!$S$33)=0,"",SUMIFS(CNXL_SQL_2!$F:$F,CNXL_SQL_2!$A:$A,PAGE_1_old!$R32,CNXL_SQL_2!$D:$D,PAGE_1_old!$S$33))</f>
        <v/>
      </c>
      <c r="I32" s="190">
        <f>IF(SUMIFS(CNXL_SQL_2!$F:$F,CNXL_SQL_2!$A:$A,PAGE_1_old!$R32,CNXL_SQL_2!$D:$D,PAGE_1_old!$S$34)=0,"",SUMIFS(CNXL_SQL_2!$F:$F,CNXL_SQL_2!$A:$A,PAGE_1_old!$R32,CNXL_SQL_2!$D:$D,PAGE_1_old!$S$34))</f>
        <v/>
      </c>
      <c r="J32" s="190">
        <f>IF(SUMIFS(CNXL_SQL_2!$F:$F,CNXL_SQL_2!$A:$A,PAGE_1_old!$R32,CNXL_SQL_2!$D:$D,PAGE_1_old!$S$35)=0,"",SUMIFS(CNXL_SQL_2!$F:$F,CNXL_SQL_2!$A:$A,PAGE_1_old!$R32,CNXL_SQL_2!$D:$D,PAGE_1_old!$S$35))</f>
        <v/>
      </c>
      <c r="K32" s="190">
        <f>IF(SUMIFS(CNXL_SQL_2!$F:$F,CNXL_SQL_2!$A:$A,PAGE_1_old!$R32,CNXL_SQL_2!$D:$D,PAGE_1_old!$S$36)=0,"",SUMIFS(CNXL_SQL_2!$F:$F,CNXL_SQL_2!$A:$A,PAGE_1_old!$R32,CNXL_SQL_2!$D:$D,PAGE_1_old!$S$36))</f>
        <v/>
      </c>
      <c r="L32" s="190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9" t="n"/>
      <c r="R32" s="60" t="inlineStr">
        <is>
          <t>YX</t>
        </is>
      </c>
      <c r="S32" s="85" t="inlineStr">
        <is>
          <t>INFLIGHT SERVICES</t>
        </is>
      </c>
      <c r="T32" s="60" t="n"/>
      <c r="U32" s="60" t="n"/>
      <c r="V32" s="59" t="n"/>
      <c r="W32" s="60" t="n"/>
      <c r="X32" s="60" t="n"/>
    </row>
    <row r="33" ht="14.5" customHeight="1" s="286">
      <c r="B33" s="66" t="inlineStr">
        <is>
          <t>G7 - Go Jet</t>
        </is>
      </c>
      <c r="C33" s="80">
        <f>SUMIF(SCH_DEP_SQL_4!$A:$A,PAGE_1_old!R33,SCH_DEP_SQL_4!$E:$E)</f>
        <v/>
      </c>
      <c r="D33" s="48">
        <f>IF(SUMIFS(CNXL_SQL_2!$F:$F,CNXL_SQL_2!$A:$A,PAGE_1_old!$R33,CNXL_SQL_2!$D:$D,PAGE_1_old!$S$29)=0,"",SUMIFS(CNXL_SQL_2!$F:$F,CNXL_SQL_2!$A:$A,PAGE_1_old!$R33,CNXL_SQL_2!$D:$D,PAGE_1_old!$S$29))</f>
        <v/>
      </c>
      <c r="E33" s="48">
        <f>IF(SUMIFS(CNXL_SQL_2!$F:$F,CNXL_SQL_2!$A:$A,PAGE_1_old!$R33,CNXL_SQL_2!$D:$D,PAGE_1_old!$S$30)=0,"",SUMIFS(CNXL_SQL_2!$F:$F,CNXL_SQL_2!$A:$A,PAGE_1_old!$R33,CNXL_SQL_2!$D:$D,PAGE_1_old!$S$30))</f>
        <v/>
      </c>
      <c r="F33" s="48">
        <f>IF(SUMIFS(CNXL_SQL_2!$F:$F,CNXL_SQL_2!$A:$A,PAGE_1_old!$R33,CNXL_SQL_2!$D:$D,PAGE_1_old!$S$31)=0,"",SUMIFS(CNXL_SQL_2!$F:$F,CNXL_SQL_2!$A:$A,PAGE_1_old!$R33,CNXL_SQL_2!$D:$D,PAGE_1_old!$S$31))</f>
        <v/>
      </c>
      <c r="G33" s="48">
        <f>IF(SUMIFS(CNXL_SQL_2!$F:$F,CNXL_SQL_2!$A:$A,PAGE_1_old!$R33,CNXL_SQL_2!$D:$D,PAGE_1_old!$S$32)=0,"",SUMIFS(CNXL_SQL_2!$F:$F,CNXL_SQL_2!$A:$A,PAGE_1_old!$R33,CNXL_SQL_2!$D:$D,PAGE_1_old!$S$32))</f>
        <v/>
      </c>
      <c r="H33" s="48">
        <f>IF(SUMIFS(CNXL_SQL_2!$F:$F,CNXL_SQL_2!$A:$A,PAGE_1_old!$R33,CNXL_SQL_2!$D:$D,PAGE_1_old!$S$33)=0,"",SUMIFS(CNXL_SQL_2!$F:$F,CNXL_SQL_2!$A:$A,PAGE_1_old!$R33,CNXL_SQL_2!$D:$D,PAGE_1_old!$S$33))</f>
        <v/>
      </c>
      <c r="I33" s="48">
        <f>IF(SUMIFS(CNXL_SQL_2!$F:$F,CNXL_SQL_2!$A:$A,PAGE_1_old!$R33,CNXL_SQL_2!$D:$D,PAGE_1_old!$S$34)=0,"",SUMIFS(CNXL_SQL_2!$F:$F,CNXL_SQL_2!$A:$A,PAGE_1_old!$R33,CNXL_SQL_2!$D:$D,PAGE_1_old!$S$34))</f>
        <v/>
      </c>
      <c r="J33" s="48">
        <f>IF(SUMIFS(CNXL_SQL_2!$F:$F,CNXL_SQL_2!$A:$A,PAGE_1_old!$R33,CNXL_SQL_2!$D:$D,PAGE_1_old!$S$35)=0,"",SUMIFS(CNXL_SQL_2!$F:$F,CNXL_SQL_2!$A:$A,PAGE_1_old!$R33,CNXL_SQL_2!$D:$D,PAGE_1_old!$S$35))</f>
        <v/>
      </c>
      <c r="K33" s="48">
        <f>IF(SUMIFS(CNXL_SQL_2!$F:$F,CNXL_SQL_2!$A:$A,PAGE_1_old!$R33,CNXL_SQL_2!$D:$D,PAGE_1_old!$S$36)=0,"",SUMIFS(CNXL_SQL_2!$F:$F,CNXL_SQL_2!$A:$A,PAGE_1_old!$R33,CNXL_SQL_2!$D:$D,PAGE_1_old!$S$36))</f>
        <v/>
      </c>
      <c r="L33" s="48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9" t="n"/>
      <c r="R33" s="60" t="inlineStr">
        <is>
          <t>G7</t>
        </is>
      </c>
      <c r="S33" s="85" t="inlineStr">
        <is>
          <t>AIRPORT OPERATIONS</t>
        </is>
      </c>
      <c r="T33" s="60" t="n"/>
      <c r="U33" s="60" t="n"/>
      <c r="V33" s="59" t="n"/>
      <c r="W33" s="60" t="n"/>
      <c r="X33" s="60" t="n"/>
    </row>
    <row r="34" ht="14.5" customHeight="1" s="286">
      <c r="B34" s="191" t="inlineStr">
        <is>
          <t>C5 - CommutAir</t>
        </is>
      </c>
      <c r="C34" s="81">
        <f>SUMIF(SCH_DEP_SQL_4!$A:$A,PAGE_1_old!R34,SCH_DEP_SQL_4!$E:$E)</f>
        <v/>
      </c>
      <c r="D34" s="190">
        <f>IF(SUMIFS(CNXL_SQL_2!$F:$F,CNXL_SQL_2!$A:$A,PAGE_1_old!$R34,CNXL_SQL_2!$D:$D,PAGE_1_old!$S$29)=0,"",SUMIFS(CNXL_SQL_2!$F:$F,CNXL_SQL_2!$A:$A,PAGE_1_old!$R34,CNXL_SQL_2!$D:$D,PAGE_1_old!$S$29))</f>
        <v/>
      </c>
      <c r="E34" s="190">
        <f>IF(SUMIFS(CNXL_SQL_2!$F:$F,CNXL_SQL_2!$A:$A,PAGE_1_old!$R34,CNXL_SQL_2!$D:$D,PAGE_1_old!$S$30)=0,"",SUMIFS(CNXL_SQL_2!$F:$F,CNXL_SQL_2!$A:$A,PAGE_1_old!$R34,CNXL_SQL_2!$D:$D,PAGE_1_old!$S$30))</f>
        <v/>
      </c>
      <c r="F34" s="190">
        <f>IF(SUMIFS(CNXL_SQL_2!$F:$F,CNXL_SQL_2!$A:$A,PAGE_1_old!$R34,CNXL_SQL_2!$D:$D,PAGE_1_old!$S$31)=0,"",SUMIFS(CNXL_SQL_2!$F:$F,CNXL_SQL_2!$A:$A,PAGE_1_old!$R34,CNXL_SQL_2!$D:$D,PAGE_1_old!$S$31))</f>
        <v/>
      </c>
      <c r="G34" s="190">
        <f>IF(SUMIFS(CNXL_SQL_2!$F:$F,CNXL_SQL_2!$A:$A,PAGE_1_old!$R34,CNXL_SQL_2!$D:$D,PAGE_1_old!$S$32)=0,"",SUMIFS(CNXL_SQL_2!$F:$F,CNXL_SQL_2!$A:$A,PAGE_1_old!$R34,CNXL_SQL_2!$D:$D,PAGE_1_old!$S$32))</f>
        <v/>
      </c>
      <c r="H34" s="190">
        <f>IF(SUMIFS(CNXL_SQL_2!$F:$F,CNXL_SQL_2!$A:$A,PAGE_1_old!$R34,CNXL_SQL_2!$D:$D,PAGE_1_old!$S$33)=0,"",SUMIFS(CNXL_SQL_2!$F:$F,CNXL_SQL_2!$A:$A,PAGE_1_old!$R34,CNXL_SQL_2!$D:$D,PAGE_1_old!$S$33))</f>
        <v/>
      </c>
      <c r="I34" s="190">
        <f>IF(SUMIFS(CNXL_SQL_2!$F:$F,CNXL_SQL_2!$A:$A,PAGE_1_old!$R34,CNXL_SQL_2!$D:$D,PAGE_1_old!$S$34)=0,"",SUMIFS(CNXL_SQL_2!$F:$F,CNXL_SQL_2!$A:$A,PAGE_1_old!$R34,CNXL_SQL_2!$D:$D,PAGE_1_old!$S$34))</f>
        <v/>
      </c>
      <c r="J34" s="190">
        <f>IF(SUMIFS(CNXL_SQL_2!$F:$F,CNXL_SQL_2!$A:$A,PAGE_1_old!$R34,CNXL_SQL_2!$D:$D,PAGE_1_old!$S$35)=0,"",SUMIFS(CNXL_SQL_2!$F:$F,CNXL_SQL_2!$A:$A,PAGE_1_old!$R34,CNXL_SQL_2!$D:$D,PAGE_1_old!$S$35))</f>
        <v/>
      </c>
      <c r="K34" s="190">
        <f>IF(SUMIFS(CNXL_SQL_2!$F:$F,CNXL_SQL_2!$A:$A,PAGE_1_old!$R34,CNXL_SQL_2!$D:$D,PAGE_1_old!$S$36)=0,"",SUMIFS(CNXL_SQL_2!$F:$F,CNXL_SQL_2!$A:$A,PAGE_1_old!$R34,CNXL_SQL_2!$D:$D,PAGE_1_old!$S$36))</f>
        <v/>
      </c>
      <c r="L34" s="190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9" t="n"/>
      <c r="R34" s="60" t="inlineStr">
        <is>
          <t>C5</t>
        </is>
      </c>
      <c r="S34" s="85" t="inlineStr">
        <is>
          <t>NETWORK OPERATIONS CENTER</t>
        </is>
      </c>
      <c r="T34" s="60" t="n"/>
      <c r="U34" s="60" t="n"/>
      <c r="V34" s="59" t="n"/>
      <c r="W34" s="60" t="n"/>
      <c r="X34" s="60" t="n"/>
    </row>
    <row r="35" ht="14.5" customHeight="1" s="286">
      <c r="B35" s="66" t="inlineStr">
        <is>
          <t>YV - Mesa</t>
        </is>
      </c>
      <c r="C35" s="80">
        <f>SUMIF(SCH_DEP_SQL_4!$A:$A,PAGE_1_old!R35,SCH_DEP_SQL_4!$E:$E)</f>
        <v/>
      </c>
      <c r="D35" s="48">
        <f>IF(SUMIFS(CNXL_SQL_2!$F:$F,CNXL_SQL_2!$A:$A,PAGE_1_old!$R35,CNXL_SQL_2!$D:$D,PAGE_1_old!$S$29)=0,"",SUMIFS(CNXL_SQL_2!$F:$F,CNXL_SQL_2!$A:$A,PAGE_1_old!$R35,CNXL_SQL_2!$D:$D,PAGE_1_old!$S$29))</f>
        <v/>
      </c>
      <c r="E35" s="48">
        <f>IF(SUMIFS(CNXL_SQL_2!$F:$F,CNXL_SQL_2!$A:$A,PAGE_1_old!$R35,CNXL_SQL_2!$D:$D,PAGE_1_old!$S$30)=0,"",SUMIFS(CNXL_SQL_2!$F:$F,CNXL_SQL_2!$A:$A,PAGE_1_old!$R35,CNXL_SQL_2!$D:$D,PAGE_1_old!$S$30))</f>
        <v/>
      </c>
      <c r="F35" s="48">
        <f>IF(SUMIFS(CNXL_SQL_2!$F:$F,CNXL_SQL_2!$A:$A,PAGE_1_old!$R35,CNXL_SQL_2!$D:$D,PAGE_1_old!$S$31)=0,"",SUMIFS(CNXL_SQL_2!$F:$F,CNXL_SQL_2!$A:$A,PAGE_1_old!$R35,CNXL_SQL_2!$D:$D,PAGE_1_old!$S$31))</f>
        <v/>
      </c>
      <c r="G35" s="48">
        <f>IF(SUMIFS(CNXL_SQL_2!$F:$F,CNXL_SQL_2!$A:$A,PAGE_1_old!$R35,CNXL_SQL_2!$D:$D,PAGE_1_old!$S$32)=0,"",SUMIFS(CNXL_SQL_2!$F:$F,CNXL_SQL_2!$A:$A,PAGE_1_old!$R35,CNXL_SQL_2!$D:$D,PAGE_1_old!$S$32))</f>
        <v/>
      </c>
      <c r="H35" s="48">
        <f>IF(SUMIFS(CNXL_SQL_2!$F:$F,CNXL_SQL_2!$A:$A,PAGE_1_old!$R35,CNXL_SQL_2!$D:$D,PAGE_1_old!$S$33)=0,"",SUMIFS(CNXL_SQL_2!$F:$F,CNXL_SQL_2!$A:$A,PAGE_1_old!$R35,CNXL_SQL_2!$D:$D,PAGE_1_old!$S$33))</f>
        <v/>
      </c>
      <c r="I35" s="48">
        <f>IF(SUMIFS(CNXL_SQL_2!$F:$F,CNXL_SQL_2!$A:$A,PAGE_1_old!$R35,CNXL_SQL_2!$D:$D,PAGE_1_old!$S$34)=0,"",SUMIFS(CNXL_SQL_2!$F:$F,CNXL_SQL_2!$A:$A,PAGE_1_old!$R35,CNXL_SQL_2!$D:$D,PAGE_1_old!$S$34))</f>
        <v/>
      </c>
      <c r="J35" s="48">
        <f>IF(SUMIFS(CNXL_SQL_2!$F:$F,CNXL_SQL_2!$A:$A,PAGE_1_old!$R35,CNXL_SQL_2!$D:$D,PAGE_1_old!$S$35)=0,"",SUMIFS(CNXL_SQL_2!$F:$F,CNXL_SQL_2!$A:$A,PAGE_1_old!$R35,CNXL_SQL_2!$D:$D,PAGE_1_old!$S$35))</f>
        <v/>
      </c>
      <c r="K35" s="48">
        <f>IF(SUMIFS(CNXL_SQL_2!$F:$F,CNXL_SQL_2!$A:$A,PAGE_1_old!$R35,CNXL_SQL_2!$D:$D,PAGE_1_old!$S$36)=0,"",SUMIFS(CNXL_SQL_2!$F:$F,CNXL_SQL_2!$A:$A,PAGE_1_old!$R35,CNXL_SQL_2!$D:$D,PAGE_1_old!$S$36))</f>
        <v/>
      </c>
      <c r="L35" s="48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9" t="n"/>
      <c r="R35" s="60" t="inlineStr">
        <is>
          <t>YV</t>
        </is>
      </c>
      <c r="S35" s="85" t="inlineStr">
        <is>
          <t>TECHNOLOGY</t>
        </is>
      </c>
      <c r="T35" s="60" t="n"/>
      <c r="U35" s="60" t="n"/>
      <c r="V35" s="59" t="n"/>
      <c r="W35" s="60" t="n"/>
      <c r="X35" s="60" t="n"/>
    </row>
    <row r="36" ht="15" customHeight="1" s="286" thickBot="1">
      <c r="B36" s="191" t="inlineStr">
        <is>
          <t>ZW - Air Wisconsin</t>
        </is>
      </c>
      <c r="C36" s="81">
        <f>SUMIF(SCH_DEP_SQL_4!$A:$A,PAGE_1_old!R36,SCH_DEP_SQL_4!$E:$E)</f>
        <v/>
      </c>
      <c r="D36" s="190">
        <f>IF(SUMIFS(CNXL_SQL_2!$F:$F,CNXL_SQL_2!$A:$A,PAGE_1_old!$R36,CNXL_SQL_2!$D:$D,PAGE_1_old!$S$29)=0,"",SUMIFS(CNXL_SQL_2!$F:$F,CNXL_SQL_2!$A:$A,PAGE_1_old!$R36,CNXL_SQL_2!$D:$D,PAGE_1_old!$S$29))</f>
        <v/>
      </c>
      <c r="E36" s="190">
        <f>IF(SUMIFS(CNXL_SQL_2!$F:$F,CNXL_SQL_2!$A:$A,PAGE_1_old!$R36,CNXL_SQL_2!$D:$D,PAGE_1_old!$S$30)=0,"",SUMIFS(CNXL_SQL_2!$F:$F,CNXL_SQL_2!$A:$A,PAGE_1_old!$R36,CNXL_SQL_2!$D:$D,PAGE_1_old!$S$30))</f>
        <v/>
      </c>
      <c r="F36" s="190">
        <f>IF(SUMIFS(CNXL_SQL_2!$F:$F,CNXL_SQL_2!$A:$A,PAGE_1_old!$R36,CNXL_SQL_2!$D:$D,PAGE_1_old!$S$31)=0,"",SUMIFS(CNXL_SQL_2!$F:$F,CNXL_SQL_2!$A:$A,PAGE_1_old!$R36,CNXL_SQL_2!$D:$D,PAGE_1_old!$S$31))</f>
        <v/>
      </c>
      <c r="G36" s="190">
        <f>IF(SUMIFS(CNXL_SQL_2!$F:$F,CNXL_SQL_2!$A:$A,PAGE_1_old!$R36,CNXL_SQL_2!$D:$D,PAGE_1_old!$S$32)=0,"",SUMIFS(CNXL_SQL_2!$F:$F,CNXL_SQL_2!$A:$A,PAGE_1_old!$R36,CNXL_SQL_2!$D:$D,PAGE_1_old!$S$32))</f>
        <v/>
      </c>
      <c r="H36" s="190">
        <f>IF(SUMIFS(CNXL_SQL_2!$F:$F,CNXL_SQL_2!$A:$A,PAGE_1_old!$R36,CNXL_SQL_2!$D:$D,PAGE_1_old!$S$33)=0,"",SUMIFS(CNXL_SQL_2!$F:$F,CNXL_SQL_2!$A:$A,PAGE_1_old!$R36,CNXL_SQL_2!$D:$D,PAGE_1_old!$S$33))</f>
        <v/>
      </c>
      <c r="I36" s="190">
        <f>IF(SUMIFS(CNXL_SQL_2!$F:$F,CNXL_SQL_2!$A:$A,PAGE_1_old!$R36,CNXL_SQL_2!$D:$D,PAGE_1_old!$S$34)=0,"",SUMIFS(CNXL_SQL_2!$F:$F,CNXL_SQL_2!$A:$A,PAGE_1_old!$R36,CNXL_SQL_2!$D:$D,PAGE_1_old!$S$34))</f>
        <v/>
      </c>
      <c r="J36" s="190">
        <f>IF(SUMIFS(CNXL_SQL_2!$F:$F,CNXL_SQL_2!$A:$A,PAGE_1_old!$R36,CNXL_SQL_2!$D:$D,PAGE_1_old!$S$35)=0,"",SUMIFS(CNXL_SQL_2!$F:$F,CNXL_SQL_2!$A:$A,PAGE_1_old!$R36,CNXL_SQL_2!$D:$D,PAGE_1_old!$S$35))</f>
        <v/>
      </c>
      <c r="K36" s="190">
        <f>IF(SUMIFS(CNXL_SQL_2!$F:$F,CNXL_SQL_2!$A:$A,PAGE_1_old!$R36,CNXL_SQL_2!$D:$D,PAGE_1_old!$S$36)=0,"",SUMIFS(CNXL_SQL_2!$F:$F,CNXL_SQL_2!$A:$A,PAGE_1_old!$R36,CNXL_SQL_2!$D:$D,PAGE_1_old!$S$36))</f>
        <v/>
      </c>
      <c r="L36" s="190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9" t="n"/>
      <c r="R36" s="60" t="inlineStr">
        <is>
          <t>ZW</t>
        </is>
      </c>
      <c r="S36" s="85" t="inlineStr">
        <is>
          <t>CATERING OPERATIONS</t>
        </is>
      </c>
      <c r="T36" s="60" t="n"/>
      <c r="U36" s="60" t="n"/>
      <c r="V36" s="59" t="n"/>
      <c r="W36" s="60" t="n"/>
      <c r="X36" s="60" t="n"/>
    </row>
    <row r="37" ht="15" customHeight="1" s="286" thickBot="1">
      <c r="B37" s="68" t="inlineStr">
        <is>
          <t>Total:</t>
        </is>
      </c>
      <c r="C37" s="82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9" t="n"/>
      <c r="R37" s="60" t="n"/>
      <c r="S37" s="85" t="inlineStr">
        <is>
          <t>OTHER</t>
        </is>
      </c>
      <c r="T37" s="60" t="n"/>
      <c r="U37" s="60" t="n"/>
      <c r="V37" s="59" t="n"/>
      <c r="W37" s="60" t="n"/>
      <c r="X37" s="60" t="n"/>
    </row>
    <row r="38" ht="9.4" customHeight="1" s="286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9" t="n"/>
      <c r="R38" s="60" t="n"/>
      <c r="S38" s="60" t="n"/>
      <c r="T38" s="60" t="n"/>
      <c r="U38" s="60" t="n"/>
      <c r="V38" s="59" t="n"/>
      <c r="W38" s="60" t="n"/>
      <c r="X38" s="60" t="n"/>
    </row>
    <row r="39" ht="9.4" customHeight="1" s="286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9" t="n"/>
      <c r="R39" s="60" t="n"/>
      <c r="S39" s="60" t="n"/>
      <c r="T39" s="60" t="n"/>
      <c r="U39" s="60" t="n"/>
      <c r="V39" s="59" t="n"/>
      <c r="W39" s="60" t="n"/>
      <c r="X39" s="60" t="n"/>
    </row>
    <row r="40" ht="9.4" customHeight="1" s="286" thickBot="1">
      <c r="Q40" s="59" t="n"/>
      <c r="R40" s="60" t="n"/>
      <c r="S40" s="60" t="n"/>
      <c r="T40" s="60" t="n"/>
      <c r="U40" s="60" t="n"/>
      <c r="V40" s="59" t="n"/>
      <c r="W40" s="60" t="n"/>
      <c r="X40" s="60" t="n"/>
    </row>
    <row r="41" ht="16" customHeight="1" s="286" thickBot="1">
      <c r="B41" s="316" t="inlineStr">
        <is>
          <t>Residual Cancel Detail</t>
        </is>
      </c>
      <c r="C41" s="351" t="n"/>
      <c r="D41" s="351" t="n"/>
      <c r="E41" s="351" t="n"/>
      <c r="F41" s="351" t="n"/>
      <c r="G41" s="351" t="n"/>
      <c r="H41" s="351" t="n"/>
      <c r="I41" s="351" t="n"/>
      <c r="J41" s="351" t="n"/>
      <c r="K41" s="351" t="n"/>
      <c r="L41" s="351" t="n"/>
      <c r="M41" s="351" t="n"/>
      <c r="N41" s="351" t="n"/>
      <c r="O41" s="351" t="n"/>
      <c r="P41" s="351" t="n"/>
      <c r="Q41" s="59" t="n"/>
      <c r="R41" s="60" t="n"/>
      <c r="S41" s="60" t="n"/>
      <c r="T41" s="60" t="n"/>
      <c r="U41" s="60" t="n"/>
      <c r="V41" s="59" t="n"/>
      <c r="W41" s="60" t="n"/>
      <c r="X41" s="60" t="n"/>
    </row>
    <row r="42" ht="30.65" customHeight="1" s="286" thickBot="1">
      <c r="B42" s="70" t="inlineStr">
        <is>
          <t>Express Partner</t>
        </is>
      </c>
      <c r="C42" s="71" t="inlineStr">
        <is>
          <t>Scheduled Departures</t>
        </is>
      </c>
      <c r="D42" s="72" t="inlineStr">
        <is>
          <t>Weather &amp; ATC</t>
        </is>
      </c>
      <c r="E42" s="72" t="inlineStr">
        <is>
          <t>Technical Operations</t>
        </is>
      </c>
      <c r="F42" s="72" t="inlineStr">
        <is>
          <t>Flight Operations</t>
        </is>
      </c>
      <c r="G42" s="72" t="inlineStr">
        <is>
          <t>Inflight Services</t>
        </is>
      </c>
      <c r="H42" s="72" t="inlineStr">
        <is>
          <t>Airport Operations</t>
        </is>
      </c>
      <c r="I42" s="72" t="inlineStr">
        <is>
          <t>Network Operations</t>
        </is>
      </c>
      <c r="J42" s="72" t="inlineStr">
        <is>
          <t>IT</t>
        </is>
      </c>
      <c r="K42" s="72" t="inlineStr">
        <is>
          <t>Catering Operations</t>
        </is>
      </c>
      <c r="L42" s="72" t="inlineStr">
        <is>
          <t>Other</t>
        </is>
      </c>
      <c r="M42" s="73" t="inlineStr">
        <is>
          <t>Total Cancels</t>
        </is>
      </c>
      <c r="N42" s="74" t="inlineStr">
        <is>
          <t>ES covered for this partner</t>
        </is>
      </c>
      <c r="O42" s="74" t="inlineStr">
        <is>
          <t>Net Cancel</t>
        </is>
      </c>
      <c r="P42" s="74" t="inlineStr">
        <is>
          <t>ES covered by this partner</t>
        </is>
      </c>
      <c r="Q42" s="59" t="n"/>
      <c r="R42" s="59" t="n"/>
      <c r="S42" s="59" t="n"/>
      <c r="T42" s="59" t="n"/>
      <c r="U42" s="59" t="n"/>
      <c r="V42" s="59" t="n"/>
      <c r="W42" s="60" t="n"/>
      <c r="X42" s="60" t="n"/>
    </row>
    <row r="43" ht="13" customHeight="1" s="286">
      <c r="B43" s="66" t="inlineStr">
        <is>
          <t>EV - ExpressJet</t>
        </is>
      </c>
      <c r="C43" s="80">
        <f>SUMIF(SCH_DEP_SQL_4!$A:$A,PAGE_1_old!R29,SCH_DEP_SQL_4!$E:$E)</f>
        <v/>
      </c>
      <c r="D43" s="48">
        <f>IF(SUMIFS(RES_CNXL_SQL_3!$F:$F,RES_CNXL_SQL_3!$A:$A,PAGE_1_old!$R29,RES_CNXL_SQL_3!$D:$D,PAGE_1_old!$S$29)=0,"",SUMIFS(RES_CNXL_SQL_3!$F:$F,RES_CNXL_SQL_3!$A:$A,PAGE_1_old!$R29,RES_CNXL_SQL_3!$D:$D,PAGE_1_old!$S$29))</f>
        <v/>
      </c>
      <c r="E43" s="48">
        <f>IF(SUMIFS(RES_CNXL_SQL_3!$F:$F,RES_CNXL_SQL_3!$A:$A,PAGE_1_old!$R29,RES_CNXL_SQL_3!$D:$D,PAGE_1_old!$S$30)=0,"",SUMIFS(RES_CNXL_SQL_3!$F:$F,RES_CNXL_SQL_3!$A:$A,PAGE_1_old!$R29,RES_CNXL_SQL_3!$D:$D,PAGE_1_old!$S$30))</f>
        <v/>
      </c>
      <c r="F43" s="48">
        <f>IF(SUMIFS(RES_CNXL_SQL_3!$F:$F,RES_CNXL_SQL_3!$A:$A,PAGE_1_old!$R29,RES_CNXL_SQL_3!$D:$D,PAGE_1_old!$S$31)=0,"",SUMIFS(RES_CNXL_SQL_3!$F:$F,RES_CNXL_SQL_3!$A:$A,PAGE_1_old!$R29,RES_CNXL_SQL_3!$D:$D,PAGE_1_old!$S$31))</f>
        <v/>
      </c>
      <c r="G43" s="48">
        <f>IF(SUMIFS(RES_CNXL_SQL_3!$F:$F,RES_CNXL_SQL_3!$A:$A,PAGE_1_old!$R29,RES_CNXL_SQL_3!$D:$D,PAGE_1_old!$S$32)=0,"",SUMIFS(RES_CNXL_SQL_3!$F:$F,RES_CNXL_SQL_3!$A:$A,PAGE_1_old!$R29,RES_CNXL_SQL_3!$D:$D,PAGE_1_old!$S$32))</f>
        <v/>
      </c>
      <c r="H43" s="48">
        <f>IF(SUMIFS(RES_CNXL_SQL_3!$F:$F,RES_CNXL_SQL_3!$A:$A,PAGE_1_old!$R29,RES_CNXL_SQL_3!$D:$D,PAGE_1_old!$S$33)=0,"",SUMIFS(RES_CNXL_SQL_3!$F:$F,RES_CNXL_SQL_3!$A:$A,PAGE_1_old!$R29,RES_CNXL_SQL_3!$D:$D,PAGE_1_old!$S$33))</f>
        <v/>
      </c>
      <c r="I43" s="48">
        <f>IF(SUMIFS(RES_CNXL_SQL_3!$F:$F,RES_CNXL_SQL_3!$A:$A,PAGE_1_old!$R29,RES_CNXL_SQL_3!$D:$D,PAGE_1_old!$S$34)=0,"",SUMIFS(RES_CNXL_SQL_3!$F:$F,RES_CNXL_SQL_3!$A:$A,PAGE_1_old!$R29,RES_CNXL_SQL_3!$D:$D,PAGE_1_old!$S$34))</f>
        <v/>
      </c>
      <c r="J43" s="48">
        <f>IF(SUMIFS(RES_CNXL_SQL_3!$F:$F,RES_CNXL_SQL_3!$A:$A,PAGE_1_old!$R29,RES_CNXL_SQL_3!$D:$D,PAGE_1_old!$S$35)=0,"",SUMIFS(RES_CNXL_SQL_3!$F:$F,RES_CNXL_SQL_3!$A:$A,PAGE_1_old!$R29,RES_CNXL_SQL_3!$D:$D,PAGE_1_old!$S$35))</f>
        <v/>
      </c>
      <c r="K43" s="48">
        <f>IF(SUMIFS(RES_CNXL_SQL_3!$F:$F,RES_CNXL_SQL_3!$A:$A,PAGE_1_old!$R29,RES_CNXL_SQL_3!$D:$D,PAGE_1_old!$S$36)=0,"",SUMIFS(RES_CNXL_SQL_3!$F:$F,RES_CNXL_SQL_3!$A:$A,PAGE_1_old!$R29,RES_CNXL_SQL_3!$D:$D,PAGE_1_old!$S$36))</f>
        <v/>
      </c>
      <c r="L43" s="48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60" t="n"/>
      <c r="R43" s="60" t="n"/>
      <c r="S43" s="60" t="n"/>
      <c r="T43" s="60" t="n"/>
      <c r="U43" s="60" t="n"/>
      <c r="V43" s="60" t="n"/>
      <c r="W43" s="60" t="n"/>
      <c r="X43" s="60" t="n"/>
    </row>
    <row r="44" ht="13" customHeight="1" s="286">
      <c r="B44" s="191" t="inlineStr">
        <is>
          <t>OO - SkyWest</t>
        </is>
      </c>
      <c r="C44" s="81">
        <f>SUMIF(SCH_DEP_SQL_4!$A:$A,PAGE_1_old!R30,SCH_DEP_SQL_4!$E:$E)</f>
        <v/>
      </c>
      <c r="D44" s="190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90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90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90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90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90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90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90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90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3" customHeight="1" s="286">
      <c r="B45" s="66" t="inlineStr">
        <is>
          <t>AX - Trans States</t>
        </is>
      </c>
      <c r="C45" s="80">
        <f>SUMIF(SCH_DEP_SQL_4!$A:$A,PAGE_1_old!R31,SCH_DEP_SQL_4!$E:$E)</f>
        <v/>
      </c>
      <c r="D45" s="48">
        <f>IF(SUMIFS(RES_CNXL_SQL_3!$F:$F,RES_CNXL_SQL_3!$A:$A,PAGE_1_old!$R31,RES_CNXL_SQL_3!$D:$D,PAGE_1_old!$S$29)=0,"",SUMIFS(RES_CNXL_SQL_3!$F:$F,RES_CNXL_SQL_3!$A:$A,PAGE_1_old!$R31,RES_CNXL_SQL_3!$D:$D,PAGE_1_old!$S$29))</f>
        <v/>
      </c>
      <c r="E45" s="48">
        <f>IF(SUMIFS(RES_CNXL_SQL_3!$F:$F,RES_CNXL_SQL_3!$A:$A,PAGE_1_old!$R31,RES_CNXL_SQL_3!$D:$D,PAGE_1_old!$S$30)=0,"",SUMIFS(RES_CNXL_SQL_3!$F:$F,RES_CNXL_SQL_3!$A:$A,PAGE_1_old!$R31,RES_CNXL_SQL_3!$D:$D,PAGE_1_old!$S$30))</f>
        <v/>
      </c>
      <c r="F45" s="48">
        <f>IF(SUMIFS(RES_CNXL_SQL_3!$F:$F,RES_CNXL_SQL_3!$A:$A,PAGE_1_old!$R31,RES_CNXL_SQL_3!$D:$D,PAGE_1_old!$S$31)=0,"",SUMIFS(RES_CNXL_SQL_3!$F:$F,RES_CNXL_SQL_3!$A:$A,PAGE_1_old!$R31,RES_CNXL_SQL_3!$D:$D,PAGE_1_old!$S$31))</f>
        <v/>
      </c>
      <c r="G45" s="48">
        <f>IF(SUMIFS(RES_CNXL_SQL_3!$F:$F,RES_CNXL_SQL_3!$A:$A,PAGE_1_old!$R31,RES_CNXL_SQL_3!$D:$D,PAGE_1_old!$S$32)=0,"",SUMIFS(RES_CNXL_SQL_3!$F:$F,RES_CNXL_SQL_3!$A:$A,PAGE_1_old!$R31,RES_CNXL_SQL_3!$D:$D,PAGE_1_old!$S$32))</f>
        <v/>
      </c>
      <c r="H45" s="48">
        <f>IF(SUMIFS(RES_CNXL_SQL_3!$F:$F,RES_CNXL_SQL_3!$A:$A,PAGE_1_old!$R31,RES_CNXL_SQL_3!$D:$D,PAGE_1_old!$S$33)=0,"",SUMIFS(RES_CNXL_SQL_3!$F:$F,RES_CNXL_SQL_3!$A:$A,PAGE_1_old!$R31,RES_CNXL_SQL_3!$D:$D,PAGE_1_old!$S$33))</f>
        <v/>
      </c>
      <c r="I45" s="48">
        <f>IF(SUMIFS(RES_CNXL_SQL_3!$F:$F,RES_CNXL_SQL_3!$A:$A,PAGE_1_old!$R31,RES_CNXL_SQL_3!$D:$D,PAGE_1_old!$S$34)=0,"",SUMIFS(RES_CNXL_SQL_3!$F:$F,RES_CNXL_SQL_3!$A:$A,PAGE_1_old!$R31,RES_CNXL_SQL_3!$D:$D,PAGE_1_old!$S$34))</f>
        <v/>
      </c>
      <c r="J45" s="48">
        <f>IF(SUMIFS(RES_CNXL_SQL_3!$F:$F,RES_CNXL_SQL_3!$A:$A,PAGE_1_old!$R31,RES_CNXL_SQL_3!$D:$D,PAGE_1_old!$S$35)=0,"",SUMIFS(RES_CNXL_SQL_3!$F:$F,RES_CNXL_SQL_3!$A:$A,PAGE_1_old!$R31,RES_CNXL_SQL_3!$D:$D,PAGE_1_old!$S$35))</f>
        <v/>
      </c>
      <c r="K45" s="48">
        <f>IF(SUMIFS(RES_CNXL_SQL_3!$F:$F,RES_CNXL_SQL_3!$A:$A,PAGE_1_old!$R31,RES_CNXL_SQL_3!$D:$D,PAGE_1_old!$S$36)=0,"",SUMIFS(RES_CNXL_SQL_3!$F:$F,RES_CNXL_SQL_3!$A:$A,PAGE_1_old!$R31,RES_CNXL_SQL_3!$D:$D,PAGE_1_old!$S$36))</f>
        <v/>
      </c>
      <c r="L45" s="48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3" customHeight="1" s="286">
      <c r="B46" s="191" t="inlineStr">
        <is>
          <t>YX - Republic</t>
        </is>
      </c>
      <c r="C46" s="81">
        <f>SUMIF(SCH_DEP_SQL_4!$A:$A,PAGE_1_old!R32,SCH_DEP_SQL_4!$E:$E)</f>
        <v/>
      </c>
      <c r="D46" s="190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90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90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90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90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90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90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90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90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3" customHeight="1" s="286">
      <c r="B47" s="66" t="inlineStr">
        <is>
          <t>G7 - Go Jet</t>
        </is>
      </c>
      <c r="C47" s="80">
        <f>SUMIF(SCH_DEP_SQL_4!$A:$A,PAGE_1_old!R33,SCH_DEP_SQL_4!$E:$E)</f>
        <v/>
      </c>
      <c r="D47" s="48">
        <f>IF(SUMIFS(RES_CNXL_SQL_3!$F:$F,RES_CNXL_SQL_3!$A:$A,PAGE_1_old!$R33,RES_CNXL_SQL_3!$D:$D,PAGE_1_old!$S$29)=0,"",SUMIFS(RES_CNXL_SQL_3!$F:$F,RES_CNXL_SQL_3!$A:$A,PAGE_1_old!$R33,RES_CNXL_SQL_3!$D:$D,PAGE_1_old!$S$29))</f>
        <v/>
      </c>
      <c r="E47" s="48">
        <f>IF(SUMIFS(RES_CNXL_SQL_3!$F:$F,RES_CNXL_SQL_3!$A:$A,PAGE_1_old!$R33,RES_CNXL_SQL_3!$D:$D,PAGE_1_old!$S$30)=0,"",SUMIFS(RES_CNXL_SQL_3!$F:$F,RES_CNXL_SQL_3!$A:$A,PAGE_1_old!$R33,RES_CNXL_SQL_3!$D:$D,PAGE_1_old!$S$30))</f>
        <v/>
      </c>
      <c r="F47" s="48">
        <f>IF(SUMIFS(RES_CNXL_SQL_3!$F:$F,RES_CNXL_SQL_3!$A:$A,PAGE_1_old!$R33,RES_CNXL_SQL_3!$D:$D,PAGE_1_old!$S$31)=0,"",SUMIFS(RES_CNXL_SQL_3!$F:$F,RES_CNXL_SQL_3!$A:$A,PAGE_1_old!$R33,RES_CNXL_SQL_3!$D:$D,PAGE_1_old!$S$31))</f>
        <v/>
      </c>
      <c r="G47" s="48">
        <f>IF(SUMIFS(RES_CNXL_SQL_3!$F:$F,RES_CNXL_SQL_3!$A:$A,PAGE_1_old!$R33,RES_CNXL_SQL_3!$D:$D,PAGE_1_old!$S$32)=0,"",SUMIFS(RES_CNXL_SQL_3!$F:$F,RES_CNXL_SQL_3!$A:$A,PAGE_1_old!$R33,RES_CNXL_SQL_3!$D:$D,PAGE_1_old!$S$32))</f>
        <v/>
      </c>
      <c r="H47" s="48">
        <f>IF(SUMIFS(RES_CNXL_SQL_3!$F:$F,RES_CNXL_SQL_3!$A:$A,PAGE_1_old!$R33,RES_CNXL_SQL_3!$D:$D,PAGE_1_old!$S$33)=0,"",SUMIFS(RES_CNXL_SQL_3!$F:$F,RES_CNXL_SQL_3!$A:$A,PAGE_1_old!$R33,RES_CNXL_SQL_3!$D:$D,PAGE_1_old!$S$33))</f>
        <v/>
      </c>
      <c r="I47" s="48">
        <f>IF(SUMIFS(RES_CNXL_SQL_3!$F:$F,RES_CNXL_SQL_3!$A:$A,PAGE_1_old!$R33,RES_CNXL_SQL_3!$D:$D,PAGE_1_old!$S$34)=0,"",SUMIFS(RES_CNXL_SQL_3!$F:$F,RES_CNXL_SQL_3!$A:$A,PAGE_1_old!$R33,RES_CNXL_SQL_3!$D:$D,PAGE_1_old!$S$34))</f>
        <v/>
      </c>
      <c r="J47" s="48">
        <f>IF(SUMIFS(RES_CNXL_SQL_3!$F:$F,RES_CNXL_SQL_3!$A:$A,PAGE_1_old!$R33,RES_CNXL_SQL_3!$D:$D,PAGE_1_old!$S$35)=0,"",SUMIFS(RES_CNXL_SQL_3!$F:$F,RES_CNXL_SQL_3!$A:$A,PAGE_1_old!$R33,RES_CNXL_SQL_3!$D:$D,PAGE_1_old!$S$35))</f>
        <v/>
      </c>
      <c r="K47" s="48">
        <f>IF(SUMIFS(RES_CNXL_SQL_3!$F:$F,RES_CNXL_SQL_3!$A:$A,PAGE_1_old!$R33,RES_CNXL_SQL_3!$D:$D,PAGE_1_old!$S$36)=0,"",SUMIFS(RES_CNXL_SQL_3!$F:$F,RES_CNXL_SQL_3!$A:$A,PAGE_1_old!$R33,RES_CNXL_SQL_3!$D:$D,PAGE_1_old!$S$36))</f>
        <v/>
      </c>
      <c r="L47" s="48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3" customHeight="1" s="286">
      <c r="B48" s="191" t="inlineStr">
        <is>
          <t>C5 - CommutAir</t>
        </is>
      </c>
      <c r="C48" s="81">
        <f>SUMIF(SCH_DEP_SQL_4!$A:$A,PAGE_1_old!R34,SCH_DEP_SQL_4!$E:$E)</f>
        <v/>
      </c>
      <c r="D48" s="190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90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90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90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90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90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90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90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90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3" customHeight="1" s="286">
      <c r="B49" s="66" t="inlineStr">
        <is>
          <t>YV - Mesa</t>
        </is>
      </c>
      <c r="C49" s="80">
        <f>SUMIF(SCH_DEP_SQL_4!$A:$A,PAGE_1_old!R35,SCH_DEP_SQL_4!$E:$E)</f>
        <v/>
      </c>
      <c r="D49" s="48">
        <f>IF(SUMIFS(RES_CNXL_SQL_3!$F:$F,RES_CNXL_SQL_3!$A:$A,PAGE_1_old!$R35,RES_CNXL_SQL_3!$D:$D,PAGE_1_old!$S$29)=0,"",SUMIFS(RES_CNXL_SQL_3!$F:$F,RES_CNXL_SQL_3!$A:$A,PAGE_1_old!$R35,RES_CNXL_SQL_3!$D:$D,PAGE_1_old!$S$29))</f>
        <v/>
      </c>
      <c r="E49" s="48">
        <f>IF(SUMIFS(RES_CNXL_SQL_3!$F:$F,RES_CNXL_SQL_3!$A:$A,PAGE_1_old!$R35,RES_CNXL_SQL_3!$D:$D,PAGE_1_old!$S$30)=0,"",SUMIFS(RES_CNXL_SQL_3!$F:$F,RES_CNXL_SQL_3!$A:$A,PAGE_1_old!$R35,RES_CNXL_SQL_3!$D:$D,PAGE_1_old!$S$30))</f>
        <v/>
      </c>
      <c r="F49" s="48">
        <f>IF(SUMIFS(RES_CNXL_SQL_3!$F:$F,RES_CNXL_SQL_3!$A:$A,PAGE_1_old!$R35,RES_CNXL_SQL_3!$D:$D,PAGE_1_old!$S$31)=0,"",SUMIFS(RES_CNXL_SQL_3!$F:$F,RES_CNXL_SQL_3!$A:$A,PAGE_1_old!$R35,RES_CNXL_SQL_3!$D:$D,PAGE_1_old!$S$31))</f>
        <v/>
      </c>
      <c r="G49" s="48">
        <f>IF(SUMIFS(RES_CNXL_SQL_3!$F:$F,RES_CNXL_SQL_3!$A:$A,PAGE_1_old!$R35,RES_CNXL_SQL_3!$D:$D,PAGE_1_old!$S$32)=0,"",SUMIFS(RES_CNXL_SQL_3!$F:$F,RES_CNXL_SQL_3!$A:$A,PAGE_1_old!$R35,RES_CNXL_SQL_3!$D:$D,PAGE_1_old!$S$32))</f>
        <v/>
      </c>
      <c r="H49" s="48">
        <f>IF(SUMIFS(RES_CNXL_SQL_3!$F:$F,RES_CNXL_SQL_3!$A:$A,PAGE_1_old!$R35,RES_CNXL_SQL_3!$D:$D,PAGE_1_old!$S$33)=0,"",SUMIFS(RES_CNXL_SQL_3!$F:$F,RES_CNXL_SQL_3!$A:$A,PAGE_1_old!$R35,RES_CNXL_SQL_3!$D:$D,PAGE_1_old!$S$33))</f>
        <v/>
      </c>
      <c r="I49" s="48">
        <f>IF(SUMIFS(RES_CNXL_SQL_3!$F:$F,RES_CNXL_SQL_3!$A:$A,PAGE_1_old!$R35,RES_CNXL_SQL_3!$D:$D,PAGE_1_old!$S$34)=0,"",SUMIFS(RES_CNXL_SQL_3!$F:$F,RES_CNXL_SQL_3!$A:$A,PAGE_1_old!$R35,RES_CNXL_SQL_3!$D:$D,PAGE_1_old!$S$34))</f>
        <v/>
      </c>
      <c r="J49" s="48">
        <f>IF(SUMIFS(RES_CNXL_SQL_3!$F:$F,RES_CNXL_SQL_3!$A:$A,PAGE_1_old!$R35,RES_CNXL_SQL_3!$D:$D,PAGE_1_old!$S$35)=0,"",SUMIFS(RES_CNXL_SQL_3!$F:$F,RES_CNXL_SQL_3!$A:$A,PAGE_1_old!$R35,RES_CNXL_SQL_3!$D:$D,PAGE_1_old!$S$35))</f>
        <v/>
      </c>
      <c r="K49" s="48">
        <f>IF(SUMIFS(RES_CNXL_SQL_3!$F:$F,RES_CNXL_SQL_3!$A:$A,PAGE_1_old!$R35,RES_CNXL_SQL_3!$D:$D,PAGE_1_old!$S$36)=0,"",SUMIFS(RES_CNXL_SQL_3!$F:$F,RES_CNXL_SQL_3!$A:$A,PAGE_1_old!$R35,RES_CNXL_SQL_3!$D:$D,PAGE_1_old!$S$36))</f>
        <v/>
      </c>
      <c r="L49" s="48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s="286" thickBot="1">
      <c r="B50" s="191" t="inlineStr">
        <is>
          <t>ZW - Air Wisconsin</t>
        </is>
      </c>
      <c r="C50" s="81">
        <f>SUMIF(SCH_DEP_SQL_4!$A:$A,PAGE_1_old!R36,SCH_DEP_SQL_4!$E:$E)</f>
        <v/>
      </c>
      <c r="D50" s="190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90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90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90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90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90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90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90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90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s="286" thickBot="1">
      <c r="B51" s="68" t="inlineStr">
        <is>
          <t>Total:</t>
        </is>
      </c>
      <c r="C51" s="82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 s="286">
      <c r="C52" s="69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2"/>
  </conditionalFormatting>
  <conditionalFormatting sqref="E29:E36">
    <cfRule type="top10" rank="1" priority="118" dxfId="2"/>
  </conditionalFormatting>
  <conditionalFormatting sqref="F29:F36">
    <cfRule type="top10" rank="1" priority="117" dxfId="2"/>
  </conditionalFormatting>
  <conditionalFormatting sqref="G29:G36">
    <cfRule type="top10" rank="1" priority="116" dxfId="2"/>
  </conditionalFormatting>
  <conditionalFormatting sqref="H29:H36">
    <cfRule type="top10" rank="1" priority="115" dxfId="2"/>
  </conditionalFormatting>
  <conditionalFormatting sqref="I29:I36">
    <cfRule type="top10" rank="1" priority="114" dxfId="2"/>
  </conditionalFormatting>
  <conditionalFormatting sqref="J29:J36">
    <cfRule type="top10" rank="1" priority="113" dxfId="2"/>
  </conditionalFormatting>
  <conditionalFormatting sqref="K29:K36">
    <cfRule type="top10" rank="1" priority="112" dxfId="2"/>
  </conditionalFormatting>
  <conditionalFormatting sqref="L29:L36">
    <cfRule type="top10" rank="1" priority="111" dxfId="2"/>
  </conditionalFormatting>
  <conditionalFormatting sqref="D43:D50">
    <cfRule type="top10" rank="1" priority="110" dxfId="2"/>
  </conditionalFormatting>
  <conditionalFormatting sqref="E43:E50">
    <cfRule type="top10" rank="1" priority="109" dxfId="2"/>
  </conditionalFormatting>
  <conditionalFormatting sqref="F43:F50">
    <cfRule type="top10" rank="1" priority="108" dxfId="2"/>
  </conditionalFormatting>
  <conditionalFormatting sqref="G43:G50">
    <cfRule type="top10" rank="1" priority="107" dxfId="2"/>
  </conditionalFormatting>
  <conditionalFormatting sqref="H43:H50">
    <cfRule type="top10" rank="1" priority="106" dxfId="2"/>
  </conditionalFormatting>
  <conditionalFormatting sqref="I43:I50">
    <cfRule type="top10" rank="1" priority="105" dxfId="2"/>
  </conditionalFormatting>
  <conditionalFormatting sqref="J43:J50">
    <cfRule type="top10" rank="1" priority="104" dxfId="2"/>
  </conditionalFormatting>
  <conditionalFormatting sqref="K43:K50">
    <cfRule type="top10" rank="1" priority="103" dxfId="2"/>
  </conditionalFormatting>
  <conditionalFormatting sqref="L43:L50">
    <cfRule type="top10" rank="1" priority="102" dxfId="2"/>
  </conditionalFormatting>
  <conditionalFormatting sqref="F6">
    <cfRule type="cellIs" priority="94" operator="greaterThan" dxfId="70">
      <formula>0</formula>
    </cfRule>
    <cfRule type="cellIs" priority="97" operator="lessThan" dxfId="0">
      <formula>0</formula>
    </cfRule>
  </conditionalFormatting>
  <conditionalFormatting sqref="F7">
    <cfRule type="cellIs" priority="96" operator="lessThan" dxfId="0">
      <formula>0</formula>
    </cfRule>
  </conditionalFormatting>
  <conditionalFormatting sqref="G6">
    <cfRule type="cellIs" priority="91" operator="greaterThan" dxfId="71">
      <formula>0</formula>
    </cfRule>
    <cfRule type="cellIs" priority="92" operator="greaterThan" dxfId="70">
      <formula>0</formula>
    </cfRule>
    <cfRule type="cellIs" priority="93" operator="lessThan" dxfId="0">
      <formula>0</formula>
    </cfRule>
  </conditionalFormatting>
  <conditionalFormatting sqref="G7">
    <cfRule type="cellIs" priority="88" operator="greaterThan" dxfId="71">
      <formula>0</formula>
    </cfRule>
    <cfRule type="cellIs" priority="89" operator="greaterThan" dxfId="70">
      <formula>0</formula>
    </cfRule>
    <cfRule type="cellIs" priority="90" operator="lessThan" dxfId="0">
      <formula>0</formula>
    </cfRule>
  </conditionalFormatting>
  <conditionalFormatting sqref="G8">
    <cfRule type="cellIs" priority="85" operator="greaterThan" dxfId="71">
      <formula>0</formula>
    </cfRule>
    <cfRule type="cellIs" priority="86" operator="greaterThan" dxfId="70">
      <formula>0</formula>
    </cfRule>
    <cfRule type="cellIs" priority="87" operator="lessThan" dxfId="0">
      <formula>0</formula>
    </cfRule>
  </conditionalFormatting>
  <conditionalFormatting sqref="F8">
    <cfRule type="cellIs" priority="82" operator="greaterThan" dxfId="71">
      <formula>0</formula>
    </cfRule>
    <cfRule type="cellIs" priority="83" operator="greaterThan" dxfId="70">
      <formula>0</formula>
    </cfRule>
    <cfRule type="cellIs" priority="84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D13" sqref="D13"/>
    </sheetView>
  </sheetViews>
  <sheetFormatPr baseColWidth="8" defaultRowHeight="14.5"/>
  <cols>
    <col width="12.7265625" customWidth="1" style="171" min="1" max="1"/>
    <col width="18.08984375" customWidth="1" style="286" min="2" max="2"/>
    <col hidden="1" width="2.90625" customWidth="1" style="286" min="3" max="3"/>
    <col width="35.7265625" customWidth="1" style="286" min="4" max="4"/>
    <col width="11.1796875" customWidth="1" style="286" min="6" max="6"/>
    <col width="9.7265625" bestFit="1" customWidth="1" style="286" min="16" max="16"/>
  </cols>
  <sheetData>
    <row r="1" ht="21" customHeight="1" s="286">
      <c r="B1" s="365" t="inlineStr">
        <is>
          <t>UAX Daily Snapshot</t>
        </is>
      </c>
      <c r="C1" s="366" t="n"/>
      <c r="D1" s="366" t="n"/>
      <c r="E1" s="366" t="n"/>
      <c r="F1" s="366" t="n"/>
      <c r="G1" s="366" t="n"/>
      <c r="H1" s="366" t="n"/>
      <c r="I1" s="366" t="n"/>
      <c r="J1" s="366" t="n"/>
      <c r="K1" s="366" t="n"/>
      <c r="L1" s="367" t="n"/>
      <c r="M1" s="171" t="n"/>
    </row>
    <row r="2" ht="21" customHeight="1" s="286">
      <c r="B2" s="257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252" t="n"/>
      <c r="M2" s="171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58" t="n"/>
      <c r="C3" s="171" t="n"/>
      <c r="D3" s="149" t="inlineStr">
        <is>
          <t>Metrics</t>
        </is>
      </c>
      <c r="E3" s="223" t="inlineStr">
        <is>
          <t>Latest</t>
        </is>
      </c>
      <c r="F3" s="223" t="inlineStr">
        <is>
          <t>Last 7 Days</t>
        </is>
      </c>
      <c r="G3" s="223" t="inlineStr">
        <is>
          <t>MTD</t>
        </is>
      </c>
      <c r="H3" s="224" t="n">
        <v>2019</v>
      </c>
      <c r="I3" s="223" t="inlineStr">
        <is>
          <t>DL Diff.</t>
        </is>
      </c>
      <c r="J3" s="223" t="inlineStr">
        <is>
          <t>AA Diff.</t>
        </is>
      </c>
      <c r="K3" s="225" t="inlineStr">
        <is>
          <t>Rank</t>
        </is>
      </c>
      <c r="L3" s="253" t="n"/>
      <c r="M3" s="171" t="n"/>
      <c r="P3" s="53">
        <f>TODAY()</f>
        <v/>
      </c>
      <c r="R3" s="368">
        <f>$G$7</f>
        <v/>
      </c>
      <c r="S3" s="267">
        <f>OA_SeatCnxl!B2</f>
        <v/>
      </c>
      <c r="T3" s="267">
        <f>OA_SeatCnxl!B3</f>
        <v/>
      </c>
      <c r="U3">
        <f>RANK(R3,R3:T3,1)</f>
        <v/>
      </c>
    </row>
    <row r="4">
      <c r="B4" s="258" t="n"/>
      <c r="C4" s="171" t="n"/>
      <c r="D4" s="171" t="n"/>
      <c r="E4" s="226" t="n"/>
      <c r="F4" s="226" t="n"/>
      <c r="G4" s="226" t="n"/>
      <c r="H4" s="227" t="n"/>
      <c r="I4" s="226" t="n"/>
      <c r="J4" s="226" t="n"/>
      <c r="K4" s="228" t="n"/>
      <c r="L4" s="253" t="n"/>
      <c r="M4" s="171" t="n"/>
      <c r="P4">
        <f>DAY(P3)</f>
        <v/>
      </c>
    </row>
    <row r="5">
      <c r="B5" s="337" t="inlineStr">
        <is>
          <t>Reliability Metrics</t>
        </is>
      </c>
      <c r="C5" s="171" t="n"/>
      <c r="D5" s="151" t="inlineStr">
        <is>
          <t>Cancellation Rate</t>
        </is>
      </c>
      <c r="E5" s="238">
        <f>UA_SQL_1!$O$2/UA_SQL_1!$N$2</f>
        <v/>
      </c>
      <c r="F5" s="238">
        <f>UA_L7D!$F$2/UA_L7D!$E$2</f>
        <v/>
      </c>
      <c r="G5" s="238">
        <f>UA_SQL_1!$F$2/UA_SQL_1!$E$2</f>
        <v/>
      </c>
      <c r="H5" s="291">
        <f>UA_SQL_1_2019!$F$2/UA_SQL_1_2019!$E$2</f>
        <v/>
      </c>
      <c r="I5" s="297">
        <f>(G5-RANK!$Q$2)*100</f>
        <v/>
      </c>
      <c r="J5" s="297">
        <f>($G$5-RANK!$R$2)*100</f>
        <v/>
      </c>
      <c r="K5" s="230">
        <f>RANK!$T$2</f>
        <v/>
      </c>
      <c r="L5" s="253" t="n"/>
      <c r="M5" s="171" t="n"/>
    </row>
    <row r="6">
      <c r="B6" s="369" t="n"/>
      <c r="C6" s="171" t="n"/>
      <c r="D6" s="151" t="inlineStr">
        <is>
          <t>Controllable Cancellation Rate</t>
        </is>
      </c>
      <c r="E6" s="238">
        <f>(UA_SQL_1!$V$2)/UA_SQL_1!$N$2</f>
        <v/>
      </c>
      <c r="F6" s="291">
        <f>(UA_L7D!$M$2)/UA_L7D!$E$2</f>
        <v/>
      </c>
      <c r="G6" s="238">
        <f>(UA_SQL_1!$M$2)/UA_SQL_1!$E$2</f>
        <v/>
      </c>
      <c r="H6" s="291">
        <f>(UA_SQL_1_2019!$M$2)/UA_SQL_1_2019!$E$2</f>
        <v/>
      </c>
      <c r="I6" s="297">
        <f>"-"</f>
        <v/>
      </c>
      <c r="J6" s="297">
        <f>"-"</f>
        <v/>
      </c>
      <c r="K6" s="229">
        <f>"-"</f>
        <v/>
      </c>
      <c r="L6" s="253" t="n"/>
      <c r="M6" s="171" t="n"/>
    </row>
    <row r="7">
      <c r="B7" s="369" t="n"/>
      <c r="C7" s="171" t="n"/>
      <c r="D7" s="151" t="inlineStr">
        <is>
          <t>Seat Cancellations</t>
        </is>
      </c>
      <c r="E7" s="292">
        <f>UA_Seat_cancels!B2</f>
        <v/>
      </c>
      <c r="F7" s="293">
        <f>UA_Seat_cancels!C2</f>
        <v/>
      </c>
      <c r="G7" s="238">
        <f>UA_Seat_cancels!A2</f>
        <v/>
      </c>
      <c r="H7" s="291">
        <f>UA_SeatCnxl_2019!$B$2</f>
        <v/>
      </c>
      <c r="I7" s="297">
        <f>($G$7-OA_SeatCnxl!$B$3)*100</f>
        <v/>
      </c>
      <c r="J7" s="297">
        <f>($G$7-OA_SeatCnxl!$B$2)*100</f>
        <v/>
      </c>
      <c r="K7" s="276">
        <f>U3</f>
        <v/>
      </c>
      <c r="L7" s="253" t="n"/>
      <c r="M7" s="171" t="n"/>
    </row>
    <row r="8">
      <c r="B8" s="369" t="n"/>
      <c r="C8" s="171" t="n"/>
      <c r="D8" s="151" t="inlineStr">
        <is>
          <t>A00</t>
        </is>
      </c>
      <c r="E8" s="294">
        <f>UA_SQL_1!$R$2/UA_SQL_1!$N$2</f>
        <v/>
      </c>
      <c r="F8" s="291">
        <f>UA_L7D!$I$2/UA_L7D!$E$2</f>
        <v/>
      </c>
      <c r="G8" s="238">
        <f>UA_SQL_1!$I$2/UA_SQL_1!$E$2</f>
        <v/>
      </c>
      <c r="H8" s="291">
        <f>UA_SQL_1_2019!$I$2/UA_SQL_1_2019!$E$2</f>
        <v/>
      </c>
      <c r="I8" s="297">
        <f>(RANK!$P$3-RANK!Q3)*100</f>
        <v/>
      </c>
      <c r="J8" s="297">
        <f>(RANK!$P$3-RANK!R3)*100</f>
        <v/>
      </c>
      <c r="K8" s="230">
        <f>RANK!$T$3</f>
        <v/>
      </c>
      <c r="L8" s="253" t="n"/>
      <c r="M8" s="171" t="n"/>
    </row>
    <row r="9">
      <c r="B9" s="369" t="n"/>
      <c r="C9" s="171" t="n"/>
      <c r="D9" s="151" t="inlineStr">
        <is>
          <t>A14</t>
        </is>
      </c>
      <c r="E9" s="292">
        <f>UA_SQL_1!$S$2/UA_SQL_1!$N$2</f>
        <v/>
      </c>
      <c r="F9" s="291">
        <f>UA_L7D!$J$2/UA_L7D!$E$2</f>
        <v/>
      </c>
      <c r="G9" s="238">
        <f>UA_SQL_1!$J$2/UA_SQL_1!$E$2</f>
        <v/>
      </c>
      <c r="H9" s="291">
        <f>UA_SQL_1_2019!$J$2/UA_SQL_1_2019!$E$2</f>
        <v/>
      </c>
      <c r="I9" s="297">
        <f>(RANK!$P$5-RANK!Q5)*100</f>
        <v/>
      </c>
      <c r="J9" s="297">
        <f>(RANK!$P$5-RANK!R5)*100</f>
        <v/>
      </c>
      <c r="K9" s="230">
        <f>RANK!T5</f>
        <v/>
      </c>
      <c r="L9" s="253" t="n"/>
      <c r="M9" s="171" t="n"/>
    </row>
    <row r="10">
      <c r="B10" s="369" t="n"/>
      <c r="C10" s="171" t="n"/>
      <c r="D10" s="151" t="inlineStr">
        <is>
          <t>CD00</t>
        </is>
      </c>
      <c r="E10" s="294">
        <f>(UA_SQL_1!$Q$2/UA_SQL_1!$N$2)</f>
        <v/>
      </c>
      <c r="F10" s="291">
        <f>UA_L7D!$H$2/UA_L7D!$E$2</f>
        <v/>
      </c>
      <c r="G10" s="238">
        <f>UA_SQL_1!$H$2/UA_SQL_1!$E$2</f>
        <v/>
      </c>
      <c r="H10" s="291">
        <f>UA_SQL_1_2019!$H$2/UA_SQL_1_2019!$E$2</f>
        <v/>
      </c>
      <c r="I10" s="297">
        <f>(RANK!$P$4-RANK!Q4)*100</f>
        <v/>
      </c>
      <c r="J10" s="297">
        <f>(RANK!$P$4-RANK!R4)*100</f>
        <v/>
      </c>
      <c r="K10" s="230">
        <f>RANK!$T$4</f>
        <v/>
      </c>
      <c r="L10" s="253" t="n"/>
      <c r="M10" s="171" t="n"/>
    </row>
    <row r="11">
      <c r="B11" s="369" t="n"/>
      <c r="C11" s="171" t="n"/>
      <c r="D11" s="151" t="inlineStr">
        <is>
          <t>D00</t>
        </is>
      </c>
      <c r="E11" s="292">
        <f>UA_SQL_1!$P$2/UA_SQL_1!$N$2</f>
        <v/>
      </c>
      <c r="F11" s="291">
        <f>UA_L7D!$G$2/UA_L7D!$E$2</f>
        <v/>
      </c>
      <c r="G11" s="238">
        <f>UA_SQL_1!$G$2/UA_SQL_1!$E$2</f>
        <v/>
      </c>
      <c r="H11" s="291">
        <f>UA_SQL_1_2019!$G$2/UA_SQL_1_2019!$E$2</f>
        <v/>
      </c>
      <c r="I11" s="231" t="n"/>
      <c r="J11" s="232" t="n"/>
      <c r="K11" s="233" t="n"/>
      <c r="L11" s="253" t="n"/>
      <c r="M11" s="171" t="n"/>
    </row>
    <row r="12">
      <c r="B12" s="369" t="n"/>
      <c r="C12" s="171" t="n"/>
      <c r="D12" s="151" t="inlineStr">
        <is>
          <t>STAR D00</t>
        </is>
      </c>
      <c r="E12" s="294">
        <f>UA_SQL_1!$U$2/UA_SQL_1!$T$2</f>
        <v/>
      </c>
      <c r="F12" s="291">
        <f>UA_L7D!$L$2/UA_L7D!$K$2</f>
        <v/>
      </c>
      <c r="G12" s="238">
        <f>UA_SQL_1!$L$2/UA_SQL_1!$K$2</f>
        <v/>
      </c>
      <c r="H12" s="291">
        <f>UA_SQL_1_2019!$L$2/UA_SQL_1_2019!$K$2</f>
        <v/>
      </c>
      <c r="I12" s="234" t="n"/>
      <c r="J12" s="233" t="n"/>
      <c r="K12" s="233" t="n"/>
      <c r="L12" s="253" t="n"/>
      <c r="M12" s="171" t="n"/>
    </row>
    <row r="13">
      <c r="B13" s="258" t="n"/>
      <c r="C13" s="171" t="n"/>
      <c r="D13" s="153" t="n"/>
      <c r="E13" s="295" t="n"/>
      <c r="F13" s="295" t="n"/>
      <c r="G13" s="295" t="n"/>
      <c r="H13" s="296" t="n"/>
      <c r="I13" s="236" t="n"/>
      <c r="J13" s="237" t="n"/>
      <c r="K13" s="237" t="n"/>
      <c r="L13" s="253" t="n"/>
      <c r="M13" s="171" t="n"/>
      <c r="P13">
        <f>"2019"</f>
        <v/>
      </c>
    </row>
    <row r="14">
      <c r="B14" s="338" t="inlineStr">
        <is>
          <t>Delays</t>
        </is>
      </c>
      <c r="C14" s="154" t="n"/>
      <c r="D14" s="151" t="inlineStr">
        <is>
          <t xml:space="preserve">1-15 mins delays </t>
        </is>
      </c>
      <c r="E14" s="238">
        <f>IFERROR(VLOOKUP("YEST",Delays_Info!$A:$R,14,0)/100,"-")</f>
        <v/>
      </c>
      <c r="F14" s="238">
        <f>IFERROR(VLOOKUP("L7D",Delays_Info!$A:$R,14,0)/100,"-")</f>
        <v/>
      </c>
      <c r="G14" s="238">
        <f>IFERROR(VLOOKUP("MTD",Delays_Info!$A:$R,14,0)/100,"-")</f>
        <v/>
      </c>
      <c r="H14" s="238">
        <f>Delays_Info!$N$5/100</f>
        <v/>
      </c>
      <c r="I14" s="236" t="n"/>
      <c r="J14" s="237" t="n"/>
      <c r="K14" s="237" t="n"/>
      <c r="L14" s="253" t="n"/>
      <c r="M14" s="171" t="n"/>
    </row>
    <row r="15">
      <c r="B15" s="369" t="n"/>
      <c r="C15" s="154" t="n"/>
      <c r="D15" s="151" t="inlineStr">
        <is>
          <t>&gt;15 mins delays</t>
        </is>
      </c>
      <c r="E15" s="238">
        <f>IFERROR(VLOOKUP("YEST",Delays_Info!$A$1:$R$5,15,0)/100,"-")</f>
        <v/>
      </c>
      <c r="F15" s="238">
        <f>IFERROR(VLOOKUP("L7D",Delays_Info!$A$1:$R$5,15,0)/100,"-")</f>
        <v/>
      </c>
      <c r="G15" s="238">
        <f>IFERROR(VLOOKUP("MTD",Delays_Info!$A$1:$R$5,15,0)/100,"-")</f>
        <v/>
      </c>
      <c r="H15" s="238">
        <f>Delays_Info!$O5/100</f>
        <v/>
      </c>
      <c r="I15" s="236" t="n"/>
      <c r="J15" s="237" t="n"/>
      <c r="K15" s="237" t="n"/>
      <c r="L15" s="253" t="n"/>
      <c r="M15" s="171" t="n"/>
    </row>
    <row r="16">
      <c r="B16" s="369" t="n"/>
      <c r="C16" s="154" t="n"/>
      <c r="D16" s="151" t="inlineStr">
        <is>
          <t>Flight Ops delays</t>
        </is>
      </c>
      <c r="E16" s="238">
        <f>IFERROR(VLOOKUP("YEST",Delays_Info!$A$1:$R$5,17,0)/100,"-")</f>
        <v/>
      </c>
      <c r="F16" s="238">
        <f>IFERROR(VLOOKUP("L7D",Delays_Info!$A$1:$R$5,17,0)/100,"-")</f>
        <v/>
      </c>
      <c r="G16" s="238">
        <f>IFERROR(VLOOKUP("MTD",Delays_Info!$A$1:$R$5,17,0)/100,"-")</f>
        <v/>
      </c>
      <c r="H16" s="238">
        <f>Delays_Info!$Q5/100</f>
        <v/>
      </c>
      <c r="I16" s="239" t="n"/>
      <c r="J16" s="237" t="n"/>
      <c r="K16" s="237" t="n"/>
      <c r="L16" s="253" t="n"/>
      <c r="M16" s="171" t="n"/>
    </row>
    <row r="17">
      <c r="B17" s="369" t="n"/>
      <c r="C17" s="154" t="n"/>
      <c r="D17" s="155" t="inlineStr">
        <is>
          <t xml:space="preserve">          Crew Connections</t>
        </is>
      </c>
      <c r="E17" s="238">
        <f>IFERROR(VLOOKUP("YEST",Delays_Info!$A$1:$R$5,7,0)/VLOOKUP("YEST",Delays_Info!$A$1:$R$5,13,0),"-")</f>
        <v/>
      </c>
      <c r="F17" s="238">
        <f>IFERROR(VLOOKUP("L7D",Delays_Info!$A$1:$R$5,7,0)/VLOOKUP("L7D",Delays_Info!$A$1:$R$5,13,0),"-")</f>
        <v/>
      </c>
      <c r="G17" s="238">
        <f>IFERROR(VLOOKUP("MTD",Delays_Info!$A$1:$R$5,7,0)/VLOOKUP("MTD",Delays_Info!$A$1:$R$5,13,0),"-")</f>
        <v/>
      </c>
      <c r="H17" s="238">
        <f>Delays_Info!G$5/Delays_Info!$M$5</f>
        <v/>
      </c>
      <c r="I17" s="236" t="n"/>
      <c r="J17" s="240" t="n"/>
      <c r="K17" s="240" t="n"/>
      <c r="L17" s="254" t="n"/>
      <c r="M17" s="171" t="n"/>
    </row>
    <row r="18">
      <c r="B18" s="369" t="n"/>
      <c r="C18" s="154" t="n"/>
      <c r="D18" s="155" t="inlineStr">
        <is>
          <t xml:space="preserve">          Crew Availability</t>
        </is>
      </c>
      <c r="E18" s="238">
        <f>IFERROR(VLOOKUP("YEST",Delays_Info!$A$1:$R$5,8,0)/VLOOKUP("YEST",Delays_Info!$A$1:$R$5,13,0),"-")</f>
        <v/>
      </c>
      <c r="F18" s="238">
        <f>IFERROR(VLOOKUP("L7D",Delays_Info!$A$1:$R$5,8,0)/VLOOKUP("L7D",Delays_Info!$A$1:$R$5,13,0),"-")</f>
        <v/>
      </c>
      <c r="G18" s="238">
        <f>IFERROR(VLOOKUP("MTD",Delays_Info!$A$1:$R$5,8,0)/VLOOKUP("MTD",Delays_Info!$A$1:$R$5,13,0),"-")</f>
        <v/>
      </c>
      <c r="H18" s="238">
        <f>Delays_Info!H$5/Delays_Info!$M$5</f>
        <v/>
      </c>
      <c r="I18" s="236" t="n"/>
      <c r="J18" s="237" t="n"/>
      <c r="K18" s="237" t="n"/>
      <c r="L18" s="253" t="n"/>
      <c r="M18" s="171" t="n"/>
    </row>
    <row r="19">
      <c r="B19" s="369" t="n"/>
      <c r="C19" s="154" t="n"/>
      <c r="D19" s="155" t="inlineStr">
        <is>
          <t xml:space="preserve">          Ops Process</t>
        </is>
      </c>
      <c r="E19" s="238">
        <f>IFERROR(VLOOKUP("YEST",Delays_Info!$A$1:$R$5,9,0)/VLOOKUP("YEST",Delays_Info!$A$1:$R$5,13,0),"-")</f>
        <v/>
      </c>
      <c r="F19" s="238">
        <f>IFERROR(VLOOKUP("L7D",Delays_Info!$A$1:$R$5,9,0)/VLOOKUP("L7D",Delays_Info!$A$1:$R$5,13,0),"-")</f>
        <v/>
      </c>
      <c r="G19" s="238">
        <f>IFERROR(VLOOKUP("MTD",Delays_Info!$A$1:$R$5,9,0)/VLOOKUP("MTD",Delays_Info!$A$1:$R$5,13,0),"-")</f>
        <v/>
      </c>
      <c r="H19" s="238">
        <f>Delays_Info!I$5/Delays_Info!$M$5</f>
        <v/>
      </c>
      <c r="I19" s="236" t="n"/>
      <c r="J19" s="237" t="n"/>
      <c r="K19" s="237" t="n"/>
      <c r="L19" s="253" t="n"/>
      <c r="M19" s="171" t="n"/>
    </row>
    <row r="20">
      <c r="B20" s="369" t="n"/>
      <c r="C20" s="154" t="n"/>
      <c r="D20" s="156" t="inlineStr">
        <is>
          <t>Inflight Delays</t>
        </is>
      </c>
      <c r="E20" s="238">
        <f>IFERROR(VLOOKUP("L7D",Delays_Info!$A$1:$R$5,18,0)/100,"-")</f>
        <v/>
      </c>
      <c r="F20" s="238">
        <f>IFERROR(VLOOKUP("YEST",Delays_Info!$A$1:$R$5,18,0)/100,"-")</f>
        <v/>
      </c>
      <c r="G20" s="238">
        <f>IFERROR(VLOOKUP("MTD",Delays_Info!$A$1:$R$5,18,0)/100,"-")</f>
        <v/>
      </c>
      <c r="H20" s="238">
        <f>Delays_Info!$R5/100</f>
        <v/>
      </c>
      <c r="I20" s="236" t="n"/>
      <c r="J20" s="237" t="n"/>
      <c r="K20" s="237" t="n"/>
      <c r="L20" s="253" t="n"/>
      <c r="M20" s="171" t="n"/>
    </row>
    <row r="21">
      <c r="B21" s="369" t="n"/>
      <c r="C21" s="154" t="n"/>
      <c r="D21" s="155" t="inlineStr">
        <is>
          <t xml:space="preserve">          Crew Connections</t>
        </is>
      </c>
      <c r="E21" s="238">
        <f>IFERROR(VLOOKUP("YEST",Delays_Info!$A$1:$R$5,10,0)/VLOOKUP("YEST",Delays_Info!$A$1:$R$5,13,0),"-")</f>
        <v/>
      </c>
      <c r="F21" s="238">
        <f>IFERROR(VLOOKUP("L7D",Delays_Info!$A$1:$R$5,10,0)/VLOOKUP("L7D",Delays_Info!$A$1:$R$5,13,0),"-")</f>
        <v/>
      </c>
      <c r="G21" s="238">
        <f>IFERROR(VLOOKUP("MTD",Delays_Info!$A$1:$R$5,10,0)/VLOOKUP("MTD",Delays_Info!$A$1:$R$5,13,0),"-")</f>
        <v/>
      </c>
      <c r="H21" s="238">
        <f>Delays_Info!J$5/Delays_Info!$M$5</f>
        <v/>
      </c>
      <c r="I21" s="236" t="n"/>
      <c r="J21" s="237" t="n"/>
      <c r="K21" s="237" t="n"/>
      <c r="L21" s="253" t="n"/>
      <c r="M21" s="171" t="n"/>
    </row>
    <row r="22">
      <c r="B22" s="369" t="n"/>
      <c r="C22" s="154" t="n"/>
      <c r="D22" s="155" t="inlineStr">
        <is>
          <t xml:space="preserve">          Crew Availability</t>
        </is>
      </c>
      <c r="E22" s="238">
        <f>IFERROR(VLOOKUP("YEST",Delays_Info!$A$1:$R$5,11,0)/VLOOKUP("YEST",Delays_Info!$A$1:$R$5,13,0),"-")</f>
        <v/>
      </c>
      <c r="F22" s="238">
        <f>IFERROR(VLOOKUP("L7D",Delays_Info!$A$1:$R$5,11,0)/VLOOKUP("L7D",Delays_Info!$A$1:$R$5,13,0),"-")</f>
        <v/>
      </c>
      <c r="G22" s="238">
        <f>IFERROR(VLOOKUP("MTD",Delays_Info!$A$1:$R$5,11,0)/VLOOKUP("MTD",Delays_Info!$A$1:$R$5,13,0),"-")</f>
        <v/>
      </c>
      <c r="H22" s="238">
        <f>Delays_Info!K$5/Delays_Info!$M$5</f>
        <v/>
      </c>
      <c r="I22" s="236" t="n"/>
      <c r="J22" s="237" t="n"/>
      <c r="K22" s="237" t="n"/>
      <c r="L22" s="253" t="n"/>
      <c r="M22" s="171" t="n"/>
    </row>
    <row r="23">
      <c r="B23" s="369" t="n"/>
      <c r="C23" s="154" t="n"/>
      <c r="D23" s="155" t="inlineStr">
        <is>
          <t xml:space="preserve">          Ops Process</t>
        </is>
      </c>
      <c r="E23" s="238">
        <f>IFERROR(VLOOKUP("YEST",Delays_Info!$A$1:$R$5,12,0)/VLOOKUP("YEST",Delays_Info!$A$1:$R$5,13,0),"-")</f>
        <v/>
      </c>
      <c r="F23" s="238">
        <f>IFERROR(VLOOKUP("L7D",Delays_Info!$A$1:$R$5,12,0)/VLOOKUP("L7D",Delays_Info!$A$1:$R$5,13,0),"-")</f>
        <v/>
      </c>
      <c r="G23" s="238">
        <f>IFERROR(VLOOKUP("MTD",Delays_Info!$A$1:$R$5,12,0)/VLOOKUP("MTD",Delays_Info!$A$1:$R$5,13,0),"-")</f>
        <v/>
      </c>
      <c r="H23" s="238">
        <f>Delays_Info!L$5/Delays_Info!$M$5</f>
        <v/>
      </c>
      <c r="I23" s="236" t="n"/>
      <c r="J23" s="237" t="n"/>
      <c r="K23" s="237" t="n"/>
      <c r="L23" s="253" t="n"/>
      <c r="M23" s="171" t="n"/>
    </row>
    <row r="24">
      <c r="B24" s="258" t="n"/>
      <c r="C24" s="171" t="n"/>
      <c r="D24" s="155" t="n"/>
      <c r="E24" s="370" t="n"/>
      <c r="F24" s="370" t="n"/>
      <c r="G24" s="370" t="n"/>
      <c r="H24" s="371" t="n"/>
      <c r="I24" s="236" t="n"/>
      <c r="J24" s="237" t="n"/>
      <c r="K24" s="237" t="n"/>
      <c r="L24" s="253" t="n"/>
      <c r="M24" s="171" t="n"/>
    </row>
    <row r="25">
      <c r="B25" s="338" t="inlineStr">
        <is>
          <t>Diverts</t>
        </is>
      </c>
      <c r="C25" s="154" t="n"/>
      <c r="D25" s="156" t="n"/>
      <c r="E25" s="235" t="n"/>
      <c r="F25" s="226" t="n"/>
      <c r="G25" s="226" t="n"/>
      <c r="H25" s="227" t="n"/>
      <c r="I25" s="243" t="n"/>
      <c r="J25" s="237" t="n"/>
      <c r="K25" s="237" t="n"/>
      <c r="L25" s="253" t="n"/>
      <c r="M25" s="171" t="n"/>
    </row>
    <row r="26">
      <c r="B26" s="369" t="n"/>
      <c r="C26" s="154" t="n"/>
      <c r="D26" s="151" t="inlineStr">
        <is>
          <t>Total diverts</t>
        </is>
      </c>
      <c r="E26" s="244">
        <f>VLOOKUP("YEST",TOTAL_DIVERTS_SQL_5!$A$1:$B$3,2,0)</f>
        <v/>
      </c>
      <c r="F26" s="245">
        <f>VLOOKUP("L7D",DIVERTS_SQL_5_2019!$A$1:$B$3,2,0)/7</f>
        <v/>
      </c>
      <c r="G26" s="245">
        <f>VLOOKUP("MTD",TOTAL_DIVERTS_SQL_5!$A$1:$B$3,2,0)/$P$4</f>
        <v/>
      </c>
      <c r="H26" s="245">
        <f>DIVERTS_SQL_5_2019!$B$2/$P$4</f>
        <v/>
      </c>
      <c r="I26" s="236" t="n"/>
      <c r="J26" s="237" t="n"/>
      <c r="K26" s="237" t="n"/>
      <c r="L26" s="253" t="n"/>
      <c r="M26" s="171" t="n"/>
    </row>
    <row r="27">
      <c r="B27" s="369" t="n"/>
      <c r="C27" s="154" t="n"/>
      <c r="D27" s="151" t="inlineStr">
        <is>
          <t>Diverts recovered</t>
        </is>
      </c>
      <c r="E27" s="244">
        <f>DIVERTS_RECOVERED_SQL_6!$C$2</f>
        <v/>
      </c>
      <c r="F27" s="245">
        <f>RECOVERED_DIVERTS_2019!$C$3/7</f>
        <v/>
      </c>
      <c r="G27" s="245">
        <f>DIVERTS_RECOVERED_SQL_6!$C$3/P4</f>
        <v/>
      </c>
      <c r="H27" s="246">
        <f>RECOVERED_DIVERTS_2019!$C$2/'Pg1'!$P$4</f>
        <v/>
      </c>
      <c r="I27" s="236" t="n"/>
      <c r="J27" s="237" t="n"/>
      <c r="K27" s="237" t="n"/>
      <c r="L27" s="253" t="n"/>
      <c r="M27" s="171" t="n"/>
    </row>
    <row r="28">
      <c r="B28" s="369" t="n"/>
      <c r="C28" s="154" t="n"/>
      <c r="D28" s="151" t="inlineStr">
        <is>
          <t>Yet to depart</t>
        </is>
      </c>
      <c r="E28" s="244">
        <f>FLIGHTS_NOT_DEPARTED_SQL_8!$A$2</f>
        <v/>
      </c>
      <c r="F28" s="244" t="n"/>
      <c r="G28" s="244" t="n"/>
      <c r="H28" s="247" t="n"/>
      <c r="I28" s="236" t="n"/>
      <c r="J28" s="237" t="n"/>
      <c r="K28" s="237" t="n"/>
      <c r="L28" s="253" t="n"/>
      <c r="M28" s="171" t="n"/>
    </row>
    <row r="29">
      <c r="B29" s="369" t="n"/>
      <c r="C29" s="154" t="n"/>
      <c r="D29" s="151" t="inlineStr">
        <is>
          <t>Repositioned flights</t>
        </is>
      </c>
      <c r="E29" s="248">
        <f>REPOSITIONED_FLIGHTS_SQL_13!$A$2</f>
        <v/>
      </c>
      <c r="F29" s="248" t="n"/>
      <c r="G29" s="248" t="n"/>
      <c r="H29" s="249" t="n"/>
      <c r="I29" s="250" t="n"/>
      <c r="J29" s="251" t="n"/>
      <c r="K29" s="251" t="n"/>
      <c r="L29" s="253" t="n"/>
      <c r="M29" s="171" t="n"/>
    </row>
    <row r="30">
      <c r="B30" s="369" t="n"/>
      <c r="C30" s="154" t="n"/>
      <c r="D30" s="171" t="n"/>
      <c r="E30" s="251" t="n"/>
      <c r="F30" s="251" t="n"/>
      <c r="G30" s="251" t="n"/>
      <c r="H30" s="251" t="n"/>
      <c r="I30" s="251" t="n"/>
      <c r="J30" s="251" t="n"/>
      <c r="K30" s="251" t="n"/>
      <c r="L30" s="253" t="n"/>
      <c r="M30" s="171" t="n"/>
    </row>
    <row r="31">
      <c r="B31" s="259" t="n"/>
      <c r="C31" s="255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6" t="n"/>
      <c r="M31" s="171" t="n"/>
    </row>
    <row r="32"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1" t="n"/>
      <c r="K32" s="171" t="n"/>
      <c r="L32" s="171" t="n"/>
      <c r="M32" s="171" t="n"/>
    </row>
  </sheetData>
  <mergeCells count="4">
    <mergeCell ref="B5:B12"/>
    <mergeCell ref="B14:B23"/>
    <mergeCell ref="B1:L1"/>
    <mergeCell ref="B25:B30"/>
  </mergeCells>
  <conditionalFormatting sqref="I6:J6 I8:J10">
    <cfRule type="cellIs" priority="16" operator="greaterThan" dxfId="1">
      <formula>0</formula>
    </cfRule>
    <cfRule type="cellIs" priority="17" operator="lessThan" dxfId="37">
      <formula>0</formula>
    </cfRule>
  </conditionalFormatting>
  <conditionalFormatting sqref="K6">
    <cfRule type="cellIs" priority="11" operator="greaterThanOrEqual" dxfId="1">
      <formula>0</formula>
    </cfRule>
    <cfRule type="cellIs" priority="12" operator="lessThan" dxfId="0">
      <formula>0</formula>
    </cfRule>
  </conditionalFormatting>
  <conditionalFormatting sqref="I5:J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I7:J7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6" zoomScale="70" zoomScaleNormal="70" workbookViewId="0">
      <selection activeCell="G22" sqref="G22"/>
    </sheetView>
  </sheetViews>
  <sheetFormatPr baseColWidth="8" defaultRowHeight="14.5"/>
  <cols>
    <col width="17.1796875" customWidth="1" style="286" min="3" max="3"/>
    <col width="14" customWidth="1" style="286" min="4" max="4"/>
    <col width="16.81640625" customWidth="1" style="286" min="5" max="5"/>
    <col width="12.453125" customWidth="1" style="286" min="6" max="6"/>
    <col width="11.26953125" customWidth="1" style="286" min="7" max="7"/>
    <col width="10.453125" customWidth="1" style="286" min="8" max="8"/>
    <col width="13.7265625" customWidth="1" style="286" min="9" max="9"/>
    <col width="11.81640625" customWidth="1" style="286" min="10" max="10"/>
    <col width="11.7265625" customWidth="1" style="286" min="11" max="11"/>
    <col width="10.7265625" customWidth="1" style="286" min="12" max="12"/>
    <col width="14.1796875" customWidth="1" style="286" min="14" max="14"/>
    <col width="22.54296875" customWidth="1" style="286" min="15" max="15"/>
    <col width="14.81640625" customWidth="1" style="286" min="16" max="16"/>
    <col width="13.90625" customWidth="1" style="286" min="17" max="17"/>
  </cols>
  <sheetData>
    <row r="1">
      <c r="A1" s="171" t="n"/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</row>
    <row r="2" ht="21" customHeight="1" s="286">
      <c r="A2" s="171" t="n"/>
      <c r="B2" s="372" t="inlineStr">
        <is>
          <t>Reliability Snapshot - Hubs Competitor Analysis</t>
        </is>
      </c>
      <c r="C2" s="373" t="n"/>
      <c r="D2" s="373" t="n"/>
      <c r="E2" s="373" t="n"/>
      <c r="F2" s="373" t="n"/>
      <c r="G2" s="373" t="n"/>
      <c r="H2" s="373" t="n"/>
      <c r="I2" s="373" t="n"/>
      <c r="J2" s="373" t="n"/>
      <c r="K2" s="373" t="n"/>
      <c r="L2" s="373" t="n"/>
      <c r="M2" s="373" t="n"/>
      <c r="N2" s="373" t="n"/>
      <c r="O2" s="373" t="n"/>
      <c r="P2" s="374" t="n"/>
      <c r="Q2" s="171" t="n"/>
      <c r="R2" s="171" t="n"/>
    </row>
    <row r="3">
      <c r="A3" s="171" t="n"/>
      <c r="B3" s="147" t="n"/>
      <c r="C3" s="171" t="n"/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  <c r="N3" s="171" t="n"/>
      <c r="O3" s="171" t="n"/>
      <c r="P3" s="150" t="n"/>
      <c r="Q3" s="171" t="n"/>
      <c r="R3" s="171" t="n"/>
    </row>
    <row r="4">
      <c r="A4" s="171" t="n"/>
      <c r="B4" s="147" t="n"/>
      <c r="C4" s="157" t="n"/>
      <c r="D4" s="158" t="inlineStr">
        <is>
          <t>D00</t>
        </is>
      </c>
      <c r="E4" s="158" t="inlineStr">
        <is>
          <t>CD00</t>
        </is>
      </c>
      <c r="F4" s="221" t="inlineStr">
        <is>
          <t>DL Diff.</t>
        </is>
      </c>
      <c r="G4" s="221" t="inlineStr">
        <is>
          <t>AA Diff.</t>
        </is>
      </c>
      <c r="H4" s="221" t="inlineStr">
        <is>
          <t>AS Diff.</t>
        </is>
      </c>
      <c r="I4" s="221" t="inlineStr">
        <is>
          <t>Rank</t>
        </is>
      </c>
      <c r="J4" s="222" t="n"/>
      <c r="K4" s="158" t="inlineStr">
        <is>
          <t>Cancel Rate</t>
        </is>
      </c>
      <c r="L4" s="221" t="inlineStr">
        <is>
          <t>DL Diff.</t>
        </is>
      </c>
      <c r="M4" s="221" t="inlineStr">
        <is>
          <t>AA Diff.</t>
        </is>
      </c>
      <c r="N4" s="221" t="inlineStr">
        <is>
          <t>AS Diff.</t>
        </is>
      </c>
      <c r="O4" s="221" t="inlineStr">
        <is>
          <t>Rank</t>
        </is>
      </c>
      <c r="P4" s="160" t="n"/>
      <c r="Q4" s="171" t="n"/>
      <c r="R4" s="171" t="n"/>
    </row>
    <row r="5">
      <c r="A5" s="171" t="n"/>
      <c r="B5" s="147" t="n"/>
      <c r="C5" s="157" t="inlineStr">
        <is>
          <t>Denver</t>
        </is>
      </c>
      <c r="D5" s="375">
        <f>SUMIFS(UA_HUB_SQL_7!$J:$J,UA_HUB_SQL_7!$B:$B,'Pg2'!$T6)/SUMIFS(UA_HUB_SQL_7!$F:$F,UA_HUB_SQL_7!$B:$B,'Pg2'!$T6)</f>
        <v/>
      </c>
      <c r="E5" s="375">
        <f>SUMIFS(UA_HUB_SQL_7!$K:$K,UA_HUB_SQL_7!$B:$B,'Pg2'!$T6)/SUMIFS(UA_HUB_SQL_7!$F:$F,UA_HUB_SQL_7!$B:$B,'Pg2'!$T6)</f>
        <v/>
      </c>
      <c r="F5" s="162">
        <f>"-"</f>
        <v/>
      </c>
      <c r="G5" s="162" t="inlineStr">
        <is>
          <t>-</t>
        </is>
      </c>
      <c r="H5" s="163" t="inlineStr">
        <is>
          <t>-</t>
        </is>
      </c>
      <c r="I5" s="162">
        <f>"-"</f>
        <v/>
      </c>
      <c r="J5" s="159" t="n"/>
      <c r="K5" s="375">
        <f>SUMIFS(UA_HUB_SQL_7!$G:$G,UA_HUB_SQL_7!$B:$B,'Pg2'!$T6)/SUMIFS(UA_HUB_SQL_7!$F:$F,UA_HUB_SQL_7!$B:$B,'Pg2'!$T6)</f>
        <v/>
      </c>
      <c r="L5" s="162">
        <f>"-"</f>
        <v/>
      </c>
      <c r="M5" s="162">
        <f>"-"</f>
        <v/>
      </c>
      <c r="N5" s="162" t="inlineStr">
        <is>
          <t>-</t>
        </is>
      </c>
      <c r="O5" s="164" t="n">
        <v>1</v>
      </c>
      <c r="P5" s="150" t="n"/>
      <c r="Q5" s="171" t="n"/>
      <c r="R5" s="171" t="n"/>
    </row>
    <row r="6">
      <c r="A6" s="171" t="n"/>
      <c r="B6" s="147" t="n"/>
      <c r="C6" s="157" t="inlineStr">
        <is>
          <t>New York</t>
        </is>
      </c>
      <c r="D6" s="375">
        <f>SUMIFS(UA_HUB_SQL_7!$J:$J,UA_HUB_SQL_7!$B:$B,'Pg2'!$T7)/SUMIFS(UA_HUB_SQL_7!$F:$F,UA_HUB_SQL_7!$B:$B,'Pg2'!$T7)</f>
        <v/>
      </c>
      <c r="E6" s="375">
        <f>SUMIFS(UA_HUB_SQL_7!$K:$K,UA_HUB_SQL_7!$B:$B,'Pg2'!$T7)/SUMIFS(UA_HUB_SQL_7!$F:$F,UA_HUB_SQL_7!$B:$B,'Pg2'!$T7)</f>
        <v/>
      </c>
      <c r="F6" s="162">
        <f>(RANK!B9-RANK!C9)*100</f>
        <v/>
      </c>
      <c r="G6" s="162">
        <f>(RANK!B9-RANK!D9)*100</f>
        <v/>
      </c>
      <c r="H6" s="163" t="inlineStr">
        <is>
          <t>-</t>
        </is>
      </c>
      <c r="I6" s="164">
        <f>RANK!$F9</f>
        <v/>
      </c>
      <c r="J6" s="159" t="n"/>
      <c r="K6" s="375">
        <f>SUMIFS(UA_HUB_SQL_7!$G:$G,UA_HUB_SQL_7!$B:$B,'Pg2'!$T7)/SUMIFS(UA_HUB_SQL_7!$F:$F,UA_HUB_SQL_7!$B:$B,'Pg2'!$T7)</f>
        <v/>
      </c>
      <c r="L6" s="162">
        <f>IF(((RANK!B20-RANK!C20)*100)=0,"-",(RANK!B20-RANK!C20)*100)</f>
        <v/>
      </c>
      <c r="M6" s="162">
        <f>IF(((RANK!B20-RANK!D20)*100)=0,"-",(RANK!B20-RANK!D20)*100)</f>
        <v/>
      </c>
      <c r="N6" s="162" t="inlineStr">
        <is>
          <t>-</t>
        </is>
      </c>
      <c r="O6" s="164">
        <f>RANK!F20</f>
        <v/>
      </c>
      <c r="P6" s="150" t="n"/>
      <c r="Q6" s="171" t="n"/>
      <c r="R6" s="171" t="n"/>
      <c r="T6" s="157" t="inlineStr">
        <is>
          <t>Denver</t>
        </is>
      </c>
    </row>
    <row r="7">
      <c r="A7" s="171" t="n"/>
      <c r="B7" s="147" t="n"/>
      <c r="C7" s="157" t="inlineStr">
        <is>
          <t>Washington DC</t>
        </is>
      </c>
      <c r="D7" s="375">
        <f>SUMIFS(UA_HUB_SQL_7!$J:$J,UA_HUB_SQL_7!$B:$B,'Pg2'!$T8)/SUMIFS(UA_HUB_SQL_7!$F:$F,UA_HUB_SQL_7!$B:$B,'Pg2'!$T8)</f>
        <v/>
      </c>
      <c r="E7" s="375">
        <f>SUMIFS(UA_HUB_SQL_7!$K:$K,UA_HUB_SQL_7!$B:$B,'Pg2'!$T8)/SUMIFS(UA_HUB_SQL_7!$F:$F,UA_HUB_SQL_7!$B:$B,'Pg2'!$T8)</f>
        <v/>
      </c>
      <c r="F7" s="162">
        <f>(RANK!B10-RANK!C10)*100</f>
        <v/>
      </c>
      <c r="G7" s="162">
        <f>(RANK!B10-RANK!D10)*100</f>
        <v/>
      </c>
      <c r="H7" s="163" t="inlineStr">
        <is>
          <t>-</t>
        </is>
      </c>
      <c r="I7" s="164">
        <f>RANK!$F10</f>
        <v/>
      </c>
      <c r="J7" s="159" t="n"/>
      <c r="K7" s="375">
        <f>SUMIFS(UA_HUB_SQL_7!$G:$G,UA_HUB_SQL_7!$B:$B,'Pg2'!$T8)/SUMIFS(UA_HUB_SQL_7!$F:$F,UA_HUB_SQL_7!$B:$B,'Pg2'!$T8)</f>
        <v/>
      </c>
      <c r="L7" s="162">
        <f>IF(((RANK!B21-RANK!C21)*100)=0,"-",(RANK!B21-RANK!C21)*100)</f>
        <v/>
      </c>
      <c r="M7" s="162">
        <f>IF(((RANK!B21-RANK!D21)*100)=0,"-",(RANK!B21-RANK!D21)*100)</f>
        <v/>
      </c>
      <c r="N7" s="162" t="inlineStr">
        <is>
          <t>-</t>
        </is>
      </c>
      <c r="O7" s="164">
        <f>RANK!F21</f>
        <v/>
      </c>
      <c r="P7" s="150" t="n"/>
      <c r="Q7" s="171" t="n"/>
      <c r="R7" s="171" t="n"/>
      <c r="T7" s="157" t="inlineStr">
        <is>
          <t>New York</t>
        </is>
      </c>
    </row>
    <row r="8">
      <c r="A8" s="171" t="n"/>
      <c r="B8" s="147" t="n"/>
      <c r="C8" s="157" t="inlineStr">
        <is>
          <t>Texas</t>
        </is>
      </c>
      <c r="D8" s="375">
        <f>SUMIFS(UA_HUB_SQL_7!$J:$J,UA_HUB_SQL_7!$B:$B,'Pg2'!$T9)/SUMIFS(UA_HUB_SQL_7!$F:$F,UA_HUB_SQL_7!$B:$B,'Pg2'!$T9)</f>
        <v/>
      </c>
      <c r="E8" s="375">
        <f>SUMIFS(UA_HUB_SQL_7!$K:$K,UA_HUB_SQL_7!$B:$B,'Pg2'!$T9)/SUMIFS(UA_HUB_SQL_7!$F:$F,UA_HUB_SQL_7!$B:$B,'Pg2'!$T9)</f>
        <v/>
      </c>
      <c r="F8" s="162">
        <f>"-"</f>
        <v/>
      </c>
      <c r="G8" s="162">
        <f>(RANK!B11-RANK!D11)*100</f>
        <v/>
      </c>
      <c r="H8" s="163" t="inlineStr">
        <is>
          <t>-</t>
        </is>
      </c>
      <c r="I8" s="164">
        <f>RANK!$F11</f>
        <v/>
      </c>
      <c r="J8" s="159" t="n"/>
      <c r="K8" s="375">
        <f>SUMIFS(UA_HUB_SQL_7!$G:$G,UA_HUB_SQL_7!$B:$B,'Pg2'!$T9)/SUMIFS(UA_HUB_SQL_7!$F:$F,UA_HUB_SQL_7!$B:$B,'Pg2'!$T9)</f>
        <v/>
      </c>
      <c r="L8" s="162">
        <f>IFERROR((RANK!B22-RANK!C22)*100,"-")</f>
        <v/>
      </c>
      <c r="M8" s="162">
        <f>IF(((RANK!B22-RANK!D22)*100)= 0,"-",(RANK!B22-RANK!D22)*100 )</f>
        <v/>
      </c>
      <c r="N8" s="162" t="inlineStr">
        <is>
          <t>-</t>
        </is>
      </c>
      <c r="O8" s="164">
        <f>RANK!F22</f>
        <v/>
      </c>
      <c r="P8" s="150" t="n"/>
      <c r="Q8" s="171" t="n"/>
      <c r="R8" s="171" t="n"/>
      <c r="T8" s="157" t="inlineStr">
        <is>
          <t>Washington DC</t>
        </is>
      </c>
    </row>
    <row r="9">
      <c r="A9" s="171" t="n"/>
      <c r="B9" s="147" t="n"/>
      <c r="C9" s="157" t="inlineStr">
        <is>
          <t>Los Angeles</t>
        </is>
      </c>
      <c r="D9" s="375">
        <f>SUMIFS(UA_HUB_SQL_7!$J:$J,UA_HUB_SQL_7!$B:$B,'Pg2'!$T10)/SUMIFS(UA_HUB_SQL_7!$F:$F,UA_HUB_SQL_7!$B:$B,'Pg2'!$T10)</f>
        <v/>
      </c>
      <c r="E9" s="375">
        <f>SUMIFS(UA_HUB_SQL_7!$K:$K,UA_HUB_SQL_7!$B:$B,'Pg2'!$T10)/SUMIFS(UA_HUB_SQL_7!$F:$F,UA_HUB_SQL_7!$B:$B,'Pg2'!$T10)</f>
        <v/>
      </c>
      <c r="F9" s="162">
        <f>(RANK!B12-RANK!C12)*100</f>
        <v/>
      </c>
      <c r="G9" s="162">
        <f>(RANK!B12-RANK!D12)*100</f>
        <v/>
      </c>
      <c r="H9" s="163" t="inlineStr">
        <is>
          <t>-</t>
        </is>
      </c>
      <c r="I9" s="164">
        <f>RANK!$F12</f>
        <v/>
      </c>
      <c r="J9" s="159" t="n"/>
      <c r="K9" s="375">
        <f>SUMIFS(UA_HUB_SQL_7!$G:$G,UA_HUB_SQL_7!$B:$B,'Pg2'!$T10)/SUMIFS(UA_HUB_SQL_7!$F:$F,UA_HUB_SQL_7!$B:$B,'Pg2'!$T10)</f>
        <v/>
      </c>
      <c r="L9" s="162">
        <f>IF(((RANK!B23-RANK!C23)*100)=0,"-",(RANK!B23-RANK!C23)*100)</f>
        <v/>
      </c>
      <c r="M9" s="162">
        <f>IF(((RANK!B23-RANK!D23)*100)=0,"-",(RANK!B23-RANK!D23)*100)</f>
        <v/>
      </c>
      <c r="N9" s="162" t="inlineStr">
        <is>
          <t>-</t>
        </is>
      </c>
      <c r="O9" s="164">
        <f>RANK!F23</f>
        <v/>
      </c>
      <c r="P9" s="150" t="n"/>
      <c r="Q9" s="171" t="n"/>
      <c r="R9" s="171" t="n"/>
      <c r="T9" s="157" t="inlineStr">
        <is>
          <t>Texas</t>
        </is>
      </c>
    </row>
    <row r="10">
      <c r="A10" s="171" t="n"/>
      <c r="B10" s="147" t="n"/>
      <c r="C10" s="157" t="inlineStr">
        <is>
          <t>Chicago</t>
        </is>
      </c>
      <c r="D10" s="375">
        <f>SUMIFS(UA_HUB_SQL_7!$J:$J,UA_HUB_SQL_7!$B:$B,'Pg2'!$T11)/SUMIFS(UA_HUB_SQL_7!$F:$F,UA_HUB_SQL_7!$B:$B,'Pg2'!$T11)</f>
        <v/>
      </c>
      <c r="E10" s="375">
        <f>SUMIFS(UA_HUB_SQL_7!$K:$K,UA_HUB_SQL_7!$B:$B,'Pg2'!$T11)/SUMIFS(UA_HUB_SQL_7!$F:$F,UA_HUB_SQL_7!$B:$B,'Pg2'!$T11)</f>
        <v/>
      </c>
      <c r="F10" s="162" t="inlineStr">
        <is>
          <t>-</t>
        </is>
      </c>
      <c r="G10" s="162">
        <f>(RANK!B13-RANK!D13)*100</f>
        <v/>
      </c>
      <c r="H10" s="163" t="inlineStr">
        <is>
          <t>-</t>
        </is>
      </c>
      <c r="I10" s="164">
        <f>RANK!$F13</f>
        <v/>
      </c>
      <c r="J10" s="159" t="n"/>
      <c r="K10" s="375">
        <f>SUMIFS(UA_HUB_SQL_7!$G:$G,UA_HUB_SQL_7!$B:$B,'Pg2'!$T11)/SUMIFS(UA_HUB_SQL_7!$F:$F,UA_HUB_SQL_7!$B:$B,'Pg2'!$T11)</f>
        <v/>
      </c>
      <c r="L10" s="162">
        <f>"-"</f>
        <v/>
      </c>
      <c r="M10" s="162">
        <f>IF(((RANK!B24-RANK!D24)*100)=0,"-",(RANK!B24-RANK!D24)*100)</f>
        <v/>
      </c>
      <c r="N10" s="162" t="inlineStr">
        <is>
          <t>-</t>
        </is>
      </c>
      <c r="O10" s="164">
        <f>RANK!F24</f>
        <v/>
      </c>
      <c r="P10" s="150" t="n"/>
      <c r="Q10" s="171" t="n"/>
      <c r="R10" s="171" t="n"/>
      <c r="T10" s="157" t="inlineStr">
        <is>
          <t>Los Angeles</t>
        </is>
      </c>
    </row>
    <row r="11">
      <c r="A11" s="171" t="n"/>
      <c r="B11" s="147" t="n"/>
      <c r="C11" s="157" t="inlineStr">
        <is>
          <t>San Francisco</t>
        </is>
      </c>
      <c r="D11" s="375">
        <f>SUMIFS(UA_HUB_SQL_7!$J:$J,UA_HUB_SQL_7!$B:$B,'Pg2'!$T12)/SUMIFS(UA_HUB_SQL_7!$F:$F,UA_HUB_SQL_7!$B:$B,'Pg2'!$T12)</f>
        <v/>
      </c>
      <c r="E11" s="375">
        <f>SUMIFS(UA_HUB_SQL_7!$K:$K,UA_HUB_SQL_7!$B:$B,'Pg2'!$T12)/SUMIFS(UA_HUB_SQL_7!$F:$F,UA_HUB_SQL_7!$B:$B,'Pg2'!$T12)</f>
        <v/>
      </c>
      <c r="F11" s="162" t="inlineStr">
        <is>
          <t>-</t>
        </is>
      </c>
      <c r="G11" s="162">
        <f>"-"</f>
        <v/>
      </c>
      <c r="H11" s="163">
        <f>(RANK!B14-RANK!E14)*100</f>
        <v/>
      </c>
      <c r="I11" s="164">
        <f>RANK!$F14</f>
        <v/>
      </c>
      <c r="J11" s="159" t="n"/>
      <c r="K11" s="375">
        <f>SUMIFS(UA_HUB_SQL_7!$G:$G,UA_HUB_SQL_7!$B:$B,'Pg2'!$T12)/SUMIFS(UA_HUB_SQL_7!$F:$F,UA_HUB_SQL_7!$B:$B,'Pg2'!$T12)</f>
        <v/>
      </c>
      <c r="L11" s="162">
        <f>"-"</f>
        <v/>
      </c>
      <c r="M11" s="162">
        <f>"-"</f>
        <v/>
      </c>
      <c r="N11" s="162">
        <f>IF(((RANK!B25-RANK!E25)*100)=0,"",(RANK!B25-RANK!E25)*100)</f>
        <v/>
      </c>
      <c r="O11" s="164">
        <f>RANK!F25</f>
        <v/>
      </c>
      <c r="P11" s="150" t="n"/>
      <c r="Q11" s="171" t="n"/>
      <c r="R11" s="171" t="n"/>
      <c r="T11" s="157" t="inlineStr">
        <is>
          <t>Chicago</t>
        </is>
      </c>
    </row>
    <row r="12">
      <c r="A12" s="171" t="n"/>
      <c r="B12" s="165" t="inlineStr">
        <is>
          <t>LINE</t>
        </is>
      </c>
      <c r="C12" s="157" t="inlineStr">
        <is>
          <t>Line Stations</t>
        </is>
      </c>
      <c r="D12" s="375">
        <f>SUMIFS(UA_HUB_SQL_7!$J:$J,UA_HUB_SQL_7!$B:$B,'Pg2'!$T13)/SUMIFS(UA_HUB_SQL_7!$F:$F,UA_HUB_SQL_7!$B:$B,'Pg2'!$T13)</f>
        <v/>
      </c>
      <c r="E12" s="375">
        <f>SUMIFS(UA_HUB_SQL_7!$K:$K,UA_HUB_SQL_7!$B:$B,'Pg2'!$T13)/SUMIFS(UA_HUB_SQL_7!$F:$F,UA_HUB_SQL_7!$B:$B,'Pg2'!$T13)</f>
        <v/>
      </c>
      <c r="F12" s="162">
        <f>(RANK!B15-RANK!C15)*100</f>
        <v/>
      </c>
      <c r="G12" s="162">
        <f>(RANK!B15-RANK!D15)*100</f>
        <v/>
      </c>
      <c r="H12" s="163">
        <f>(RANK!B15-RANK!E15)*100</f>
        <v/>
      </c>
      <c r="I12" s="164">
        <f>RANK!$F15</f>
        <v/>
      </c>
      <c r="J12" s="159" t="n"/>
      <c r="K12" s="375">
        <f>SUMIFS(UA_HUB_SQL_7!$G:$G,UA_HUB_SQL_7!$B:$B,'Pg2'!$T13)/SUMIFS(UA_HUB_SQL_7!$F:$F,UA_HUB_SQL_7!$B:$B,'Pg2'!$T13)</f>
        <v/>
      </c>
      <c r="L12" s="162">
        <f>IF(((RANK!B26-RANK!C26)*100)=0,"-",(RANK!B26-RANK!C26)*100)</f>
        <v/>
      </c>
      <c r="M12" s="162">
        <f>IFERROR((RANK!B26-RANK!D26)*100,"-")</f>
        <v/>
      </c>
      <c r="N12" s="162">
        <f>IF(((RANK!B26-RANK!E26)*100)=0, "-", (RANK!B26-RANK!E26)*100)</f>
        <v/>
      </c>
      <c r="O12" s="164">
        <f>RANK!F26</f>
        <v/>
      </c>
      <c r="P12" s="150" t="n"/>
      <c r="Q12" s="171" t="n"/>
      <c r="R12" s="171" t="n"/>
      <c r="T12" s="157" t="inlineStr">
        <is>
          <t>San Francisco</t>
        </is>
      </c>
    </row>
    <row r="13">
      <c r="A13" s="171" t="n"/>
      <c r="B13" s="147" t="n"/>
      <c r="C13" s="157" t="inlineStr">
        <is>
          <t>Line Int</t>
        </is>
      </c>
      <c r="D13" s="375">
        <f>SUMIFS(UA_Line!$K:$K,UA_Line!$B:$B,"Line Int")/SUMIFS(UA_Line!$F:$F,UA_Line!$B:$B,"Line Int")</f>
        <v/>
      </c>
      <c r="E13" s="375">
        <f>SUMIFS(UA_Line!$J:$J,UA_Line!$B:$B,"Line Int")/SUMIFS(UA_Line!$F:$F,UA_Line!$B:$B,"Line Int")</f>
        <v/>
      </c>
      <c r="F13" s="162">
        <f>(RANK!B16-RANK!C16)*100</f>
        <v/>
      </c>
      <c r="G13" s="162">
        <f>(RANK!B16-RANK!D16)*100</f>
        <v/>
      </c>
      <c r="H13" s="163" t="inlineStr">
        <is>
          <t>-</t>
        </is>
      </c>
      <c r="I13" s="164">
        <f>RANK!$F16</f>
        <v/>
      </c>
      <c r="J13" s="159" t="n"/>
      <c r="K13" s="375">
        <f>SUMIFS(UA_Line!$G:$G,UA_Line!$B:$B,"Line Int")/SUMIFS(UA_Line!$F:$F,UA_Line!$B:$B,"Line Int")</f>
        <v/>
      </c>
      <c r="L13" s="162">
        <f>IF(((RANK!B27-RANK!C27)*100)=0,"-",(RANK!B27-RANK!C27)*100)</f>
        <v/>
      </c>
      <c r="M13" s="162">
        <f>IF(((RANK!B27-RANK!D27)*100)=0,"-",(RANK!B27-RANK!D27)*100)</f>
        <v/>
      </c>
      <c r="N13" s="162">
        <f>"-"</f>
        <v/>
      </c>
      <c r="O13" s="164">
        <f>RANK!F27</f>
        <v/>
      </c>
      <c r="P13" s="150" t="n"/>
      <c r="Q13" s="171" t="n"/>
      <c r="R13" s="171" t="n"/>
      <c r="T13" s="157" t="inlineStr">
        <is>
          <t>LINE</t>
        </is>
      </c>
    </row>
    <row r="14">
      <c r="A14" s="171" t="n"/>
      <c r="B14" s="147" t="n"/>
      <c r="C14" s="157" t="inlineStr">
        <is>
          <t>Line Dom</t>
        </is>
      </c>
      <c r="D14" s="376">
        <f>SUMIFS(UA_Line!$K:$K,UA_Line!$B:$B,"Line Dom")/SUMIFS(UA_Line!$F:$F,UA_Line!$B:$B,"Line Dom")</f>
        <v/>
      </c>
      <c r="E14" s="376">
        <f>SUMIFS(UA_Line!$J:$J,UA_Line!$B:$B,"Line Dom")/SUMIFS(UA_Line!$F:$F,UA_Line!$B:$B,"Line Dom")</f>
        <v/>
      </c>
      <c r="F14" s="218">
        <f>(RANK!B17-RANK!C17)*100</f>
        <v/>
      </c>
      <c r="G14" s="218">
        <f>(RANK!B17-RANK!D17)*100</f>
        <v/>
      </c>
      <c r="H14" s="219">
        <f>"-"</f>
        <v/>
      </c>
      <c r="I14" s="220">
        <f>RANK!$F17</f>
        <v/>
      </c>
      <c r="J14" s="159" t="n"/>
      <c r="K14" s="376">
        <f>SUMIFS(UA_Line!$G:$G,UA_Line!$B:$B,"Line Dom")/SUMIFS(UA_Line!$F:$F,UA_Line!$B:$B,"Line Dom")</f>
        <v/>
      </c>
      <c r="L14" s="218">
        <f>IF(((RANK!$B$28-RANK!C28)*100)=0,"-",(RANK!$B$28-RANK!C28)*100)</f>
        <v/>
      </c>
      <c r="M14" s="218">
        <f>IF(((RANK!$B$28-RANK!D28)*100)=0,"-",(RANK!$B$28-RANK!D28)*100)</f>
        <v/>
      </c>
      <c r="N14" s="218" t="inlineStr">
        <is>
          <t>-</t>
        </is>
      </c>
      <c r="O14" s="220">
        <f>RANK!F28</f>
        <v/>
      </c>
      <c r="P14" s="150" t="n"/>
      <c r="Q14" s="171" t="n"/>
      <c r="R14" s="171" t="n"/>
      <c r="T14" s="157" t="inlineStr">
        <is>
          <t>Line Int</t>
        </is>
      </c>
    </row>
    <row r="15">
      <c r="A15" s="171" t="n"/>
      <c r="B15" s="147" t="n"/>
      <c r="C15" s="172" t="n"/>
      <c r="D15" s="171" t="n"/>
      <c r="E15" s="171" t="n"/>
      <c r="F15" s="171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50" t="n"/>
      <c r="Q15" s="171" t="n"/>
      <c r="R15" s="171" t="n"/>
      <c r="T15" s="157" t="inlineStr">
        <is>
          <t>Line Dom</t>
        </is>
      </c>
    </row>
    <row r="16">
      <c r="A16" s="171" t="n"/>
      <c r="B16" s="167" t="n"/>
      <c r="C16" s="168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  <c r="P16" s="170" t="n"/>
      <c r="Q16" s="171" t="n"/>
      <c r="R16" s="171" t="n"/>
    </row>
    <row r="17">
      <c r="A17" s="171" t="n"/>
      <c r="B17" s="171" t="n"/>
      <c r="C17" s="172" t="n"/>
      <c r="D17" s="171" t="n"/>
      <c r="E17" s="171" t="n"/>
      <c r="F17" s="171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</row>
    <row r="18">
      <c r="A18" s="171" t="n"/>
      <c r="B18" s="171" t="n"/>
      <c r="C18" s="172" t="n"/>
      <c r="D18" s="171" t="n"/>
      <c r="E18" s="171" t="n"/>
      <c r="F18" s="171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</row>
    <row r="19" ht="21" customHeight="1" s="286">
      <c r="A19" s="266" t="inlineStr">
        <is>
          <t>Cancel Detail</t>
        </is>
      </c>
      <c r="B19" s="333" t="inlineStr">
        <is>
          <t>Cancel</t>
        </is>
      </c>
    </row>
    <row r="20">
      <c r="A20" s="171" t="n"/>
      <c r="B20" s="270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4" t="n"/>
      <c r="O20" s="174" t="n"/>
      <c r="P20" s="274" t="n"/>
      <c r="Q20" s="171" t="n"/>
      <c r="R20" s="253" t="n"/>
    </row>
    <row r="21" ht="58" customHeight="1" s="286">
      <c r="A21" s="171" t="n"/>
      <c r="B21" s="258" t="n"/>
      <c r="C21" s="175" t="n"/>
      <c r="D21" s="260" t="inlineStr">
        <is>
          <t>Scheduled Departures</t>
        </is>
      </c>
      <c r="E21" s="215" t="inlineStr">
        <is>
          <t>Weather &amp; ATC</t>
        </is>
      </c>
      <c r="F21" s="214" t="inlineStr">
        <is>
          <t>Technical Operations</t>
        </is>
      </c>
      <c r="G21" s="214" t="inlineStr">
        <is>
          <t>Flight Operations</t>
        </is>
      </c>
      <c r="H21" s="214" t="inlineStr">
        <is>
          <t>Inflight Services</t>
        </is>
      </c>
      <c r="I21" s="214" t="inlineStr">
        <is>
          <t>Airport Operation</t>
        </is>
      </c>
      <c r="J21" s="214" t="inlineStr">
        <is>
          <t>Network Operation</t>
        </is>
      </c>
      <c r="K21" s="214" t="inlineStr">
        <is>
          <t>IT</t>
        </is>
      </c>
      <c r="L21" s="214" t="inlineStr">
        <is>
          <t>Catering Operations</t>
        </is>
      </c>
      <c r="M21" s="213" t="inlineStr">
        <is>
          <t>Other</t>
        </is>
      </c>
      <c r="N21" s="212" t="inlineStr">
        <is>
          <t>Total Cancels</t>
        </is>
      </c>
      <c r="O21" s="212" t="inlineStr">
        <is>
          <t>ES covered for this partner</t>
        </is>
      </c>
      <c r="P21" s="212" t="inlineStr">
        <is>
          <t>Net Cancel</t>
        </is>
      </c>
      <c r="Q21" s="212" t="inlineStr">
        <is>
          <t>ES covered by this partner</t>
        </is>
      </c>
      <c r="R21" s="253" t="n"/>
    </row>
    <row r="22">
      <c r="A22" s="171" t="n"/>
      <c r="B22" s="271" t="n"/>
      <c r="C22" s="191" t="inlineStr">
        <is>
          <t>OO - SkyWest</t>
        </is>
      </c>
      <c r="D22" s="176">
        <f>SUMIFS(SCH_DEP_SQL_4!$E:$E,SCH_DEP_SQL_4!$A:$A,'Pg2'!$T22)</f>
        <v/>
      </c>
      <c r="E22" s="177">
        <f>IF((SUMIFS(CNXL_SQL_2!$F:$F,CNXL_SQL_2!$D:$D,'Pg2'!$U$22,CNXL_SQL_2!$A:$A,'Pg2'!$T22))=0,"",SUMIFS(CNXL_SQL_2!$F:$F,CNXL_SQL_2!$D:$D,'Pg2'!$U$22,CNXL_SQL_2!$A:$A,'Pg2'!$T22))</f>
        <v/>
      </c>
      <c r="F22" s="177">
        <f>IF((SUMIFS(CNXL_SQL_2!$F:$F,CNXL_SQL_2!$D:$D,'Pg2'!$U$23,CNXL_SQL_2!$A:$A,'Pg2'!$T22))=0,"",SUMIFS(CNXL_SQL_2!$F:$F,CNXL_SQL_2!$D:$D,'Pg2'!$U$23,CNXL_SQL_2!$A:$A,'Pg2'!$T22))</f>
        <v/>
      </c>
      <c r="G22" s="177">
        <f>IF((SUMIFS(CNXL_SQL_2!$F:$F,CNXL_SQL_2!$D:$D,'Pg2'!$U$24,CNXL_SQL_2!$A:$A,'Pg2'!$T22))=0,"",SUMIFS(CNXL_SQL_2!$F:$F,CNXL_SQL_2!$D:$D,'Pg2'!$U$24,CNXL_SQL_2!$A:$A,'Pg2'!$T22))</f>
        <v/>
      </c>
      <c r="H22" s="177">
        <f>IF((SUMIFS(CNXL_SQL_2!$F:$F,CNXL_SQL_2!$D:$D,'Pg2'!$U$25,CNXL_SQL_2!$A:$A,'Pg2'!$T22))=0,"",SUMIFS(CNXL_SQL_2!$F:$F,CNXL_SQL_2!$D:$D,'Pg2'!$U$25,CNXL_SQL_2!$A:$A,'Pg2'!$T22))</f>
        <v/>
      </c>
      <c r="I22" s="177">
        <f>IF((SUMIFS(CNXL_SQL_2!$F:$F,CNXL_SQL_2!$D:$D,'Pg2'!$U$26,CNXL_SQL_2!$A:$A,'Pg2'!$T22))=0,"",SUMIFS(CNXL_SQL_2!$F:$F,CNXL_SQL_2!$D:$D,'Pg2'!$U$26,CNXL_SQL_2!$A:$A,'Pg2'!$T22))</f>
        <v/>
      </c>
      <c r="J22" s="177">
        <f>IF((SUMIFS(CNXL_SQL_2!$F:$F,CNXL_SQL_2!$D:$D,'Pg2'!$U$27,CNXL_SQL_2!$A:$A,'Pg2'!$T22))=0,"",SUMIFS(CNXL_SQL_2!$F:$F,CNXL_SQL_2!$D:$D,'Pg2'!$U$27,CNXL_SQL_2!$A:$A,'Pg2'!$T22))</f>
        <v/>
      </c>
      <c r="K22" s="177">
        <f>IF((SUMIFS(CNXL_SQL_2!$F:$F,CNXL_SQL_2!$D:$D,'Pg2'!$U$28,CNXL_SQL_2!$A:$A,'Pg2'!$T22))=0,"",SUMIFS(CNXL_SQL_2!$F:$F,CNXL_SQL_2!$D:$D,'Pg2'!$U$28,CNXL_SQL_2!$A:$A,'Pg2'!$T22))</f>
        <v/>
      </c>
      <c r="L22" s="177">
        <f>IF((SUMIFS(CNXL_SQL_2!$F:$F,CNXL_SQL_2!$D:$D,'Pg2'!$U$29,CNXL_SQL_2!$A:$A,'Pg2'!$T22))=0,"",SUMIFS(CNXL_SQL_2!$F:$F,CNXL_SQL_2!$D:$D,'Pg2'!$U$29,CNXL_SQL_2!$A:$A,'Pg2'!$T22))</f>
        <v/>
      </c>
      <c r="M22" s="178" t="n"/>
      <c r="N22" s="216">
        <f>IF((SUM(E22:M22))=0,"",SUM(E22:M22))</f>
        <v/>
      </c>
      <c r="O22" s="216">
        <f>IFERROR(VLOOKUP($T22,ES_MATRIX!$A$2:$L$10,11,0),"")</f>
        <v/>
      </c>
      <c r="P22" s="216">
        <f>IF(((SUM(E22:M22))-(SUMIFS(ES_MATRIX!$L$3:$L$10,ES_MATRIX!$A$3:$A$10,'Pg2'!$T22)))=0,"",(SUM(E22:M22))-(SUMIFS(ES_MATRIX!$L$3:$L$10,ES_MATRIX!$A$3:$A$10,'Pg2'!$T22)))</f>
        <v/>
      </c>
      <c r="Q22" s="216">
        <f>VLOOKUP($T22,ES_MATRIX!$A$25:$B$30,2,0)</f>
        <v/>
      </c>
      <c r="R22" s="253" t="n"/>
      <c r="T22" t="inlineStr">
        <is>
          <t>OO</t>
        </is>
      </c>
      <c r="U22" s="189" t="inlineStr">
        <is>
          <t>WEATHER/ATC</t>
        </is>
      </c>
    </row>
    <row r="23">
      <c r="A23" s="171" t="n"/>
      <c r="B23" s="271" t="n"/>
      <c r="C23" s="192" t="inlineStr">
        <is>
          <t>YX - Republic</t>
        </is>
      </c>
      <c r="D23" s="180">
        <f>SUMIFS(SCH_DEP_SQL_4!$E:$E,SCH_DEP_SQL_4!$A:$A,'Pg2'!$T23)</f>
        <v/>
      </c>
      <c r="E23" s="193">
        <f>IF((SUMIFS(CNXL_SQL_2!$F:$F,CNXL_SQL_2!$D:$D,'Pg2'!$U$22,CNXL_SQL_2!$A:$A,'Pg2'!$T23))=0,"",SUMIFS(CNXL_SQL_2!$F:$F,CNXL_SQL_2!$D:$D,'Pg2'!$U$22,CNXL_SQL_2!$A:$A,'Pg2'!$T23))</f>
        <v/>
      </c>
      <c r="F23" s="193">
        <f>IF((SUMIFS(CNXL_SQL_2!$F:$F,CNXL_SQL_2!$D:$D,'Pg2'!$U$23,CNXL_SQL_2!$A:$A,'Pg2'!$T23))=0,"",SUMIFS(CNXL_SQL_2!$F:$F,CNXL_SQL_2!$D:$D,'Pg2'!$U$23,CNXL_SQL_2!$A:$A,'Pg2'!$T23))</f>
        <v/>
      </c>
      <c r="G23" s="193">
        <f>IF((SUMIFS(CNXL_SQL_2!$F:$F,CNXL_SQL_2!$D:$D,'Pg2'!$U$24,CNXL_SQL_2!$A:$A,'Pg2'!$T23))=0,"",SUMIFS(CNXL_SQL_2!$F:$F,CNXL_SQL_2!$D:$D,'Pg2'!$U$24,CNXL_SQL_2!$A:$A,'Pg2'!$T23))</f>
        <v/>
      </c>
      <c r="H23" s="193">
        <f>IF((SUMIFS(CNXL_SQL_2!$F:$F,CNXL_SQL_2!$D:$D,'Pg2'!$U$25,CNXL_SQL_2!$A:$A,'Pg2'!$T23))=0,"",SUMIFS(CNXL_SQL_2!$F:$F,CNXL_SQL_2!$D:$D,'Pg2'!$U$25,CNXL_SQL_2!$A:$A,'Pg2'!$T23))</f>
        <v/>
      </c>
      <c r="I23" s="193">
        <f>IF((SUMIFS(CNXL_SQL_2!$F:$F,CNXL_SQL_2!$D:$D,'Pg2'!$U$26,CNXL_SQL_2!$A:$A,'Pg2'!$T23))=0,"",SUMIFS(CNXL_SQL_2!$F:$F,CNXL_SQL_2!$D:$D,'Pg2'!$U$26,CNXL_SQL_2!$A:$A,'Pg2'!$T23))</f>
        <v/>
      </c>
      <c r="J23" s="193">
        <f>IF((SUMIFS(CNXL_SQL_2!$F:$F,CNXL_SQL_2!$D:$D,'Pg2'!$U$27,CNXL_SQL_2!$A:$A,'Pg2'!$T23))=0,"",SUMIFS(CNXL_SQL_2!$F:$F,CNXL_SQL_2!$D:$D,'Pg2'!$U$27,CNXL_SQL_2!$A:$A,'Pg2'!$T23))</f>
        <v/>
      </c>
      <c r="K23" s="193">
        <f>IF((SUMIFS(CNXL_SQL_2!$F:$F,CNXL_SQL_2!$D:$D,'Pg2'!$U$28,CNXL_SQL_2!$A:$A,'Pg2'!$T23))=0,"",SUMIFS(CNXL_SQL_2!$F:$F,CNXL_SQL_2!$D:$D,'Pg2'!$U$28,CNXL_SQL_2!$A:$A,'Pg2'!$T23))</f>
        <v/>
      </c>
      <c r="L23" s="193">
        <f>IF((SUMIFS(CNXL_SQL_2!$F:$F,CNXL_SQL_2!$D:$D,'Pg2'!$U$29,CNXL_SQL_2!$A:$A,'Pg2'!$T23))=0,"",SUMIFS(CNXL_SQL_2!$F:$F,CNXL_SQL_2!$D:$D,'Pg2'!$U$29,CNXL_SQL_2!$A:$A,'Pg2'!$T23))</f>
        <v/>
      </c>
      <c r="M23" s="233" t="n"/>
      <c r="N23" s="261">
        <f>IF((SUM(E23:M23))=0,"",SUM(E23:M23))</f>
        <v/>
      </c>
      <c r="O23" s="261">
        <f>IFERROR(VLOOKUP($T23,ES_MATRIX!$A$2:$L$10,11,0),"")</f>
        <v/>
      </c>
      <c r="P23" s="261">
        <f>IF(((SUM(E23:M23))-(SUMIFS(ES_MATRIX!$L$3:$L$10,ES_MATRIX!$A$3:$A$10,'Pg2'!$T23)))=0,"",(SUM(E23:M23))-(SUMIFS(ES_MATRIX!$L$3:$L$10,ES_MATRIX!$A$3:$A$10,'Pg2'!$T23)))</f>
        <v/>
      </c>
      <c r="Q23" s="261">
        <f>VLOOKUP($T23,ES_MATRIX!$A$25:$B$30,2,0)</f>
        <v/>
      </c>
      <c r="R23" s="253" t="n"/>
      <c r="T23" t="inlineStr">
        <is>
          <t>YX</t>
        </is>
      </c>
      <c r="U23" s="189" t="inlineStr">
        <is>
          <t>TECHNICAL OPERATIONS-AIRCRAFT</t>
        </is>
      </c>
    </row>
    <row r="24">
      <c r="A24" s="171" t="n"/>
      <c r="B24" s="271" t="n"/>
      <c r="C24" s="191" t="inlineStr">
        <is>
          <t>G7 - Go Jet</t>
        </is>
      </c>
      <c r="D24" s="176">
        <f>SUMIFS(SCH_DEP_SQL_4!$E:$E,SCH_DEP_SQL_4!$A:$A,'Pg2'!$T24)</f>
        <v/>
      </c>
      <c r="E24" s="177">
        <f>IF((SUMIFS(CNXL_SQL_2!$F:$F,CNXL_SQL_2!$D:$D,'Pg2'!$U$22,CNXL_SQL_2!$A:$A,'Pg2'!$T24))=0,"",SUMIFS(CNXL_SQL_2!$F:$F,CNXL_SQL_2!$D:$D,'Pg2'!$U$22,CNXL_SQL_2!$A:$A,'Pg2'!$T24))</f>
        <v/>
      </c>
      <c r="F24" s="177">
        <f>IF((SUMIFS(CNXL_SQL_2!$F:$F,CNXL_SQL_2!$D:$D,'Pg2'!$U$23,CNXL_SQL_2!$A:$A,'Pg2'!$T24))=0,"",SUMIFS(CNXL_SQL_2!$F:$F,CNXL_SQL_2!$D:$D,'Pg2'!$U$23,CNXL_SQL_2!$A:$A,'Pg2'!$T24))</f>
        <v/>
      </c>
      <c r="G24" s="177">
        <f>IF((SUMIFS(CNXL_SQL_2!$F:$F,CNXL_SQL_2!$D:$D,'Pg2'!$U$24,CNXL_SQL_2!$A:$A,'Pg2'!$T24))=0,"",SUMIFS(CNXL_SQL_2!$F:$F,CNXL_SQL_2!$D:$D,'Pg2'!$U$24,CNXL_SQL_2!$A:$A,'Pg2'!$T24))</f>
        <v/>
      </c>
      <c r="H24" s="177">
        <f>IF((SUMIFS(CNXL_SQL_2!$F:$F,CNXL_SQL_2!$D:$D,'Pg2'!$U$25,CNXL_SQL_2!$A:$A,'Pg2'!$T24))=0,"",SUMIFS(CNXL_SQL_2!$F:$F,CNXL_SQL_2!$D:$D,'Pg2'!$U$25,CNXL_SQL_2!$A:$A,'Pg2'!$T24))</f>
        <v/>
      </c>
      <c r="I24" s="177">
        <f>IF((SUMIFS(CNXL_SQL_2!$F:$F,CNXL_SQL_2!$D:$D,'Pg2'!$U$26,CNXL_SQL_2!$A:$A,'Pg2'!$T24))=0,"",SUMIFS(CNXL_SQL_2!$F:$F,CNXL_SQL_2!$D:$D,'Pg2'!$U$26,CNXL_SQL_2!$A:$A,'Pg2'!$T24))</f>
        <v/>
      </c>
      <c r="J24" s="177">
        <f>IF((SUMIFS(CNXL_SQL_2!$F:$F,CNXL_SQL_2!$D:$D,'Pg2'!$U$27,CNXL_SQL_2!$A:$A,'Pg2'!$T24))=0,"",SUMIFS(CNXL_SQL_2!$F:$F,CNXL_SQL_2!$D:$D,'Pg2'!$U$27,CNXL_SQL_2!$A:$A,'Pg2'!$T24))</f>
        <v/>
      </c>
      <c r="K24" s="177">
        <f>IF((SUMIFS(CNXL_SQL_2!$F:$F,CNXL_SQL_2!$D:$D,'Pg2'!$U$28,CNXL_SQL_2!$A:$A,'Pg2'!$T24))=0,"",SUMIFS(CNXL_SQL_2!$F:$F,CNXL_SQL_2!$D:$D,'Pg2'!$U$28,CNXL_SQL_2!$A:$A,'Pg2'!$T24))</f>
        <v/>
      </c>
      <c r="L24" s="177">
        <f>IF((SUMIFS(CNXL_SQL_2!$F:$F,CNXL_SQL_2!$D:$D,'Pg2'!$U$29,CNXL_SQL_2!$A:$A,'Pg2'!$T24))=0,"",SUMIFS(CNXL_SQL_2!$F:$F,CNXL_SQL_2!$D:$D,'Pg2'!$U$29,CNXL_SQL_2!$A:$A,'Pg2'!$T24))</f>
        <v/>
      </c>
      <c r="M24" s="182" t="n"/>
      <c r="N24" s="216">
        <f>IF((SUM(E24:M24))=0,"",SUM(E24:M24))</f>
        <v/>
      </c>
      <c r="O24" s="216">
        <f>IFERROR(VLOOKUP($T24,ES_MATRIX!$A$2:$L$10,11,0),"")</f>
        <v/>
      </c>
      <c r="P24" s="216">
        <f>IF(((SUM(E24:M24))-(SUMIFS(ES_MATRIX!$L$3:$L$10,ES_MATRIX!$A$3:$A$10,'Pg2'!$T24)))=0,"",(SUM(E24:M24))-(SUMIFS(ES_MATRIX!$L$3:$L$10,ES_MATRIX!$A$3:$A$10,'Pg2'!$T24)))</f>
        <v/>
      </c>
      <c r="Q24" s="216">
        <f>VLOOKUP($T24,ES_MATRIX!$A$25:$B$30,2,0)</f>
        <v/>
      </c>
      <c r="R24" s="253" t="n"/>
      <c r="T24" t="inlineStr">
        <is>
          <t>G7</t>
        </is>
      </c>
      <c r="U24" s="189" t="inlineStr">
        <is>
          <t>FLIGHT OPERATIONS</t>
        </is>
      </c>
    </row>
    <row r="25">
      <c r="A25" s="171" t="n"/>
      <c r="B25" s="258" t="n"/>
      <c r="C25" s="192" t="inlineStr">
        <is>
          <t>C5 - CommutAir</t>
        </is>
      </c>
      <c r="D25" s="180">
        <f>SUMIFS(SCH_DEP_SQL_4!$E:$E,SCH_DEP_SQL_4!$A:$A,'Pg2'!$T25)</f>
        <v/>
      </c>
      <c r="E25" s="193">
        <f>IF((SUMIFS(CNXL_SQL_2!$F:$F,CNXL_SQL_2!$D:$D,'Pg2'!$U$22,CNXL_SQL_2!$A:$A,'Pg2'!$T25))=0,"",SUMIFS(CNXL_SQL_2!$F:$F,CNXL_SQL_2!$D:$D,'Pg2'!$U$22,CNXL_SQL_2!$A:$A,'Pg2'!$T25))</f>
        <v/>
      </c>
      <c r="F25" s="193">
        <f>IF((SUMIFS(CNXL_SQL_2!$F:$F,CNXL_SQL_2!$D:$D,'Pg2'!$U$23,CNXL_SQL_2!$A:$A,'Pg2'!$T25))=0,"",SUMIFS(CNXL_SQL_2!$F:$F,CNXL_SQL_2!$D:$D,'Pg2'!$U$23,CNXL_SQL_2!$A:$A,'Pg2'!$T25))</f>
        <v/>
      </c>
      <c r="G25" s="193">
        <f>IF((SUMIFS(CNXL_SQL_2!$F:$F,CNXL_SQL_2!$D:$D,'Pg2'!$U$24,CNXL_SQL_2!$A:$A,'Pg2'!$T25))=0,"",SUMIFS(CNXL_SQL_2!$F:$F,CNXL_SQL_2!$D:$D,'Pg2'!$U$24,CNXL_SQL_2!$A:$A,'Pg2'!$T25))</f>
        <v/>
      </c>
      <c r="H25" s="193">
        <f>IF((SUMIFS(CNXL_SQL_2!$F:$F,CNXL_SQL_2!$D:$D,'Pg2'!$U$25,CNXL_SQL_2!$A:$A,'Pg2'!$T25))=0,"",SUMIFS(CNXL_SQL_2!$F:$F,CNXL_SQL_2!$D:$D,'Pg2'!$U$25,CNXL_SQL_2!$A:$A,'Pg2'!$T25))</f>
        <v/>
      </c>
      <c r="I25" s="193">
        <f>IF((SUMIFS(CNXL_SQL_2!$F:$F,CNXL_SQL_2!$D:$D,'Pg2'!$U$26,CNXL_SQL_2!$A:$A,'Pg2'!$T25))=0,"",SUMIFS(CNXL_SQL_2!$F:$F,CNXL_SQL_2!$D:$D,'Pg2'!$U$26,CNXL_SQL_2!$A:$A,'Pg2'!$T25))</f>
        <v/>
      </c>
      <c r="J25" s="193">
        <f>IF((SUMIFS(CNXL_SQL_2!$F:$F,CNXL_SQL_2!$D:$D,'Pg2'!$U$27,CNXL_SQL_2!$A:$A,'Pg2'!$T25))=0,"",SUMIFS(CNXL_SQL_2!$F:$F,CNXL_SQL_2!$D:$D,'Pg2'!$U$27,CNXL_SQL_2!$A:$A,'Pg2'!$T25))</f>
        <v/>
      </c>
      <c r="K25" s="193">
        <f>IF((SUMIFS(CNXL_SQL_2!$F:$F,CNXL_SQL_2!$D:$D,'Pg2'!$U$28,CNXL_SQL_2!$A:$A,'Pg2'!$T25))=0,"",SUMIFS(CNXL_SQL_2!$F:$F,CNXL_SQL_2!$D:$D,'Pg2'!$U$28,CNXL_SQL_2!$A:$A,'Pg2'!$T25))</f>
        <v/>
      </c>
      <c r="L25" s="193">
        <f>IF((SUMIFS(CNXL_SQL_2!$F:$F,CNXL_SQL_2!$D:$D,'Pg2'!$U$29,CNXL_SQL_2!$A:$A,'Pg2'!$T25))=0,"",SUMIFS(CNXL_SQL_2!$F:$F,CNXL_SQL_2!$D:$D,'Pg2'!$U$29,CNXL_SQL_2!$A:$A,'Pg2'!$T25))</f>
        <v/>
      </c>
      <c r="M25" s="233" t="n"/>
      <c r="N25" s="261">
        <f>IF((SUM(E25:M25))=0,"",SUM(E25:M25))</f>
        <v/>
      </c>
      <c r="O25" s="261">
        <f>IFERROR(VLOOKUP($T25,ES_MATRIX!$A$2:$L$10,11,0),"")</f>
        <v/>
      </c>
      <c r="P25" s="261">
        <f>IF(((SUM(E25:M25))-(SUMIFS(ES_MATRIX!$L$3:$L$10,ES_MATRIX!$A$3:$A$10,'Pg2'!$T25)))=0,"",(SUM(E25:M25))-(SUMIFS(ES_MATRIX!$L$3:$L$10,ES_MATRIX!$A$3:$A$10,'Pg2'!$T25)))</f>
        <v/>
      </c>
      <c r="Q25" s="261">
        <f>VLOOKUP($T25,ES_MATRIX!$A$25:$B$30,2,0)</f>
        <v/>
      </c>
      <c r="R25" s="253" t="n"/>
      <c r="T25" t="inlineStr">
        <is>
          <t>C5</t>
        </is>
      </c>
      <c r="U25" s="189" t="inlineStr">
        <is>
          <t>INFLIGHT SERVICES</t>
        </is>
      </c>
    </row>
    <row r="26">
      <c r="A26" s="171" t="n"/>
      <c r="B26" s="271" t="n"/>
      <c r="C26" s="191" t="inlineStr">
        <is>
          <t>YV - Mesa</t>
        </is>
      </c>
      <c r="D26" s="176">
        <f>SUMIFS(SCH_DEP_SQL_4!$E:$E,SCH_DEP_SQL_4!$A:$A,'Pg2'!$T26)</f>
        <v/>
      </c>
      <c r="E26" s="177">
        <f>IF((SUMIFS(CNXL_SQL_2!$F:$F,CNXL_SQL_2!$D:$D,'Pg2'!$U$22,CNXL_SQL_2!$A:$A,'Pg2'!$T26))=0,"",SUMIFS(CNXL_SQL_2!$F:$F,CNXL_SQL_2!$D:$D,'Pg2'!$U$22,CNXL_SQL_2!$A:$A,'Pg2'!$T26))</f>
        <v/>
      </c>
      <c r="F26" s="177">
        <f>IF((SUMIFS(CNXL_SQL_2!$F:$F,CNXL_SQL_2!$D:$D,'Pg2'!$U$23,CNXL_SQL_2!$A:$A,'Pg2'!$T26))=0,"",SUMIFS(CNXL_SQL_2!$F:$F,CNXL_SQL_2!$D:$D,'Pg2'!$U$23,CNXL_SQL_2!$A:$A,'Pg2'!$T26))</f>
        <v/>
      </c>
      <c r="G26" s="177">
        <f>IF((SUMIFS(CNXL_SQL_2!$F:$F,CNXL_SQL_2!$D:$D,'Pg2'!$U$24,CNXL_SQL_2!$A:$A,'Pg2'!$T26))=0,"",SUMIFS(CNXL_SQL_2!$F:$F,CNXL_SQL_2!$D:$D,'Pg2'!$U$24,CNXL_SQL_2!$A:$A,'Pg2'!$T26))</f>
        <v/>
      </c>
      <c r="H26" s="177">
        <f>IF((SUMIFS(CNXL_SQL_2!$F:$F,CNXL_SQL_2!$D:$D,'Pg2'!$U$25,CNXL_SQL_2!$A:$A,'Pg2'!$T26))=0,"",SUMIFS(CNXL_SQL_2!$F:$F,CNXL_SQL_2!$D:$D,'Pg2'!$U$25,CNXL_SQL_2!$A:$A,'Pg2'!$T26))</f>
        <v/>
      </c>
      <c r="I26" s="177">
        <f>IF((SUMIFS(CNXL_SQL_2!$F:$F,CNXL_SQL_2!$D:$D,'Pg2'!$U$26,CNXL_SQL_2!$A:$A,'Pg2'!$T26))=0,"",SUMIFS(CNXL_SQL_2!$F:$F,CNXL_SQL_2!$D:$D,'Pg2'!$U$26,CNXL_SQL_2!$A:$A,'Pg2'!$T26))</f>
        <v/>
      </c>
      <c r="J26" s="177">
        <f>IF((SUMIFS(CNXL_SQL_2!$F:$F,CNXL_SQL_2!$D:$D,'Pg2'!$U$27,CNXL_SQL_2!$A:$A,'Pg2'!$T26))=0,"",SUMIFS(CNXL_SQL_2!$F:$F,CNXL_SQL_2!$D:$D,'Pg2'!$U$27,CNXL_SQL_2!$A:$A,'Pg2'!$T26))</f>
        <v/>
      </c>
      <c r="K26" s="177">
        <f>IF((SUMIFS(CNXL_SQL_2!$F:$F,CNXL_SQL_2!$D:$D,'Pg2'!$U$28,CNXL_SQL_2!$A:$A,'Pg2'!$T26))=0,"",SUMIFS(CNXL_SQL_2!$F:$F,CNXL_SQL_2!$D:$D,'Pg2'!$U$28,CNXL_SQL_2!$A:$A,'Pg2'!$T26))</f>
        <v/>
      </c>
      <c r="L26" s="177">
        <f>IF((SUMIFS(CNXL_SQL_2!$F:$F,CNXL_SQL_2!$D:$D,'Pg2'!$U$29,CNXL_SQL_2!$A:$A,'Pg2'!$T26))=0,"",SUMIFS(CNXL_SQL_2!$F:$F,CNXL_SQL_2!$D:$D,'Pg2'!$U$29,CNXL_SQL_2!$A:$A,'Pg2'!$T26))</f>
        <v/>
      </c>
      <c r="M26" s="182" t="n"/>
      <c r="N26" s="216">
        <f>IF((SUM(E26:M26))=0,"",SUM(E26:M26))</f>
        <v/>
      </c>
      <c r="O26" s="216">
        <f>IFERROR(VLOOKUP($T26,ES_MATRIX!$A$2:$L$10,11,0),"")</f>
        <v/>
      </c>
      <c r="P26" s="216">
        <f>IF(((SUM(E26:M26))-(SUMIFS(ES_MATRIX!$L$3:$L$10,ES_MATRIX!$A$3:$A$10,'Pg2'!$T26)))=0,"",(SUM(E26:M26))-(SUMIFS(ES_MATRIX!$L$3:$L$10,ES_MATRIX!$A$3:$A$10,'Pg2'!$T26)))</f>
        <v/>
      </c>
      <c r="Q26" s="216">
        <f>VLOOKUP($T26,ES_MATRIX!$A$25:$B$30,2,0)</f>
        <v/>
      </c>
      <c r="R26" s="253" t="n"/>
      <c r="T26" t="inlineStr">
        <is>
          <t>YV</t>
        </is>
      </c>
      <c r="U26" s="189" t="inlineStr">
        <is>
          <t>AIRPORT OPERATIONS</t>
        </is>
      </c>
    </row>
    <row r="27">
      <c r="A27" s="171" t="n"/>
      <c r="B27" s="271" t="n"/>
      <c r="C27" s="192" t="inlineStr">
        <is>
          <t>ZW - Air Wisconsin</t>
        </is>
      </c>
      <c r="D27" s="180">
        <f>SUMIFS(SCH_DEP_SQL_4!$E:$E,SCH_DEP_SQL_4!$A:$A,'Pg2'!$T27)</f>
        <v/>
      </c>
      <c r="E27" s="193">
        <f>IF((SUMIFS(CNXL_SQL_2!$F:$F,CNXL_SQL_2!$D:$D,'Pg2'!$U$22,CNXL_SQL_2!$A:$A,'Pg2'!$T27))=0,"",SUMIFS(CNXL_SQL_2!$F:$F,CNXL_SQL_2!$D:$D,'Pg2'!$U$22,CNXL_SQL_2!$A:$A,'Pg2'!$T27))</f>
        <v/>
      </c>
      <c r="F27" s="193">
        <f>IF((SUMIFS(CNXL_SQL_2!$F:$F,CNXL_SQL_2!$D:$D,'Pg2'!$U$23,CNXL_SQL_2!$A:$A,'Pg2'!$T27))=0,"",SUMIFS(CNXL_SQL_2!$F:$F,CNXL_SQL_2!$D:$D,'Pg2'!$U$23,CNXL_SQL_2!$A:$A,'Pg2'!$T27))</f>
        <v/>
      </c>
      <c r="G27" s="193">
        <f>IF((SUMIFS(CNXL_SQL_2!$F:$F,CNXL_SQL_2!$D:$D,'Pg2'!$U$24,CNXL_SQL_2!$A:$A,'Pg2'!$T27))=0,"",SUMIFS(CNXL_SQL_2!$F:$F,CNXL_SQL_2!$D:$D,'Pg2'!$U$24,CNXL_SQL_2!$A:$A,'Pg2'!$T27))</f>
        <v/>
      </c>
      <c r="H27" s="193">
        <f>IF((SUMIFS(CNXL_SQL_2!$F:$F,CNXL_SQL_2!$D:$D,'Pg2'!$U$25,CNXL_SQL_2!$A:$A,'Pg2'!$T27))=0,"",SUMIFS(CNXL_SQL_2!$F:$F,CNXL_SQL_2!$D:$D,'Pg2'!$U$25,CNXL_SQL_2!$A:$A,'Pg2'!$T27))</f>
        <v/>
      </c>
      <c r="I27" s="193">
        <f>IF((SUMIFS(CNXL_SQL_2!$F:$F,CNXL_SQL_2!$D:$D,'Pg2'!$U$26,CNXL_SQL_2!$A:$A,'Pg2'!$T27))=0,"",SUMIFS(CNXL_SQL_2!$F:$F,CNXL_SQL_2!$D:$D,'Pg2'!$U$26,CNXL_SQL_2!$A:$A,'Pg2'!$T27))</f>
        <v/>
      </c>
      <c r="J27" s="193">
        <f>IF((SUMIFS(CNXL_SQL_2!$F:$F,CNXL_SQL_2!$D:$D,'Pg2'!$U$27,CNXL_SQL_2!$A:$A,'Pg2'!$T27))=0,"",SUMIFS(CNXL_SQL_2!$F:$F,CNXL_SQL_2!$D:$D,'Pg2'!$U$27,CNXL_SQL_2!$A:$A,'Pg2'!$T27))</f>
        <v/>
      </c>
      <c r="K27" s="193">
        <f>IF((SUMIFS(CNXL_SQL_2!$F:$F,CNXL_SQL_2!$D:$D,'Pg2'!$U$28,CNXL_SQL_2!$A:$A,'Pg2'!$T27))=0,"",SUMIFS(CNXL_SQL_2!$F:$F,CNXL_SQL_2!$D:$D,'Pg2'!$U$28,CNXL_SQL_2!$A:$A,'Pg2'!$T27))</f>
        <v/>
      </c>
      <c r="L27" s="193">
        <f>IF((SUMIFS(CNXL_SQL_2!$F:$F,CNXL_SQL_2!$D:$D,'Pg2'!$U$29,CNXL_SQL_2!$A:$A,'Pg2'!$T27))=0,"",SUMIFS(CNXL_SQL_2!$F:$F,CNXL_SQL_2!$D:$D,'Pg2'!$U$29,CNXL_SQL_2!$A:$A,'Pg2'!$T27))</f>
        <v/>
      </c>
      <c r="M27" s="233" t="n"/>
      <c r="N27" s="261">
        <f>IF((SUM(E27:M27))=0,"",SUM(E27:M27))</f>
        <v/>
      </c>
      <c r="O27" s="261">
        <f>IFERROR(VLOOKUP($T27,ES_MATRIX!$A$2:$L$10,11,0),"")</f>
        <v/>
      </c>
      <c r="P27" s="261">
        <f>IF(((SUM(E27:M27))-(SUMIFS(ES_MATRIX!$L$3:$L$10,ES_MATRIX!$A$3:$A$10,'Pg2'!$T27)))=0,"",(SUM(E27:M27))-(SUMIFS(ES_MATRIX!$L$3:$L$10,ES_MATRIX!$A$3:$A$10,'Pg2'!$T27)))</f>
        <v/>
      </c>
      <c r="Q27" s="261">
        <f>VLOOKUP($T27,ES_MATRIX!$A$25:$B$30,2,0)</f>
        <v/>
      </c>
      <c r="R27" s="253" t="n"/>
      <c r="T27" t="inlineStr">
        <is>
          <t>ZW</t>
        </is>
      </c>
      <c r="U27" s="189" t="inlineStr">
        <is>
          <t>NETWORK OPERATIONS CENTER</t>
        </is>
      </c>
    </row>
    <row r="28">
      <c r="A28" s="171" t="n"/>
      <c r="B28" s="272" t="n"/>
      <c r="C28" s="183" t="inlineStr">
        <is>
          <t>Total:</t>
        </is>
      </c>
      <c r="D28" s="184">
        <f>SUM(D22:D27)</f>
        <v/>
      </c>
      <c r="E28" s="185">
        <f>IF(SUM(E22:E27)=0,"",SUM(E22:E27))</f>
        <v/>
      </c>
      <c r="F28" s="185">
        <f>IF(SUM(F22:F27)=0,"",SUM(F22:F27))</f>
        <v/>
      </c>
      <c r="G28" s="185">
        <f>IF(SUM(G22:G27)=0,"",SUM(G22:G27))</f>
        <v/>
      </c>
      <c r="H28" s="185">
        <f>IF(SUM(H22:H27)=0,"",SUM(H22:H27))</f>
        <v/>
      </c>
      <c r="I28" s="185">
        <f>IF(SUM(I22:I27)=0,"",SUM(I22:I27))</f>
        <v/>
      </c>
      <c r="J28" s="185">
        <f>IF(SUM(J22:J27)=0,"",SUM(J22:J27))</f>
        <v/>
      </c>
      <c r="K28" s="185">
        <f>IF(SUM(K22:K27)=0,"",SUM(K22:K27))</f>
        <v/>
      </c>
      <c r="L28" s="185">
        <f>IF(SUM(L22:L27)=0,"",SUM(L22:L27))</f>
        <v/>
      </c>
      <c r="M28" s="185">
        <f>IF(SUM(M22:M27)=0,"",SUM(M22:M27))</f>
        <v/>
      </c>
      <c r="N28" s="263">
        <f>IF(SUM(N22:N27)=0,"",SUM(N22:N27))</f>
        <v/>
      </c>
      <c r="O28" s="263">
        <f>IF(SUM(O22:O27)=0,"",SUM(O22:O27))</f>
        <v/>
      </c>
      <c r="P28" s="263">
        <f>IF(SUM(P22:P27)=0,"",SUM(P22:P27))</f>
        <v/>
      </c>
      <c r="Q28" s="263">
        <f>IF(SUM(Q22:Q27)=0,"",SUM(Q22:Q27))</f>
        <v/>
      </c>
      <c r="R28" s="253" t="n"/>
      <c r="U28" s="189" t="inlineStr">
        <is>
          <t>TECHNOLOGY</t>
        </is>
      </c>
    </row>
    <row r="29">
      <c r="A29" s="171" t="n"/>
      <c r="B29" s="259" t="n"/>
      <c r="C29" s="273" t="n"/>
      <c r="D29" s="273" t="n"/>
      <c r="E29" s="255" t="n"/>
      <c r="F29" s="255" t="n"/>
      <c r="G29" s="255" t="n"/>
      <c r="H29" s="255" t="n"/>
      <c r="I29" s="273" t="n"/>
      <c r="J29" s="273" t="n"/>
      <c r="K29" s="273" t="n"/>
      <c r="L29" s="255" t="n"/>
      <c r="M29" s="255" t="n"/>
      <c r="N29" s="255" t="n"/>
      <c r="O29" s="255" t="n"/>
      <c r="P29" s="273" t="n"/>
      <c r="Q29" s="273" t="n"/>
      <c r="R29" s="256" t="n"/>
      <c r="U29" s="189" t="inlineStr">
        <is>
          <t>CATERING OPERATIONS</t>
        </is>
      </c>
    </row>
    <row r="30">
      <c r="A30" s="171" t="n"/>
      <c r="B30" s="171" t="n"/>
      <c r="C30" s="171" t="n"/>
      <c r="D30" s="171" t="n"/>
      <c r="E30" s="171" t="n"/>
      <c r="F30" s="171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</row>
    <row r="31">
      <c r="A31" s="171" t="n"/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</row>
    <row r="32" ht="21" customHeight="1" s="286">
      <c r="A32" s="171" t="n"/>
      <c r="B32" s="334" t="inlineStr">
        <is>
          <t>Residual Cancel Detail</t>
        </is>
      </c>
    </row>
    <row r="33">
      <c r="A33" s="171" t="n"/>
      <c r="B33" s="173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1" t="n"/>
      <c r="R33" s="253" t="n"/>
    </row>
    <row r="34" ht="58" customHeight="1" s="286">
      <c r="A34" s="171" t="n"/>
      <c r="B34" s="147" t="n"/>
      <c r="C34" s="175" t="n"/>
      <c r="D34" s="260" t="inlineStr">
        <is>
          <t>Scheduled Departures</t>
        </is>
      </c>
      <c r="E34" s="214" t="inlineStr">
        <is>
          <t>Weather &amp; ATC</t>
        </is>
      </c>
      <c r="F34" s="214" t="inlineStr">
        <is>
          <t>Technical Operations</t>
        </is>
      </c>
      <c r="G34" s="214" t="inlineStr">
        <is>
          <t>Flight Operations</t>
        </is>
      </c>
      <c r="H34" s="214" t="inlineStr">
        <is>
          <t>Inflight Services</t>
        </is>
      </c>
      <c r="I34" s="214" t="inlineStr">
        <is>
          <t>Airport Operation</t>
        </is>
      </c>
      <c r="J34" s="214" t="inlineStr">
        <is>
          <t>Network Operation</t>
        </is>
      </c>
      <c r="K34" s="214" t="inlineStr">
        <is>
          <t>IT</t>
        </is>
      </c>
      <c r="L34" s="214" t="inlineStr">
        <is>
          <t>Catering Operations</t>
        </is>
      </c>
      <c r="M34" s="214" t="inlineStr">
        <is>
          <t>Other</t>
        </is>
      </c>
      <c r="N34" s="212" t="inlineStr">
        <is>
          <t>Total Cancels</t>
        </is>
      </c>
      <c r="O34" s="212" t="inlineStr">
        <is>
          <t>ES Covered for this partner</t>
        </is>
      </c>
      <c r="P34" s="212" t="inlineStr">
        <is>
          <t>Net Cancel</t>
        </is>
      </c>
      <c r="Q34" s="212" t="inlineStr">
        <is>
          <t>ES covered by this partner</t>
        </is>
      </c>
      <c r="R34" s="253" t="n"/>
    </row>
    <row r="35">
      <c r="A35" s="171" t="n"/>
      <c r="B35" s="147" t="n"/>
      <c r="C35" s="191" t="inlineStr">
        <is>
          <t>OO - SkyWest</t>
        </is>
      </c>
      <c r="D35" s="176">
        <f>SUMIFS(SCH_DEP_SQL_4!$E:$E,SCH_DEP_SQL_4!$A:$A,'Pg2'!$T22)</f>
        <v/>
      </c>
      <c r="E35" s="190">
        <f>IF((SUMIFS(RES_CNXL_SQL_3!$F:$F,RES_CNXL_SQL_3!$D:$D,'Pg2'!$U$22,RES_CNXL_SQL_3!$A:$A,'Pg2'!$T22))=0,"",SUMIFS(RES_CNXL_SQL_3!$F:$F,RES_CNXL_SQL_3!$D:$D,'Pg2'!$U$22,RES_CNXL_SQL_3!$A:$A,'Pg2'!$T22))</f>
        <v/>
      </c>
      <c r="F35" s="190">
        <f>IF((SUMIFS(RES_CNXL_SQL_3!$F:$F,RES_CNXL_SQL_3!$D:$D,'Pg2'!$U$23,RES_CNXL_SQL_3!$A:$A,'Pg2'!$T22))=0,"",SUMIFS(RES_CNXL_SQL_3!$F:$F,RES_CNXL_SQL_3!$D:$D,'Pg2'!$U$23,RES_CNXL_SQL_3!$A:$A,'Pg2'!$T22))</f>
        <v/>
      </c>
      <c r="G35" s="190">
        <f>IF((SUMIFS(RES_CNXL_SQL_3!$F:$F,RES_CNXL_SQL_3!$D:$D,'Pg2'!$U$24,RES_CNXL_SQL_3!$A:$A,'Pg2'!$T22))=0,"",SUMIFS(RES_CNXL_SQL_3!$F:$F,RES_CNXL_SQL_3!$D:$D,'Pg2'!$U$24,RES_CNXL_SQL_3!$A:$A,'Pg2'!$T22))</f>
        <v/>
      </c>
      <c r="H35" s="190">
        <f>IF((SUMIFS(RES_CNXL_SQL_3!$F:$F,RES_CNXL_SQL_3!$D:$D,'Pg2'!$U$25,RES_CNXL_SQL_3!$A:$A,'Pg2'!$T22))=0,"",SUMIFS(RES_CNXL_SQL_3!$F:$F,RES_CNXL_SQL_3!$D:$D,'Pg2'!$U$25,RES_CNXL_SQL_3!$A:$A,'Pg2'!$T22))</f>
        <v/>
      </c>
      <c r="I35" s="190">
        <f>IF((SUMIFS(RES_CNXL_SQL_3!$F:$F,RES_CNXL_SQL_3!$D:$D,'Pg2'!$U$26,RES_CNXL_SQL_3!$A:$A,'Pg2'!$T22))=0,"",SUMIFS(RES_CNXL_SQL_3!$F:$F,RES_CNXL_SQL_3!$D:$D,'Pg2'!$U$26,RES_CNXL_SQL_3!$A:$A,'Pg2'!$T22))</f>
        <v/>
      </c>
      <c r="J35" s="190">
        <f>IF((SUMIFS(RES_CNXL_SQL_3!$F:$F,RES_CNXL_SQL_3!$D:$D,'Pg2'!$U$27,RES_CNXL_SQL_3!$A:$A,'Pg2'!$T22))=0,"",SUMIFS(RES_CNXL_SQL_3!$F:$F,RES_CNXL_SQL_3!$D:$D,'Pg2'!$U$27,RES_CNXL_SQL_3!$A:$A,'Pg2'!$T22))</f>
        <v/>
      </c>
      <c r="K35" s="190">
        <f>IF((SUMIFS(RES_CNXL_SQL_3!$F:$F,RES_CNXL_SQL_3!$D:$D,'Pg2'!$U$28,RES_CNXL_SQL_3!$A:$A,'Pg2'!$T22))=0,"",SUMIFS(RES_CNXL_SQL_3!$F:$F,RES_CNXL_SQL_3!$D:$D,'Pg2'!$U$28,RES_CNXL_SQL_3!$A:$A,'Pg2'!$T22))</f>
        <v/>
      </c>
      <c r="L35" s="190">
        <f>IF((SUMIFS(RES_CNXL_SQL_3!$F:$F,RES_CNXL_SQL_3!$D:$D,'Pg2'!$U$29,RES_CNXL_SQL_3!$A:$A,'Pg2'!$T22))=0,"",SUMIFS(RES_CNXL_SQL_3!$F:$F,RES_CNXL_SQL_3!$D:$D,'Pg2'!$U$29,RES_CNXL_SQL_3!$A:$A,'Pg2'!$T22))</f>
        <v/>
      </c>
      <c r="M35" s="190" t="n"/>
      <c r="N35" s="216">
        <f>IF(SUM(E35:M35)=0,"",SUM(E35:M35))</f>
        <v/>
      </c>
      <c r="O35" s="216">
        <f>IFERROR(VLOOKUP($T22,ES_MATRIX!$A$13:$L$21,11,0),"")</f>
        <v/>
      </c>
      <c r="P35" s="216">
        <f>IF(((SUM(E35:M35))-(SUMIFS(ES_MATRIX!$L$14:$L$21,ES_MATRIX!$A$14:$A$21,'Pg2'!$T22)))=0,"",(SUM(E35:M35))-(SUMIFS(ES_MATRIX!$L$14:$L$21,ES_MATRIX!$A$14:$A$21,'Pg2'!$T22)))</f>
        <v/>
      </c>
      <c r="Q35" s="216">
        <f>VLOOKUP($T22,ES_MATRIX!$E$25:$F$30,2,0)</f>
        <v/>
      </c>
      <c r="R35" s="253" t="n"/>
    </row>
    <row r="36">
      <c r="A36" s="171" t="n"/>
      <c r="B36" s="147" t="n"/>
      <c r="C36" s="192" t="inlineStr">
        <is>
          <t>YX - Republic</t>
        </is>
      </c>
      <c r="D36" s="180">
        <f>SUMIFS(SCH_DEP_SQL_4!$E:$E,SCH_DEP_SQL_4!$A:$A,'Pg2'!$T23)</f>
        <v/>
      </c>
      <c r="E36" s="193">
        <f>IF((SUMIFS(RES_CNXL_SQL_3!$F:$F,RES_CNXL_SQL_3!$D:$D,'Pg2'!$U$22,RES_CNXL_SQL_3!$A:$A,'Pg2'!$T23))=0,"",SUMIFS(RES_CNXL_SQL_3!$F:$F,RES_CNXL_SQL_3!$D:$D,'Pg2'!$U$22,RES_CNXL_SQL_3!$A:$A,'Pg2'!$T23))</f>
        <v/>
      </c>
      <c r="F36" s="193">
        <f>IF((SUMIFS(RES_CNXL_SQL_3!$F:$F,RES_CNXL_SQL_3!$D:$D,'Pg2'!$U$23,RES_CNXL_SQL_3!$A:$A,'Pg2'!$T23))=0,"",SUMIFS(RES_CNXL_SQL_3!$F:$F,RES_CNXL_SQL_3!$D:$D,'Pg2'!$U$23,RES_CNXL_SQL_3!$A:$A,'Pg2'!$T23))</f>
        <v/>
      </c>
      <c r="G36" s="193">
        <f>IF((SUMIFS(RES_CNXL_SQL_3!$F:$F,RES_CNXL_SQL_3!$D:$D,'Pg2'!$U$24,RES_CNXL_SQL_3!$A:$A,'Pg2'!$T23))=0,"",SUMIFS(RES_CNXL_SQL_3!$F:$F,RES_CNXL_SQL_3!$D:$D,'Pg2'!$U$24,RES_CNXL_SQL_3!$A:$A,'Pg2'!$T23))</f>
        <v/>
      </c>
      <c r="H36" s="193">
        <f>IF((SUMIFS(RES_CNXL_SQL_3!$F:$F,RES_CNXL_SQL_3!$D:$D,'Pg2'!$U$25,RES_CNXL_SQL_3!$A:$A,'Pg2'!$T23))=0,"",SUMIFS(RES_CNXL_SQL_3!$F:$F,RES_CNXL_SQL_3!$D:$D,'Pg2'!$U$25,RES_CNXL_SQL_3!$A:$A,'Pg2'!$T23))</f>
        <v/>
      </c>
      <c r="I36" s="193">
        <f>IF((SUMIFS(RES_CNXL_SQL_3!$F:$F,RES_CNXL_SQL_3!$D:$D,'Pg2'!$U$26,RES_CNXL_SQL_3!$A:$A,'Pg2'!$T23))=0,"",SUMIFS(RES_CNXL_SQL_3!$F:$F,RES_CNXL_SQL_3!$D:$D,'Pg2'!$U$26,RES_CNXL_SQL_3!$A:$A,'Pg2'!$T23))</f>
        <v/>
      </c>
      <c r="J36" s="193">
        <f>IF((SUMIFS(RES_CNXL_SQL_3!$F:$F,RES_CNXL_SQL_3!$D:$D,'Pg2'!$U$27,RES_CNXL_SQL_3!$A:$A,'Pg2'!$T23))=0,"",SUMIFS(RES_CNXL_SQL_3!$F:$F,RES_CNXL_SQL_3!$D:$D,'Pg2'!$U$27,RES_CNXL_SQL_3!$A:$A,'Pg2'!$T23))</f>
        <v/>
      </c>
      <c r="K36" s="193">
        <f>IF((SUMIFS(RES_CNXL_SQL_3!$F:$F,RES_CNXL_SQL_3!$D:$D,'Pg2'!$U$28,RES_CNXL_SQL_3!$A:$A,'Pg2'!$T23))=0,"",SUMIFS(RES_CNXL_SQL_3!$F:$F,RES_CNXL_SQL_3!$D:$D,'Pg2'!$U$28,RES_CNXL_SQL_3!$A:$A,'Pg2'!$T23))</f>
        <v/>
      </c>
      <c r="L36" s="193">
        <f>IF((SUMIFS(RES_CNXL_SQL_3!$F:$F,RES_CNXL_SQL_3!$D:$D,'Pg2'!$U$29,RES_CNXL_SQL_3!$A:$A,'Pg2'!$T23))=0,"",SUMIFS(RES_CNXL_SQL_3!$F:$F,RES_CNXL_SQL_3!$D:$D,'Pg2'!$U$29,RES_CNXL_SQL_3!$A:$A,'Pg2'!$T23))</f>
        <v/>
      </c>
      <c r="M36" s="193" t="inlineStr"/>
      <c r="N36" s="261">
        <f>IF(SUM(E36:M36)=0,"",SUM(E36:M36))</f>
        <v/>
      </c>
      <c r="O36" s="261">
        <f>IFERROR(VLOOKUP($T23,ES_MATRIX!$A$13:$L$21,11,0),"")</f>
        <v/>
      </c>
      <c r="P36" s="261">
        <f>IF(((SUM(E36:M36))-(SUMIFS(ES_MATRIX!$L$14:$L$21,ES_MATRIX!$A$14:$A$21,'Pg2'!$T23)))=0,"",(SUM(E36:M36))-(SUMIFS(ES_MATRIX!$L$14:$L$21,ES_MATRIX!$A$14:$A$21,'Pg2'!$T23)))</f>
        <v/>
      </c>
      <c r="Q36" s="261">
        <f>VLOOKUP($T23,ES_MATRIX!$E$25:$F$30,2,0)</f>
        <v/>
      </c>
      <c r="R36" s="253" t="n"/>
    </row>
    <row r="37">
      <c r="A37" s="171" t="n"/>
      <c r="B37" s="147" t="n"/>
      <c r="C37" s="191" t="inlineStr">
        <is>
          <t>G7 - Go Jet</t>
        </is>
      </c>
      <c r="D37" s="176">
        <f>SUMIFS(SCH_DEP_SQL_4!$E:$E,SCH_DEP_SQL_4!$A:$A,'Pg2'!$T24)</f>
        <v/>
      </c>
      <c r="E37" s="190">
        <f>IF((SUMIFS(RES_CNXL_SQL_3!$F:$F,RES_CNXL_SQL_3!$D:$D,'Pg2'!$U$22,RES_CNXL_SQL_3!$A:$A,'Pg2'!$T24))=0,"",SUMIFS(RES_CNXL_SQL_3!$F:$F,RES_CNXL_SQL_3!$D:$D,'Pg2'!$U$22,RES_CNXL_SQL_3!$A:$A,'Pg2'!$T24))</f>
        <v/>
      </c>
      <c r="F37" s="190">
        <f>IF((SUMIFS(RES_CNXL_SQL_3!$F:$F,RES_CNXL_SQL_3!$D:$D,'Pg2'!$U$23,RES_CNXL_SQL_3!$A:$A,'Pg2'!$T24))=0,"",SUMIFS(RES_CNXL_SQL_3!$F:$F,RES_CNXL_SQL_3!$D:$D,'Pg2'!$U$23,RES_CNXL_SQL_3!$A:$A,'Pg2'!$T24))</f>
        <v/>
      </c>
      <c r="G37" s="190">
        <f>IF((SUMIFS(RES_CNXL_SQL_3!$F:$F,RES_CNXL_SQL_3!$D:$D,'Pg2'!$U$24,RES_CNXL_SQL_3!$A:$A,'Pg2'!$T24))=0,"",SUMIFS(RES_CNXL_SQL_3!$F:$F,RES_CNXL_SQL_3!$D:$D,'Pg2'!$U$24,RES_CNXL_SQL_3!$A:$A,'Pg2'!$T24))</f>
        <v/>
      </c>
      <c r="H37" s="190">
        <f>IF((SUMIFS(RES_CNXL_SQL_3!$F:$F,RES_CNXL_SQL_3!$D:$D,'Pg2'!$U$25,RES_CNXL_SQL_3!$A:$A,'Pg2'!$T24))=0,"",SUMIFS(RES_CNXL_SQL_3!$F:$F,RES_CNXL_SQL_3!$D:$D,'Pg2'!$U$25,RES_CNXL_SQL_3!$A:$A,'Pg2'!$T24))</f>
        <v/>
      </c>
      <c r="I37" s="190">
        <f>IF((SUMIFS(RES_CNXL_SQL_3!$F:$F,RES_CNXL_SQL_3!$D:$D,'Pg2'!$U$26,RES_CNXL_SQL_3!$A:$A,'Pg2'!$T24))=0,"",SUMIFS(RES_CNXL_SQL_3!$F:$F,RES_CNXL_SQL_3!$D:$D,'Pg2'!$U$26,RES_CNXL_SQL_3!$A:$A,'Pg2'!$T24))</f>
        <v/>
      </c>
      <c r="J37" s="190">
        <f>IF((SUMIFS(RES_CNXL_SQL_3!$F:$F,RES_CNXL_SQL_3!$D:$D,'Pg2'!$U$27,RES_CNXL_SQL_3!$A:$A,'Pg2'!$T24))=0,"",SUMIFS(RES_CNXL_SQL_3!$F:$F,RES_CNXL_SQL_3!$D:$D,'Pg2'!$U$27,RES_CNXL_SQL_3!$A:$A,'Pg2'!$T24))</f>
        <v/>
      </c>
      <c r="K37" s="190">
        <f>IF((SUMIFS(RES_CNXL_SQL_3!$F:$F,RES_CNXL_SQL_3!$D:$D,'Pg2'!$U$28,RES_CNXL_SQL_3!$A:$A,'Pg2'!$T24))=0,"",SUMIFS(RES_CNXL_SQL_3!$F:$F,RES_CNXL_SQL_3!$D:$D,'Pg2'!$U$28,RES_CNXL_SQL_3!$A:$A,'Pg2'!$T24))</f>
        <v/>
      </c>
      <c r="L37" s="190">
        <f>IF((SUMIFS(RES_CNXL_SQL_3!$F:$F,RES_CNXL_SQL_3!$D:$D,'Pg2'!$U$29,RES_CNXL_SQL_3!$A:$A,'Pg2'!$T24))=0,"",SUMIFS(RES_CNXL_SQL_3!$F:$F,RES_CNXL_SQL_3!$D:$D,'Pg2'!$U$29,RES_CNXL_SQL_3!$A:$A,'Pg2'!$T24))</f>
        <v/>
      </c>
      <c r="M37" s="190" t="inlineStr"/>
      <c r="N37" s="216">
        <f>IF(SUM(E37:M37)=0,"",SUM(E37:M37))</f>
        <v/>
      </c>
      <c r="O37" s="216">
        <f>IFERROR(VLOOKUP($T24,ES_MATRIX!$A$13:$L$21,11,0),"")</f>
        <v/>
      </c>
      <c r="P37" s="216">
        <f>IF(((SUM(E37:M37))-(SUMIFS(ES_MATRIX!$L$14:$L$21,ES_MATRIX!$A$14:$A$21,'Pg2'!$T24)))=0,"",(SUM(E37:M37))-(SUMIFS(ES_MATRIX!$L$14:$L$21,ES_MATRIX!$A$14:$A$21,'Pg2'!$T24)))</f>
        <v/>
      </c>
      <c r="Q37" s="216">
        <f>VLOOKUP($T24,ES_MATRIX!$E$25:$F$30,2,0)</f>
        <v/>
      </c>
      <c r="R37" s="253" t="n"/>
    </row>
    <row r="38">
      <c r="A38" s="171" t="n"/>
      <c r="B38" s="147" t="n"/>
      <c r="C38" s="192" t="inlineStr">
        <is>
          <t>C5 - CommutAir</t>
        </is>
      </c>
      <c r="D38" s="180">
        <f>SUMIFS(SCH_DEP_SQL_4!$E:$E,SCH_DEP_SQL_4!$A:$A,'Pg2'!$T25)</f>
        <v/>
      </c>
      <c r="E38" s="193">
        <f>IF((SUMIFS(RES_CNXL_SQL_3!$F:$F,RES_CNXL_SQL_3!$D:$D,'Pg2'!$U$22,RES_CNXL_SQL_3!$A:$A,'Pg2'!$T25))=0,"",SUMIFS(RES_CNXL_SQL_3!$F:$F,RES_CNXL_SQL_3!$D:$D,'Pg2'!$U$22,RES_CNXL_SQL_3!$A:$A,'Pg2'!$T25))</f>
        <v/>
      </c>
      <c r="F38" s="193">
        <f>IF((SUMIFS(RES_CNXL_SQL_3!$F:$F,RES_CNXL_SQL_3!$D:$D,'Pg2'!$U$23,RES_CNXL_SQL_3!$A:$A,'Pg2'!$T25))=0,"",SUMIFS(RES_CNXL_SQL_3!$F:$F,RES_CNXL_SQL_3!$D:$D,'Pg2'!$U$23,RES_CNXL_SQL_3!$A:$A,'Pg2'!$T25))</f>
        <v/>
      </c>
      <c r="G38" s="193">
        <f>IF((SUMIFS(RES_CNXL_SQL_3!$F:$F,RES_CNXL_SQL_3!$D:$D,'Pg2'!$U$24,RES_CNXL_SQL_3!$A:$A,'Pg2'!$T25))=0,"",SUMIFS(RES_CNXL_SQL_3!$F:$F,RES_CNXL_SQL_3!$D:$D,'Pg2'!$U$24,RES_CNXL_SQL_3!$A:$A,'Pg2'!$T25))</f>
        <v/>
      </c>
      <c r="H38" s="193">
        <f>IF((SUMIFS(RES_CNXL_SQL_3!$F:$F,RES_CNXL_SQL_3!$D:$D,'Pg2'!$U$25,RES_CNXL_SQL_3!$A:$A,'Pg2'!$T25))=0,"",SUMIFS(RES_CNXL_SQL_3!$F:$F,RES_CNXL_SQL_3!$D:$D,'Pg2'!$U$25,RES_CNXL_SQL_3!$A:$A,'Pg2'!$T25))</f>
        <v/>
      </c>
      <c r="I38" s="193">
        <f>IF((SUMIFS(RES_CNXL_SQL_3!$F:$F,RES_CNXL_SQL_3!$D:$D,'Pg2'!$U$26,RES_CNXL_SQL_3!$A:$A,'Pg2'!$T25))=0,"",SUMIFS(RES_CNXL_SQL_3!$F:$F,RES_CNXL_SQL_3!$D:$D,'Pg2'!$U$26,RES_CNXL_SQL_3!$A:$A,'Pg2'!$T25))</f>
        <v/>
      </c>
      <c r="J38" s="193">
        <f>IF((SUMIFS(RES_CNXL_SQL_3!$F:$F,RES_CNXL_SQL_3!$D:$D,'Pg2'!$U$27,RES_CNXL_SQL_3!$A:$A,'Pg2'!$T25))=0,"",SUMIFS(RES_CNXL_SQL_3!$F:$F,RES_CNXL_SQL_3!$D:$D,'Pg2'!$U$27,RES_CNXL_SQL_3!$A:$A,'Pg2'!$T25))</f>
        <v/>
      </c>
      <c r="K38" s="193">
        <f>IF((SUMIFS(RES_CNXL_SQL_3!$F:$F,RES_CNXL_SQL_3!$D:$D,'Pg2'!$U$28,RES_CNXL_SQL_3!$A:$A,'Pg2'!$T25))=0,"",SUMIFS(RES_CNXL_SQL_3!$F:$F,RES_CNXL_SQL_3!$D:$D,'Pg2'!$U$28,RES_CNXL_SQL_3!$A:$A,'Pg2'!$T25))</f>
        <v/>
      </c>
      <c r="L38" s="193">
        <f>IF((SUMIFS(RES_CNXL_SQL_3!$F:$F,RES_CNXL_SQL_3!$D:$D,'Pg2'!$U$29,RES_CNXL_SQL_3!$A:$A,'Pg2'!$T25))=0,"",SUMIFS(RES_CNXL_SQL_3!$F:$F,RES_CNXL_SQL_3!$D:$D,'Pg2'!$U$29,RES_CNXL_SQL_3!$A:$A,'Pg2'!$T25))</f>
        <v/>
      </c>
      <c r="M38" s="193" t="inlineStr"/>
      <c r="N38" s="261">
        <f>IF(SUM(E38:M38)=0,"",SUM(E38:M38))</f>
        <v/>
      </c>
      <c r="O38" s="261">
        <f>IFERROR(VLOOKUP($T25,ES_MATRIX!$A$13:$L$21,11,0),"")</f>
        <v/>
      </c>
      <c r="P38" s="261">
        <f>IF(((SUM(E38:M38))-(SUMIFS(ES_MATRIX!$L$14:$L$21,ES_MATRIX!$A$14:$A$21,'Pg2'!$T25)))=0,"",(SUM(E38:M38))-(SUMIFS(ES_MATRIX!$L$14:$L$21,ES_MATRIX!$A$14:$A$21,'Pg2'!$T25)))</f>
        <v/>
      </c>
      <c r="Q38" s="261">
        <f>VLOOKUP($T25,ES_MATRIX!$E$25:$F$30,2,0)</f>
        <v/>
      </c>
      <c r="R38" s="253" t="n"/>
    </row>
    <row r="39">
      <c r="A39" s="171" t="n"/>
      <c r="B39" s="147" t="n"/>
      <c r="C39" s="191" t="inlineStr">
        <is>
          <t>YV - Mesa</t>
        </is>
      </c>
      <c r="D39" s="176">
        <f>SUMIFS(SCH_DEP_SQL_4!$E:$E,SCH_DEP_SQL_4!$A:$A,'Pg2'!$T26)</f>
        <v/>
      </c>
      <c r="E39" s="190">
        <f>IF((SUMIFS(RES_CNXL_SQL_3!$F:$F,RES_CNXL_SQL_3!$D:$D,'Pg2'!$U$22,RES_CNXL_SQL_3!$A:$A,'Pg2'!$T26))=0,"",SUMIFS(RES_CNXL_SQL_3!$F:$F,RES_CNXL_SQL_3!$D:$D,'Pg2'!$U$22,RES_CNXL_SQL_3!$A:$A,'Pg2'!$T26))</f>
        <v/>
      </c>
      <c r="F39" s="190">
        <f>IF((SUMIFS(RES_CNXL_SQL_3!$F:$F,RES_CNXL_SQL_3!$D:$D,'Pg2'!$U$23,RES_CNXL_SQL_3!$A:$A,'Pg2'!$T26))=0,"",SUMIFS(RES_CNXL_SQL_3!$F:$F,RES_CNXL_SQL_3!$D:$D,'Pg2'!$U$23,RES_CNXL_SQL_3!$A:$A,'Pg2'!$T26))</f>
        <v/>
      </c>
      <c r="G39" s="190">
        <f>IF((SUMIFS(RES_CNXL_SQL_3!$F:$F,RES_CNXL_SQL_3!$D:$D,'Pg2'!$U$24,RES_CNXL_SQL_3!$A:$A,'Pg2'!$T26))=0,"",SUMIFS(RES_CNXL_SQL_3!$F:$F,RES_CNXL_SQL_3!$D:$D,'Pg2'!$U$24,RES_CNXL_SQL_3!$A:$A,'Pg2'!$T26))</f>
        <v/>
      </c>
      <c r="H39" s="190">
        <f>IF((SUMIFS(RES_CNXL_SQL_3!$F:$F,RES_CNXL_SQL_3!$D:$D,'Pg2'!$U$25,RES_CNXL_SQL_3!$A:$A,'Pg2'!$T26))=0,"",SUMIFS(RES_CNXL_SQL_3!$F:$F,RES_CNXL_SQL_3!$D:$D,'Pg2'!$U$25,RES_CNXL_SQL_3!$A:$A,'Pg2'!$T26))</f>
        <v/>
      </c>
      <c r="I39" s="190">
        <f>IF((SUMIFS(RES_CNXL_SQL_3!$F:$F,RES_CNXL_SQL_3!$D:$D,'Pg2'!$U$26,RES_CNXL_SQL_3!$A:$A,'Pg2'!$T26))=0,"",SUMIFS(RES_CNXL_SQL_3!$F:$F,RES_CNXL_SQL_3!$D:$D,'Pg2'!$U$26,RES_CNXL_SQL_3!$A:$A,'Pg2'!$T26))</f>
        <v/>
      </c>
      <c r="J39" s="190">
        <f>IF((SUMIFS(RES_CNXL_SQL_3!$F:$F,RES_CNXL_SQL_3!$D:$D,'Pg2'!$U$27,RES_CNXL_SQL_3!$A:$A,'Pg2'!$T26))=0,"",SUMIFS(RES_CNXL_SQL_3!$F:$F,RES_CNXL_SQL_3!$D:$D,'Pg2'!$U$27,RES_CNXL_SQL_3!$A:$A,'Pg2'!$T26))</f>
        <v/>
      </c>
      <c r="K39" s="190">
        <f>IF((SUMIFS(RES_CNXL_SQL_3!$F:$F,RES_CNXL_SQL_3!$D:$D,'Pg2'!$U$28,RES_CNXL_SQL_3!$A:$A,'Pg2'!$T26))=0,"",SUMIFS(RES_CNXL_SQL_3!$F:$F,RES_CNXL_SQL_3!$D:$D,'Pg2'!$U$28,RES_CNXL_SQL_3!$A:$A,'Pg2'!$T26))</f>
        <v/>
      </c>
      <c r="L39" s="190">
        <f>IF((SUMIFS(RES_CNXL_SQL_3!$F:$F,RES_CNXL_SQL_3!$D:$D,'Pg2'!$U$29,RES_CNXL_SQL_3!$A:$A,'Pg2'!$T26))=0,"",SUMIFS(RES_CNXL_SQL_3!$F:$F,RES_CNXL_SQL_3!$D:$D,'Pg2'!$U$29,RES_CNXL_SQL_3!$A:$A,'Pg2'!$T26))</f>
        <v/>
      </c>
      <c r="M39" s="190" t="inlineStr"/>
      <c r="N39" s="216">
        <f>IF(SUM(E39:M39)=0,"",SUM(E39:M39))</f>
        <v/>
      </c>
      <c r="O39" s="216">
        <f>IFERROR(VLOOKUP($T26,ES_MATRIX!$A$13:$L$21,11,0),"")</f>
        <v/>
      </c>
      <c r="P39" s="216">
        <f>IF(((SUM(E39:M39))-(SUMIFS(ES_MATRIX!$L$14:$L$21,ES_MATRIX!$A$14:$A$21,'Pg2'!$T26)))=0,"",(SUM(E39:M39))-(SUMIFS(ES_MATRIX!$L$14:$L$21,ES_MATRIX!$A$14:$A$21,'Pg2'!$T26)))</f>
        <v/>
      </c>
      <c r="Q39" s="216">
        <f>VLOOKUP($T26,ES_MATRIX!$E$25:$F$30,2,0)</f>
        <v/>
      </c>
      <c r="R39" s="253" t="n"/>
    </row>
    <row r="40">
      <c r="A40" s="171" t="n"/>
      <c r="B40" s="147" t="n"/>
      <c r="C40" s="192" t="inlineStr">
        <is>
          <t>ZW - Air Wisconsin</t>
        </is>
      </c>
      <c r="D40" s="180">
        <f>SUMIFS(SCH_DEP_SQL_4!$E:$E,SCH_DEP_SQL_4!$A:$A,'Pg2'!$T27)</f>
        <v/>
      </c>
      <c r="E40" s="193">
        <f>IF((SUMIFS(RES_CNXL_SQL_3!$F:$F,RES_CNXL_SQL_3!$D:$D,'Pg2'!$U$22,RES_CNXL_SQL_3!$A:$A,'Pg2'!$T27))=0,"",SUMIFS(RES_CNXL_SQL_3!$F:$F,RES_CNXL_SQL_3!$D:$D,'Pg2'!$U$22,RES_CNXL_SQL_3!$A:$A,'Pg2'!$T27))</f>
        <v/>
      </c>
      <c r="F40" s="193">
        <f>IF((SUMIFS(RES_CNXL_SQL_3!$F:$F,RES_CNXL_SQL_3!$D:$D,'Pg2'!$U$23,RES_CNXL_SQL_3!$A:$A,'Pg2'!$T27))=0,"",SUMIFS(RES_CNXL_SQL_3!$F:$F,RES_CNXL_SQL_3!$D:$D,'Pg2'!$U$23,RES_CNXL_SQL_3!$A:$A,'Pg2'!$T27))</f>
        <v/>
      </c>
      <c r="G40" s="193">
        <f>IF((SUMIFS(RES_CNXL_SQL_3!$F:$F,RES_CNXL_SQL_3!$D:$D,'Pg2'!$U$24,RES_CNXL_SQL_3!$A:$A,'Pg2'!$T27))=0,"",SUMIFS(RES_CNXL_SQL_3!$F:$F,RES_CNXL_SQL_3!$D:$D,'Pg2'!$U$24,RES_CNXL_SQL_3!$A:$A,'Pg2'!$T27))</f>
        <v/>
      </c>
      <c r="H40" s="193">
        <f>IF((SUMIFS(RES_CNXL_SQL_3!$F:$F,RES_CNXL_SQL_3!$D:$D,'Pg2'!$U$25,RES_CNXL_SQL_3!$A:$A,'Pg2'!$T27))=0,"",SUMIFS(RES_CNXL_SQL_3!$F:$F,RES_CNXL_SQL_3!$D:$D,'Pg2'!$U$25,RES_CNXL_SQL_3!$A:$A,'Pg2'!$T27))</f>
        <v/>
      </c>
      <c r="I40" s="193">
        <f>IF((SUMIFS(RES_CNXL_SQL_3!$F:$F,RES_CNXL_SQL_3!$D:$D,'Pg2'!$U$26,RES_CNXL_SQL_3!$A:$A,'Pg2'!$T27))=0,"",SUMIFS(RES_CNXL_SQL_3!$F:$F,RES_CNXL_SQL_3!$D:$D,'Pg2'!$U$26,RES_CNXL_SQL_3!$A:$A,'Pg2'!$T27))</f>
        <v/>
      </c>
      <c r="J40" s="193">
        <f>IF((SUMIFS(RES_CNXL_SQL_3!$F:$F,RES_CNXL_SQL_3!$D:$D,'Pg2'!$U$27,RES_CNXL_SQL_3!$A:$A,'Pg2'!$T27))=0,"",SUMIFS(RES_CNXL_SQL_3!$F:$F,RES_CNXL_SQL_3!$D:$D,'Pg2'!$U$27,RES_CNXL_SQL_3!$A:$A,'Pg2'!$T27))</f>
        <v/>
      </c>
      <c r="K40" s="193">
        <f>IF((SUMIFS(RES_CNXL_SQL_3!$F:$F,RES_CNXL_SQL_3!$D:$D,'Pg2'!$U$28,RES_CNXL_SQL_3!$A:$A,'Pg2'!$T27))=0,"",SUMIFS(RES_CNXL_SQL_3!$F:$F,RES_CNXL_SQL_3!$D:$D,'Pg2'!$U$28,RES_CNXL_SQL_3!$A:$A,'Pg2'!$T27))</f>
        <v/>
      </c>
      <c r="L40" s="193">
        <f>IF((SUMIFS(RES_CNXL_SQL_3!$F:$F,RES_CNXL_SQL_3!$D:$D,'Pg2'!$U$29,RES_CNXL_SQL_3!$A:$A,'Pg2'!$T27))=0,"",SUMIFS(RES_CNXL_SQL_3!$F:$F,RES_CNXL_SQL_3!$D:$D,'Pg2'!$U$29,RES_CNXL_SQL_3!$A:$A,'Pg2'!$T27))</f>
        <v/>
      </c>
      <c r="M40" s="193" t="inlineStr"/>
      <c r="N40" s="262">
        <f>IF(SUM(E40:M40)=0,"",SUM(E40:M40))</f>
        <v/>
      </c>
      <c r="O40" s="261">
        <f>IFERROR(VLOOKUP($T27,ES_MATRIX!$A$13:$L$21,11,0),"")</f>
        <v/>
      </c>
      <c r="P40" s="261">
        <f>IF(((SUM(E40:M40))-(SUMIFS(ES_MATRIX!$L$14:$L$21,ES_MATRIX!$A$14:$A$21,'Pg2'!$T27)))=0,"",(SUM(E40:M40))-(SUMIFS(ES_MATRIX!$L$14:$L$21,ES_MATRIX!$A$14:$A$21,'Pg2'!$T27)))</f>
        <v/>
      </c>
      <c r="Q40" s="261">
        <f>VLOOKUP($T27,ES_MATRIX!$E$25:$F$30,2,0)</f>
        <v/>
      </c>
      <c r="R40" s="253" t="n"/>
    </row>
    <row r="41">
      <c r="A41" s="171" t="n"/>
      <c r="B41" s="147" t="n"/>
      <c r="C41" s="183" t="inlineStr">
        <is>
          <t>Total:</t>
        </is>
      </c>
      <c r="D41" s="184">
        <f>SUM(D35:D40)</f>
        <v/>
      </c>
      <c r="E41" s="185">
        <f>IF(SUM(E35:E40)=0,"",SUM(E35:E40))</f>
        <v/>
      </c>
      <c r="F41" s="185">
        <f>IF(SUM(F35:F40)=0,"",SUM(F35:F40))</f>
        <v/>
      </c>
      <c r="G41" s="185">
        <f>IF(SUM(G35:G40)=0,"",SUM(G35:G40))</f>
        <v/>
      </c>
      <c r="H41" s="185">
        <f>IF(SUM(H35:H40)=0,"",SUM(H35:H40))</f>
        <v/>
      </c>
      <c r="I41" s="185">
        <f>IF(SUM(I35:I40)=0,"",SUM(I35:I40))</f>
        <v/>
      </c>
      <c r="J41" s="185">
        <f>IF(SUM(J35:J40)=0,"",SUM(J35:J40))</f>
        <v/>
      </c>
      <c r="K41" s="185">
        <f>IF(SUM(K35:K40)=0,"",SUM(K35:K40))</f>
        <v/>
      </c>
      <c r="L41" s="185">
        <f>IF(SUM(L35:L40)=0,"",SUM(L35:L40))</f>
        <v/>
      </c>
      <c r="M41" s="185">
        <f>IF(SUM(M35:M40)=0,"",SUM(M35:M40))</f>
        <v/>
      </c>
      <c r="N41" s="186">
        <f>IF(SUM(N35:N40)=0,"",SUM(N35:N40))</f>
        <v/>
      </c>
      <c r="O41" s="186">
        <f>IF(SUM(O35:O40)=0,"",SUM(O35:O40))</f>
        <v/>
      </c>
      <c r="P41" s="186">
        <f>IF(SUM(P35:P40)=0,"",SUM(P35:P40))</f>
        <v/>
      </c>
      <c r="Q41" s="186">
        <f>IF(SUM(Q35:Q40)=0,"",SUM(Q35:Q40))</f>
        <v/>
      </c>
      <c r="R41" s="253" t="n"/>
    </row>
    <row r="42">
      <c r="A42" s="171" t="n"/>
      <c r="B42" s="167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255" t="n"/>
      <c r="R42" s="256" t="n"/>
    </row>
    <row r="43">
      <c r="A43" s="171" t="n"/>
      <c r="B43" s="171" t="n"/>
      <c r="C43" s="171" t="n"/>
      <c r="D43" s="171" t="n"/>
      <c r="E43" s="171" t="n"/>
      <c r="F43" s="171" t="n"/>
      <c r="G43" s="171" t="n"/>
      <c r="H43" s="171" t="n"/>
      <c r="I43" s="171" t="n"/>
      <c r="J43" s="171" t="n"/>
      <c r="K43" s="171" t="n"/>
      <c r="L43" s="171" t="n"/>
      <c r="M43" s="171" t="n"/>
      <c r="N43" s="171" t="n"/>
      <c r="O43" s="171" t="n"/>
      <c r="P43" s="171" t="n"/>
      <c r="Q43" s="171" t="n"/>
      <c r="R43" s="171" t="n"/>
    </row>
    <row r="44">
      <c r="A44" s="171" t="n"/>
      <c r="B44" s="171" t="n"/>
      <c r="C44" s="171" t="n"/>
      <c r="D44" s="171" t="n"/>
      <c r="E44" s="171" t="n"/>
      <c r="F44" s="171" t="n"/>
      <c r="G44" s="171" t="n"/>
      <c r="H44" s="171" t="n"/>
      <c r="I44" s="171" t="n"/>
      <c r="J44" s="171" t="n"/>
      <c r="K44" s="171" t="n"/>
      <c r="L44" s="171" t="n"/>
      <c r="M44" s="171" t="n"/>
      <c r="N44" s="171" t="n"/>
      <c r="O44" s="171" t="n"/>
      <c r="P44" s="171" t="n"/>
      <c r="Q44" s="171" t="n"/>
      <c r="R44" s="171" t="n"/>
    </row>
    <row r="45">
      <c r="A45" s="171" t="n"/>
      <c r="B45" s="187" t="inlineStr">
        <is>
          <t>Notes:</t>
        </is>
      </c>
      <c r="C45" s="171" t="n"/>
      <c r="D45" s="171" t="n"/>
      <c r="E45" s="171" t="n"/>
      <c r="F45" s="171" t="n"/>
      <c r="G45" s="171" t="n"/>
      <c r="H45" s="171" t="n"/>
      <c r="I45" s="171" t="n"/>
      <c r="J45" s="171" t="n"/>
      <c r="K45" s="171" t="n"/>
      <c r="L45" s="171" t="n"/>
      <c r="M45" s="171" t="n"/>
      <c r="N45" s="171" t="n"/>
      <c r="O45" s="171" t="n"/>
      <c r="P45" s="171" t="n"/>
      <c r="Q45" s="171" t="n"/>
      <c r="R45" s="171" t="n"/>
    </row>
    <row r="46" ht="21" customHeight="1" s="286">
      <c r="A46" s="171" t="n"/>
      <c r="B46" s="275" t="inlineStr">
        <is>
          <t xml:space="preserve">1. The hubs/operating bases considered for all airlines are as follows:
</t>
        </is>
      </c>
      <c r="C46" s="332" t="n"/>
      <c r="D46" s="332" t="n"/>
      <c r="E46" s="332" t="n"/>
      <c r="F46" s="332" t="n"/>
      <c r="G46" s="332" t="n"/>
      <c r="H46" s="332" t="n"/>
      <c r="I46" s="332" t="n"/>
      <c r="J46" s="332" t="n"/>
      <c r="K46" s="332" t="n"/>
      <c r="L46" s="332" t="n"/>
      <c r="M46" s="332" t="n"/>
      <c r="N46" s="332" t="n"/>
      <c r="O46" s="332" t="n"/>
      <c r="P46" s="332" t="n"/>
      <c r="Q46" s="171" t="n"/>
      <c r="R46" s="171" t="n"/>
    </row>
    <row r="47" ht="21" customHeight="1" s="286">
      <c r="A47" s="171" t="n"/>
      <c r="B47" s="275" t="inlineStr">
        <is>
          <t xml:space="preserve">UA -  SFO, LAX, DEN, IAH, EWR, IAD, ORD </t>
        </is>
      </c>
      <c r="C47" s="332" t="n"/>
      <c r="D47" s="332" t="n"/>
      <c r="E47" s="332" t="n"/>
      <c r="F47" s="332" t="n"/>
      <c r="G47" s="332" t="n"/>
      <c r="H47" s="332" t="n"/>
      <c r="I47" s="332" t="n"/>
      <c r="J47" s="332" t="n"/>
      <c r="K47" s="332" t="n"/>
      <c r="L47" s="332" t="n"/>
      <c r="M47" s="332" t="n"/>
      <c r="N47" s="332" t="n"/>
      <c r="O47" s="332" t="n"/>
      <c r="P47" s="332" t="n"/>
      <c r="Q47" s="171" t="n"/>
      <c r="R47" s="171" t="n"/>
    </row>
    <row r="48">
      <c r="A48" s="171" t="n"/>
      <c r="B48" s="275" t="inlineStr">
        <is>
          <t>AA - CLT, MIA, PHX, DCA, ORD, PHL, DFW</t>
        </is>
      </c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1" t="n"/>
      <c r="O48" s="171" t="n"/>
      <c r="P48" s="171" t="n"/>
      <c r="Q48" s="171" t="n"/>
      <c r="R48" s="171" t="n"/>
    </row>
    <row r="49">
      <c r="A49" s="171" t="n"/>
      <c r="B49" s="275" t="inlineStr">
        <is>
          <t>DL - ATL, DTW, LAX, JFK, LGA, MSP, SLC, SEA</t>
        </is>
      </c>
      <c r="C49" s="269" t="n"/>
      <c r="D49" s="264" t="n"/>
      <c r="E49" s="269" t="n"/>
      <c r="F49" s="264" t="n"/>
      <c r="G49" s="193" t="n"/>
      <c r="H49" s="193" t="n"/>
      <c r="I49" s="193" t="n"/>
      <c r="J49" s="193" t="n"/>
      <c r="K49" s="193" t="n"/>
      <c r="L49" s="193" t="n"/>
      <c r="M49" s="193" t="n"/>
      <c r="N49" s="171" t="n"/>
      <c r="O49" s="171" t="n"/>
      <c r="P49" s="171" t="n"/>
      <c r="Q49" s="171" t="n"/>
      <c r="R49" s="171" t="n"/>
    </row>
    <row r="50">
      <c r="A50" s="171" t="n"/>
      <c r="B50" s="171" t="n"/>
      <c r="C50" s="269" t="n"/>
      <c r="D50" s="264" t="n"/>
      <c r="E50" s="269" t="n"/>
      <c r="F50" s="264" t="n"/>
      <c r="G50" s="193" t="n"/>
      <c r="H50" s="193" t="n"/>
      <c r="I50" s="193" t="n"/>
      <c r="J50" s="193" t="n"/>
      <c r="K50" s="193" t="n"/>
      <c r="L50" s="193" t="n"/>
      <c r="M50" s="193" t="n"/>
      <c r="N50" s="171" t="n"/>
      <c r="O50" s="171" t="n"/>
      <c r="P50" s="171" t="n"/>
      <c r="Q50" s="171" t="n"/>
      <c r="R50" s="171" t="n"/>
    </row>
    <row r="51">
      <c r="A51" s="171" t="n"/>
      <c r="B51" s="171" t="n"/>
      <c r="C51" s="269" t="n"/>
      <c r="D51" s="264" t="n"/>
      <c r="E51" s="269" t="n"/>
      <c r="F51" s="264" t="n"/>
      <c r="G51" s="193" t="n"/>
      <c r="H51" s="193" t="n"/>
      <c r="I51" s="193" t="n"/>
      <c r="J51" s="193" t="n"/>
      <c r="K51" s="193" t="n"/>
      <c r="L51" s="193" t="n"/>
      <c r="M51" s="193" t="n"/>
      <c r="N51" s="171" t="n"/>
      <c r="O51" s="171" t="n"/>
      <c r="P51" s="171" t="n"/>
      <c r="Q51" s="171" t="n"/>
      <c r="R51" s="171" t="n"/>
    </row>
    <row r="52">
      <c r="A52" s="171" t="n"/>
      <c r="B52" s="275" t="n"/>
      <c r="C52" s="269" t="n"/>
      <c r="D52" s="264" t="n"/>
      <c r="E52" s="269" t="n"/>
      <c r="F52" s="264" t="n"/>
      <c r="G52" s="193" t="n"/>
      <c r="H52" s="193" t="n"/>
      <c r="I52" s="193" t="n"/>
      <c r="J52" s="193" t="n"/>
      <c r="K52" s="193" t="n"/>
      <c r="L52" s="193" t="n"/>
      <c r="M52" s="193" t="n"/>
      <c r="N52" s="171" t="n"/>
      <c r="O52" s="171" t="n"/>
      <c r="P52" s="171" t="n"/>
      <c r="Q52" s="171" t="n"/>
      <c r="R52" s="171" t="n"/>
    </row>
    <row r="53">
      <c r="A53" s="171" t="n"/>
      <c r="B53" s="171" t="n"/>
      <c r="C53" s="269" t="n"/>
      <c r="D53" s="264" t="n"/>
      <c r="E53" s="269" t="n"/>
      <c r="F53" s="264" t="n"/>
      <c r="G53" s="193" t="n"/>
      <c r="H53" s="193" t="n"/>
      <c r="I53" s="193" t="n"/>
      <c r="J53" s="193" t="n"/>
      <c r="K53" s="193" t="n"/>
      <c r="L53" s="193" t="n"/>
      <c r="M53" s="193" t="n"/>
      <c r="N53" s="171" t="n"/>
      <c r="O53" s="171" t="n"/>
      <c r="P53" s="171" t="n"/>
      <c r="Q53" s="171" t="n"/>
      <c r="R53" s="171" t="n"/>
    </row>
    <row r="54">
      <c r="A54" s="171" t="n"/>
      <c r="B54" s="171" t="n"/>
      <c r="C54" s="269" t="n"/>
      <c r="D54" s="264" t="n"/>
      <c r="E54" s="269" t="n"/>
      <c r="F54" s="264" t="n"/>
      <c r="G54" s="193" t="n"/>
      <c r="H54" s="193" t="n"/>
      <c r="I54" s="193" t="n"/>
      <c r="J54" s="193" t="n"/>
      <c r="K54" s="193" t="n"/>
      <c r="L54" s="193" t="n"/>
      <c r="M54" s="193" t="n"/>
      <c r="N54" s="171" t="n"/>
      <c r="O54" s="171" t="n"/>
      <c r="P54" s="171" t="n"/>
      <c r="Q54" s="171" t="n"/>
      <c r="R54" s="171" t="n"/>
    </row>
    <row r="55">
      <c r="A55" s="171" t="n"/>
      <c r="B55" s="171" t="n"/>
      <c r="C55" s="265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171" t="n"/>
      <c r="O55" s="171" t="n"/>
      <c r="P55" s="171" t="n"/>
      <c r="Q55" s="171" t="n"/>
      <c r="R55" s="171" t="n"/>
    </row>
    <row r="56">
      <c r="A56" s="171" t="n"/>
      <c r="B56" s="171" t="n"/>
      <c r="C56" s="171" t="n"/>
      <c r="D56" s="171" t="n"/>
      <c r="E56" s="171" t="n"/>
      <c r="F56" s="171" t="n"/>
      <c r="G56" s="171" t="n"/>
      <c r="H56" s="171" t="n"/>
      <c r="I56" s="171" t="n"/>
      <c r="J56" s="171" t="n"/>
      <c r="K56" s="171" t="n"/>
      <c r="L56" s="171" t="n"/>
      <c r="M56" s="171" t="n"/>
      <c r="N56" s="171" t="n"/>
      <c r="O56" s="171" t="n"/>
      <c r="P56" s="171" t="n"/>
      <c r="Q56" s="171" t="n"/>
      <c r="R56" s="171" t="n"/>
    </row>
    <row r="57">
      <c r="A57" s="171" t="n"/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1" t="n"/>
      <c r="K57" s="171" t="n"/>
      <c r="L57" s="171" t="n"/>
      <c r="M57" s="171" t="n"/>
      <c r="N57" s="171" t="n"/>
      <c r="O57" s="171" t="n"/>
      <c r="P57" s="171" t="n"/>
      <c r="Q57" s="171" t="n"/>
      <c r="R57" s="171" t="n"/>
    </row>
    <row r="58">
      <c r="A58" s="171" t="n"/>
      <c r="B58" s="171" t="n"/>
      <c r="C58" s="171" t="n"/>
      <c r="D58" s="171" t="n"/>
      <c r="E58" s="171" t="n"/>
      <c r="F58" s="171" t="n"/>
      <c r="G58" s="171" t="n"/>
      <c r="H58" s="171" t="n"/>
      <c r="I58" s="171" t="n"/>
      <c r="J58" s="171" t="n"/>
      <c r="K58" s="171" t="n"/>
      <c r="L58" s="171" t="n"/>
      <c r="M58" s="171" t="n"/>
      <c r="N58" s="171" t="n"/>
      <c r="O58" s="171" t="n"/>
      <c r="P58" s="171" t="n"/>
      <c r="Q58" s="171" t="n"/>
      <c r="R58" s="171" t="n"/>
    </row>
    <row r="59" ht="21" customHeight="1" s="286">
      <c r="A59" s="171" t="n"/>
      <c r="B59" s="332" t="n"/>
      <c r="Q59" s="171" t="n"/>
      <c r="R59" s="171" t="n"/>
    </row>
    <row r="60" ht="21" customHeight="1" s="286">
      <c r="B60" s="332" t="n"/>
      <c r="C60" s="332" t="n"/>
      <c r="D60" s="332" t="n"/>
      <c r="E60" s="332" t="n"/>
      <c r="F60" s="332" t="n"/>
      <c r="G60" s="332" t="n"/>
      <c r="H60" s="332" t="n"/>
      <c r="I60" s="332" t="n"/>
      <c r="J60" s="332" t="n"/>
      <c r="K60" s="332" t="n"/>
      <c r="L60" s="332" t="n"/>
      <c r="M60" s="332" t="n"/>
      <c r="N60" s="332" t="n"/>
      <c r="O60" s="332" t="n"/>
      <c r="P60" s="332" t="n"/>
      <c r="Q60" s="171" t="n"/>
      <c r="R60" s="171" t="n"/>
    </row>
    <row r="61">
      <c r="A61" s="171" t="n"/>
      <c r="B61" s="171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1" t="n"/>
      <c r="O61" s="171" t="n"/>
      <c r="P61" s="171" t="n"/>
      <c r="Q61" s="171" t="n"/>
      <c r="R61" s="171" t="n"/>
    </row>
    <row r="62">
      <c r="B62" s="171" t="n"/>
      <c r="C62" s="269" t="n"/>
      <c r="D62" s="264" t="n"/>
      <c r="E62" s="269" t="n"/>
      <c r="F62" s="264" t="n"/>
      <c r="G62" s="193" t="n"/>
      <c r="H62" s="193" t="n"/>
      <c r="I62" s="193" t="n"/>
      <c r="J62" s="193" t="n"/>
      <c r="K62" s="193" t="n"/>
      <c r="L62" s="193" t="n"/>
      <c r="M62" s="193" t="n"/>
      <c r="N62" s="171" t="n"/>
      <c r="O62" s="171" t="n"/>
      <c r="P62" s="171" t="n"/>
      <c r="Q62" s="171" t="n"/>
      <c r="R62" s="171" t="n"/>
    </row>
    <row r="63">
      <c r="A63" s="171" t="n"/>
      <c r="B63" s="171" t="n"/>
      <c r="C63" s="269" t="n"/>
      <c r="D63" s="264" t="n"/>
      <c r="E63" s="269" t="n"/>
      <c r="F63" s="264" t="n"/>
      <c r="G63" s="193" t="n"/>
      <c r="H63" s="193" t="n"/>
      <c r="I63" s="193" t="n"/>
      <c r="J63" s="193" t="n"/>
      <c r="K63" s="193" t="n"/>
      <c r="L63" s="193" t="n"/>
      <c r="M63" s="193" t="n"/>
      <c r="N63" s="171" t="n"/>
      <c r="O63" s="171" t="n"/>
      <c r="P63" s="171" t="n"/>
      <c r="Q63" s="171" t="n"/>
      <c r="R63" s="171" t="n"/>
    </row>
    <row r="64">
      <c r="A64" s="171" t="n"/>
      <c r="B64" s="171" t="n"/>
      <c r="C64" s="269" t="n"/>
      <c r="D64" s="264" t="n"/>
      <c r="E64" s="269" t="n"/>
      <c r="F64" s="264" t="n"/>
      <c r="G64" s="193" t="n"/>
      <c r="H64" s="193" t="n"/>
      <c r="I64" s="193" t="n"/>
      <c r="J64" s="193" t="n"/>
      <c r="K64" s="193" t="n"/>
      <c r="L64" s="193" t="n"/>
      <c r="M64" s="193" t="n"/>
      <c r="N64" s="171" t="n"/>
      <c r="O64" s="171" t="n"/>
      <c r="P64" s="171" t="n"/>
      <c r="Q64" s="171" t="n"/>
      <c r="R64" s="171" t="n"/>
    </row>
    <row r="65">
      <c r="A65" s="171" t="n"/>
      <c r="B65" s="275" t="n"/>
      <c r="C65" s="269" t="n"/>
      <c r="D65" s="264" t="n"/>
      <c r="E65" s="269" t="n"/>
      <c r="F65" s="264" t="n"/>
      <c r="G65" s="193" t="n"/>
      <c r="H65" s="193" t="n"/>
      <c r="I65" s="193" t="n"/>
      <c r="J65" s="193" t="n"/>
      <c r="K65" s="193" t="n"/>
      <c r="L65" s="193" t="n"/>
      <c r="M65" s="193" t="n"/>
      <c r="N65" s="171" t="n"/>
      <c r="O65" s="171" t="n"/>
      <c r="P65" s="171" t="n"/>
      <c r="Q65" s="171" t="n"/>
      <c r="R65" s="171" t="n"/>
    </row>
    <row r="66">
      <c r="B66" s="171" t="n"/>
      <c r="C66" s="269" t="n"/>
      <c r="D66" s="264" t="n"/>
      <c r="E66" s="269" t="n"/>
      <c r="F66" s="264" t="n"/>
      <c r="G66" s="193" t="n"/>
      <c r="H66" s="193" t="n"/>
      <c r="I66" s="193" t="n"/>
      <c r="J66" s="193" t="n"/>
      <c r="K66" s="193" t="n"/>
      <c r="L66" s="193" t="n"/>
      <c r="M66" s="193" t="n"/>
      <c r="N66" s="171" t="n"/>
      <c r="O66" s="171" t="n"/>
      <c r="P66" s="171" t="n"/>
    </row>
    <row r="67">
      <c r="B67" s="171" t="n"/>
      <c r="C67" s="269" t="n"/>
      <c r="D67" s="264" t="n"/>
      <c r="E67" s="269" t="n"/>
      <c r="F67" s="264" t="n"/>
      <c r="G67" s="193" t="n"/>
      <c r="H67" s="193" t="n"/>
      <c r="I67" s="193" t="n"/>
      <c r="J67" s="193" t="n"/>
      <c r="K67" s="193" t="n"/>
      <c r="L67" s="193" t="n"/>
      <c r="M67" s="193" t="n"/>
      <c r="N67" s="171" t="n"/>
      <c r="O67" s="171" t="n"/>
      <c r="P67" s="171" t="n"/>
    </row>
    <row r="68">
      <c r="B68" s="171" t="n"/>
      <c r="C68" s="265" t="n"/>
      <c r="D68" s="265" t="n"/>
      <c r="E68" s="265" t="n"/>
      <c r="F68" s="265" t="n"/>
      <c r="G68" s="265" t="n"/>
      <c r="H68" s="265" t="n"/>
      <c r="I68" s="265" t="n"/>
      <c r="J68" s="265" t="n"/>
      <c r="K68" s="265" t="n"/>
      <c r="L68" s="265" t="n"/>
      <c r="M68" s="265" t="n"/>
      <c r="N68" s="171" t="n"/>
      <c r="O68" s="171" t="n"/>
      <c r="P68" s="171" t="n"/>
    </row>
    <row r="69">
      <c r="B69" s="171" t="n"/>
      <c r="C69" s="171" t="n"/>
      <c r="D69" s="171" t="n"/>
      <c r="E69" s="171" t="n"/>
      <c r="F69" s="171" t="n"/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1" t="n"/>
      <c r="P69" s="171" t="n"/>
    </row>
  </sheetData>
  <mergeCells count="4">
    <mergeCell ref="B19:R19"/>
    <mergeCell ref="B32:R32"/>
    <mergeCell ref="B59:P59"/>
    <mergeCell ref="B2:P2"/>
  </mergeCells>
  <conditionalFormatting sqref="F5:H14">
    <cfRule type="cellIs" priority="111" operator="greaterThan" dxfId="1">
      <formula>0</formula>
    </cfRule>
    <cfRule type="cellIs" priority="112" operator="lessThan" dxfId="37">
      <formula>0</formula>
    </cfRule>
  </conditionalFormatting>
  <conditionalFormatting sqref="E22:E27 M25 M27">
    <cfRule type="top10" rank="1" priority="108" dxfId="2"/>
  </conditionalFormatting>
  <conditionalFormatting sqref="M24:M25 M27">
    <cfRule type="top10" rank="1" priority="102" dxfId="2"/>
  </conditionalFormatting>
  <conditionalFormatting sqref="M22">
    <cfRule type="top10" rank="1" priority="101" dxfId="2"/>
  </conditionalFormatting>
  <conditionalFormatting sqref="M23">
    <cfRule type="top10" rank="1" priority="100" dxfId="2"/>
  </conditionalFormatting>
  <conditionalFormatting sqref="M26">
    <cfRule type="top10" rank="1" priority="99" dxfId="2"/>
  </conditionalFormatting>
  <conditionalFormatting sqref="E22:E27">
    <cfRule type="top10" rank="1" priority="98" dxfId="2"/>
    <cfRule type="top10" rank="1" priority="54" dxfId="2"/>
  </conditionalFormatting>
  <conditionalFormatting sqref="M35">
    <cfRule type="top10" rank="1" priority="84" dxfId="2"/>
    <cfRule type="top10" rank="1" priority="90" dxfId="2"/>
  </conditionalFormatting>
  <conditionalFormatting sqref="M35:M40">
    <cfRule type="top10" rank="1" priority="85" dxfId="2"/>
  </conditionalFormatting>
  <conditionalFormatting sqref="H22:L22">
    <cfRule type="top10" rank="1" priority="52" dxfId="2"/>
    <cfRule type="top10" rank="1" priority="51" dxfId="2"/>
    <cfRule type="top10" rank="1" priority="50" dxfId="2"/>
  </conditionalFormatting>
  <conditionalFormatting sqref="H23:L27">
    <cfRule type="top10" rank="1" priority="49" dxfId="2"/>
    <cfRule type="top10" rank="1" priority="48" dxfId="2"/>
    <cfRule type="top10" rank="1" priority="47" dxfId="2"/>
  </conditionalFormatting>
  <conditionalFormatting sqref="G22:G27">
    <cfRule type="top10" rank="1" priority="46" dxfId="2"/>
  </conditionalFormatting>
  <conditionalFormatting sqref="F35:L35">
    <cfRule type="top10" rank="1" priority="45" dxfId="2"/>
  </conditionalFormatting>
  <conditionalFormatting sqref="F36:L40">
    <cfRule type="top10" rank="1" priority="44" dxfId="2"/>
  </conditionalFormatting>
  <conditionalFormatting sqref="E35:E40">
    <cfRule type="top10" rank="1" priority="43" dxfId="2"/>
  </conditionalFormatting>
  <conditionalFormatting sqref="I5">
    <cfRule type="cellIs" priority="41" operator="greaterThan" dxfId="1">
      <formula>0</formula>
    </cfRule>
    <cfRule type="cellIs" priority="42" operator="lessThan" dxfId="37">
      <formula>0</formula>
    </cfRule>
  </conditionalFormatting>
  <conditionalFormatting sqref="F22:F27">
    <cfRule type="top10" rank="1" priority="40" dxfId="2"/>
  </conditionalFormatting>
  <conditionalFormatting sqref="L52 L54">
    <cfRule type="top10" rank="1" priority="39" dxfId="2"/>
  </conditionalFormatting>
  <conditionalFormatting sqref="L51:L52 L54">
    <cfRule type="top10" rank="1" priority="38" dxfId="2"/>
  </conditionalFormatting>
  <conditionalFormatting sqref="L49:L54">
    <cfRule type="top10" rank="1" priority="37" dxfId="2"/>
  </conditionalFormatting>
  <conditionalFormatting sqref="L50">
    <cfRule type="top10" rank="1" priority="36" dxfId="2"/>
  </conditionalFormatting>
  <conditionalFormatting sqref="L53">
    <cfRule type="top10" rank="1" priority="35" dxfId="2"/>
  </conditionalFormatting>
  <conditionalFormatting sqref="G49:L54">
    <cfRule type="top10" rank="1" priority="32" dxfId="2"/>
    <cfRule type="top10" rank="1" priority="31" dxfId="2"/>
    <cfRule type="top10" rank="1" priority="30" dxfId="2"/>
    <cfRule type="top10" rank="1" priority="24" dxfId="2"/>
    <cfRule type="top10" rank="1" priority="23" dxfId="2"/>
    <cfRule type="top10" rank="1" priority="22" dxfId="2"/>
  </conditionalFormatting>
  <conditionalFormatting sqref="G50:L54">
    <cfRule type="top10" rank="1" priority="29" dxfId="2"/>
    <cfRule type="top10" rank="1" priority="28" dxfId="2"/>
    <cfRule type="top10" rank="1" priority="27" dxfId="2"/>
  </conditionalFormatting>
  <conditionalFormatting sqref="E49:E54">
    <cfRule type="top10" rank="1" priority="25" dxfId="2"/>
  </conditionalFormatting>
  <conditionalFormatting sqref="I49:I54">
    <cfRule type="top10" rank="1" priority="21" dxfId="2"/>
  </conditionalFormatting>
  <conditionalFormatting sqref="H49:H54">
    <cfRule type="top10" rank="1" priority="20" dxfId="2"/>
  </conditionalFormatting>
  <conditionalFormatting sqref="L65 L67">
    <cfRule type="top10" rank="1" priority="19" dxfId="2"/>
  </conditionalFormatting>
  <conditionalFormatting sqref="L64:L65 L67">
    <cfRule type="top10" rank="1" priority="18" dxfId="2"/>
  </conditionalFormatting>
  <conditionalFormatting sqref="L62:L67">
    <cfRule type="top10" rank="1" priority="17" dxfId="2"/>
  </conditionalFormatting>
  <conditionalFormatting sqref="L63">
    <cfRule type="top10" rank="1" priority="16" dxfId="2"/>
  </conditionalFormatting>
  <conditionalFormatting sqref="L66">
    <cfRule type="top10" rank="1" priority="15" dxfId="2"/>
  </conditionalFormatting>
  <conditionalFormatting sqref="G62:L67">
    <cfRule type="top10" rank="1" priority="14" dxfId="2"/>
    <cfRule type="top10" rank="1" priority="13" dxfId="2"/>
    <cfRule type="top10" rank="1" priority="12" dxfId="2"/>
    <cfRule type="top10" rank="1" priority="7" dxfId="2"/>
    <cfRule type="top10" rank="1" priority="6" dxfId="2"/>
    <cfRule type="top10" rank="1" priority="5" dxfId="2"/>
  </conditionalFormatting>
  <conditionalFormatting sqref="G63:L67">
    <cfRule type="top10" rank="1" priority="11" dxfId="2"/>
    <cfRule type="top10" rank="1" priority="10" dxfId="2"/>
    <cfRule type="top10" rank="1" priority="9" dxfId="2"/>
  </conditionalFormatting>
  <conditionalFormatting sqref="E62:E67">
    <cfRule type="top10" rank="1" priority="8" dxfId="2"/>
  </conditionalFormatting>
  <conditionalFormatting sqref="I62:I67">
    <cfRule type="top10" rank="1" priority="4" dxfId="2"/>
  </conditionalFormatting>
  <conditionalFormatting sqref="H62:H67">
    <cfRule type="top10" rank="1" priority="3" dxfId="2"/>
  </conditionalFormatting>
  <conditionalFormatting sqref="L5:N14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286" min="1" max="1"/>
    <col width="11.26953125" customWidth="1" style="286" min="2" max="2"/>
    <col width="11.81640625" customWidth="1" style="286" min="4" max="5"/>
    <col width="9.26953125" bestFit="1" customWidth="1" style="286" min="6" max="6"/>
    <col width="16.1796875" customWidth="1" style="286" min="8" max="8"/>
    <col width="12.7265625" customWidth="1" style="286" min="9" max="9"/>
    <col width="12.453125" customWidth="1" style="286" min="10" max="10"/>
    <col width="13.26953125" customWidth="1" style="286" min="11" max="12"/>
    <col width="15.54296875" bestFit="1" customWidth="1" style="286" min="13" max="13"/>
    <col width="15.54296875" customWidth="1" style="286" min="14" max="14"/>
    <col width="15.81640625" customWidth="1" style="286" min="15" max="15"/>
    <col width="10.1796875" bestFit="1" customWidth="1" style="286" min="16" max="16"/>
  </cols>
  <sheetData>
    <row r="1" ht="15" customHeight="1" s="286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13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13" t="inlineStr">
        <is>
          <t>D:00</t>
        </is>
      </c>
    </row>
    <row r="2">
      <c r="A2" s="44" t="inlineStr">
        <is>
          <t>Completion</t>
        </is>
      </c>
      <c r="B2" s="130">
        <f>UA_SQL_1!O2/UA_SQL_1!N2</f>
        <v/>
      </c>
      <c r="C2" s="132">
        <f>SUMIFS(OA_SQL_1!$L:$L,OA_SQL_1!$A:$A,"DL")/SUMIFS(OA_SQL_1!$J:$J,OA_SQL_1!$A:$A,"DL")</f>
        <v/>
      </c>
      <c r="D2" s="132">
        <f>SUMIFS(OA_SQL_1!$L:$L,OA_SQL_1!$A:$A,"AA")/SUMIFS(OA_SQL_1!$J:$J,OA_SQL_1!$A:$A,"AA")</f>
        <v/>
      </c>
      <c r="E2" s="377" t="n"/>
      <c r="F2" s="51">
        <f>RANK(B2,B2:D2,0)</f>
        <v/>
      </c>
      <c r="H2" s="44" t="inlineStr">
        <is>
          <t>Completion</t>
        </is>
      </c>
      <c r="I2" s="343">
        <f>(UA_SQL_1!$X$2/UA_SQL_1!$W$2)</f>
        <v/>
      </c>
      <c r="J2" s="377">
        <f>SUMIF(OA_SQL_1!$A$1:$A$3,"DL",OA_SQL_1!$O$1:$O$3)/SUMIF(OA_SQL_1!$A$1:$A$3,"DL",OA_SQL_1!$M$1:$M$3)</f>
        <v/>
      </c>
      <c r="K2" s="377">
        <f>SUMIF(OA_SQL_1!$A$1:$A$3,"AA",OA_SQL_1!$O1:O$3)/SUMIF(OA_SQL_1!$A$1:$A$3,"AA",OA_SQL_1!$M$1:$M$3)</f>
        <v/>
      </c>
      <c r="L2" s="377" t="n"/>
      <c r="M2" s="51">
        <f>RANK(I2,I2:K2,0)</f>
        <v/>
      </c>
      <c r="N2" s="51" t="n"/>
      <c r="O2" s="44" t="inlineStr">
        <is>
          <t>Completion</t>
        </is>
      </c>
      <c r="P2" s="378" t="n">
        <v>0.01</v>
      </c>
      <c r="Q2" s="267">
        <f>1-(SUMIFS(OA_SQL_1!$G:$G,OA_SQL_1!$A:$A,"DL")/SUMIFS(OA_SQL_1!$E:$E,OA_SQL_1!$A:$A,"DL"))</f>
        <v/>
      </c>
      <c r="R2" s="267">
        <f>1-(SUMIFS(OA_SQL_1!$G:$G,OA_SQL_1!$A:$A,"AA")/SUMIFS(OA_SQL_1!$E:$E,OA_SQL_1!$A:$A,"AA"))</f>
        <v/>
      </c>
      <c r="S2" s="377" t="n"/>
      <c r="T2" s="51">
        <f>RANK(P2,P2:R2,1)</f>
        <v/>
      </c>
    </row>
    <row r="3">
      <c r="A3" s="44" t="inlineStr">
        <is>
          <t>A:00</t>
        </is>
      </c>
      <c r="B3" s="343">
        <f>UA_SQL_1!R2/UA_SQL_1!N2</f>
        <v/>
      </c>
      <c r="C3" s="132">
        <f>SUMIFS(OA_SQL_1!$M:$M,OA_SQL_1!$A:$A,"DL")/SUMIFS(OA_SQL_1!$J:$J,OA_SQL_1!$A:$A,"DL")</f>
        <v/>
      </c>
      <c r="D3" s="132">
        <f>SUMIFS(OA_SQL_1!$M:$M,OA_SQL_1!$A:$A,"AA")/SUMIFS(OA_SQL_1!$J:$J,OA_SQL_1!$A:$A,"AA")</f>
        <v/>
      </c>
      <c r="E3" s="377" t="n"/>
      <c r="F3" s="51">
        <f>RANK(B3,B3:D3,0)</f>
        <v/>
      </c>
      <c r="H3" s="44" t="inlineStr">
        <is>
          <t>A:00</t>
        </is>
      </c>
      <c r="I3" s="343">
        <f>UA_SQL_1!Y2/UA_SQL_1!U2</f>
        <v/>
      </c>
      <c r="J3" s="377">
        <f>SUMIF(OA_SQL_1!$A$1:$A$3,"DL",OA_SQL_1!$P$1:$P$3)/SUMIF(OA_SQL_1!$A$1:$A$3,"DL",OA_SQL_1!$M$1:$M$3)</f>
        <v/>
      </c>
      <c r="K3" s="377">
        <f>SUMIF(OA_SQL_1!$A$1:$A$3,"AA",OA_SQL_1!$P$1:$P$3)/SUMIF(OA_SQL_1!$A$1:$A$3,"AA",OA_SQL_1!$M$1:$M$3)</f>
        <v/>
      </c>
      <c r="L3" s="377" t="n"/>
      <c r="M3" s="51">
        <f>RANK(I3,I3:K3,0)</f>
        <v/>
      </c>
      <c r="N3" s="51" t="n"/>
      <c r="O3" s="44" t="inlineStr">
        <is>
          <t>A:00</t>
        </is>
      </c>
      <c r="P3" s="378">
        <f>UA_SQL_1!$I$2/UA_SQL_1!$E$2</f>
        <v/>
      </c>
      <c r="Q3" s="377">
        <f>SUMIFS(OA_SQL_1!$H:$H,OA_SQL_1!$A:$A,"DL")/SUMIFS(OA_SQL_1!$E:$E,OA_SQL_1!$A:$A,"DL")</f>
        <v/>
      </c>
      <c r="R3" s="377">
        <f>SUMIFS(OA_SQL_1!$H:$H,OA_SQL_1!$A:$A,"AA")/SUMIFS(OA_SQL_1!$E:$E,OA_SQL_1!$A:$A,"AA")</f>
        <v/>
      </c>
      <c r="S3" s="377" t="n"/>
      <c r="T3" s="51">
        <f>RANK(P3,P3:R3,0)</f>
        <v/>
      </c>
    </row>
    <row r="4">
      <c r="A4" s="43" t="inlineStr">
        <is>
          <t xml:space="preserve">CS D:00 </t>
        </is>
      </c>
      <c r="B4" s="345">
        <f>UA_SQL_1!Q2/UA_SQL_1!N2</f>
        <v/>
      </c>
      <c r="C4" s="132">
        <f>SUMIFS(OA_SQL_1!$K:$K,OA_SQL_1!$A:$A,"DL")/SUMIFS(OA_SQL_1!$J:$J,OA_SQL_1!$A:$A,"DL")</f>
        <v/>
      </c>
      <c r="D4" s="132">
        <f>SUMIFS(OA_SQL_1!$K:$K,OA_SQL_1!$A:$A,"AA")/SUMIFS(OA_SQL_1!$J:$J,OA_SQL_1!$A:$A,"AA")</f>
        <v/>
      </c>
      <c r="E4" s="377" t="n"/>
      <c r="F4" s="51">
        <f>RANK(B4,B4:D4,0)</f>
        <v/>
      </c>
      <c r="H4" s="43" t="inlineStr">
        <is>
          <t xml:space="preserve">CS D:00 </t>
        </is>
      </c>
      <c r="I4" s="345">
        <f>UA_SQL_1!X2/UA_SQL_1!U2</f>
        <v/>
      </c>
      <c r="J4" s="377">
        <f>SUMIF(OA_SQL_1!$A$1:$A$3,"DL",OA_SQL_1!$N$1:$N$3)/SUMIF(OA_SQL_1!$A$1:$A$3,"DL",OA_SQL_1!$M$1:$M$3)</f>
        <v/>
      </c>
      <c r="K4" s="377">
        <f>SUMIF(OA_SQL_1!$A$1:$A$3,"AA",OA_SQL_1!$N$1:$N$3)/SUMIF(OA_SQL_1!$A$1:$A$3,"AA",OA_SQL_1!$M$1:$M$3)</f>
        <v/>
      </c>
      <c r="L4" s="377" t="n"/>
      <c r="M4" s="51">
        <f>RANK(I4,I4:K4,0)</f>
        <v/>
      </c>
      <c r="N4" s="51" t="n"/>
      <c r="O4" s="43" t="inlineStr">
        <is>
          <t xml:space="preserve">CS D:00 </t>
        </is>
      </c>
      <c r="P4" s="378">
        <f>UA_SQL_1!$H$2/UA_SQL_1!$E$2</f>
        <v/>
      </c>
      <c r="Q4" s="267">
        <f>SUMIFS(OA_SQL_1!$F:$F,OA_SQL_1!$A:$A,"DL")/SUMIFS(OA_SQL_1!$E:$E,OA_SQL_1!$A:$A,"DL")</f>
        <v/>
      </c>
      <c r="R4" s="267">
        <f>SUMIFS(OA_SQL_1!$F:$F,OA_SQL_1!$A:$A,"AA")/SUMIFS(OA_SQL_1!$E:$E,OA_SQL_1!$A:$A,"AA")</f>
        <v/>
      </c>
      <c r="S4" s="377" t="n"/>
      <c r="T4" s="51">
        <f>RANK(P4,P4:R4,0)</f>
        <v/>
      </c>
    </row>
    <row r="5">
      <c r="A5" s="204" t="inlineStr">
        <is>
          <t>A14</t>
        </is>
      </c>
      <c r="B5" s="267">
        <f>(UA_SQL_1!$S$2/UA_SQL_1!$N$2)</f>
        <v/>
      </c>
      <c r="C5" s="132">
        <f>SUMIFS(OA_SQL_1!$N:$N,OA_SQL_1!$A:$A,"DL")/SUMIFS(OA_SQL_1!$J:$J,OA_SQL_1!$A:$A,"DL")</f>
        <v/>
      </c>
      <c r="D5" s="132">
        <f>SUMIFS(OA_SQL_1!$N:$N,OA_SQL_1!$A:$A,"AA")/SUMIFS(OA_SQL_1!$J:$J,OA_SQL_1!$A:$A,"AA")</f>
        <v/>
      </c>
      <c r="F5" s="51">
        <f>RANK(B5,B5:D5,0)</f>
        <v/>
      </c>
      <c r="O5" s="204" t="inlineStr">
        <is>
          <t>A14</t>
        </is>
      </c>
      <c r="P5" s="378">
        <f>UA_SQL_1!$J$2/UA_SQL_1!$E$2</f>
        <v/>
      </c>
      <c r="Q5" s="368">
        <f>SUMIFS(OA_SQL_1!$I:$I,OA_SQL_1!$A:$A,"DL")/SUMIFS(OA_SQL_1!$E:$E,OA_SQL_1!$A:$A,"DL")</f>
        <v/>
      </c>
      <c r="R5" s="368">
        <f>SUMIFS(OA_SQL_1!$I:$I,OA_SQL_1!$A:$A,"AA")/SUMIFS(OA_SQL_1!$E:$E,OA_SQL_1!$A:$A,"AA")</f>
        <v/>
      </c>
      <c r="T5" s="51">
        <f>RANK(P5,P5:R5,0)</f>
        <v/>
      </c>
    </row>
    <row r="6" ht="15" customHeight="1" s="286" thickBot="1"/>
    <row r="7" ht="15" customHeight="1" s="286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13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13" t="inlineStr">
        <is>
          <t>D:00</t>
        </is>
      </c>
    </row>
    <row r="8">
      <c r="A8" s="109" t="inlineStr">
        <is>
          <t>Denver</t>
        </is>
      </c>
      <c r="B8" s="352">
        <f>SUMIFS(UA_HUB_SQL_7!$K:$K,UA_HUB_SQL_7!$B:$B,RANK!$A8)/SUMIFS(UA_HUB_SQL_7!$F:$F,UA_HUB_SQL_7!$B:$B,RANK!$A8)</f>
        <v/>
      </c>
      <c r="C8" s="377" t="n"/>
      <c r="D8" s="377" t="n"/>
      <c r="E8" s="377" t="n"/>
      <c r="F8" s="51" t="n"/>
      <c r="H8" s="109" t="inlineStr">
        <is>
          <t>Denver</t>
        </is>
      </c>
      <c r="I8" s="352">
        <f>SUMIFS(UA_HUB_SQL_7!P:P,UA_HUB_SQL_7!B:B,RANK!H8)/SUMIFS(UA_HUB_SQL_7!M:M,UA_HUB_SQL_7!B:B,RANK!H8)</f>
        <v/>
      </c>
      <c r="J8" s="377" t="n"/>
      <c r="K8" s="377" t="n"/>
      <c r="L8" s="377" t="n"/>
      <c r="M8" s="51" t="n"/>
      <c r="N8" s="51" t="n"/>
      <c r="O8" s="109" t="inlineStr">
        <is>
          <t>Denver</t>
        </is>
      </c>
      <c r="P8" s="352">
        <f>SUMIFS(UA_HUB_SQL_7!$W:$W,UA_HUB_SQL_7!$B:$B,RANK!$O8)/SUMIFS(UA_HUB_SQL_7!$R:$R,UA_HUB_SQL_7!$B:$B,RANK!$O8)</f>
        <v/>
      </c>
      <c r="Q8" s="377" t="n"/>
      <c r="R8" s="377" t="n"/>
      <c r="S8" s="377" t="n"/>
      <c r="T8" s="51" t="n"/>
    </row>
    <row r="9">
      <c r="A9" s="109" t="inlineStr">
        <is>
          <t>New York</t>
        </is>
      </c>
      <c r="B9" s="352">
        <f>SUMIFS(UA_HUB_SQL_7!$K:$K,UA_HUB_SQL_7!$B:$B,RANK!$A9)/SUMIFS(UA_HUB_SQL_7!$F:$F,UA_HUB_SQL_7!$B:$B,RANK!$A9)</f>
        <v/>
      </c>
      <c r="C9" s="377">
        <f>(SUMIFS(OA_SQL_2!$K:$K,OA_SQL_2!$B:$B,"DL",OA_SQL_2!$A:$A,RANK!$A9)/SUMIFS(OA_SQL_2!$J:$J,OA_SQL_2!$B:$B,"DL",OA_SQL_2!$A:$A,RANK!$A9))</f>
        <v/>
      </c>
      <c r="D9" s="377">
        <f>(SUMIFS(OA_SQL_2!$K:$K,OA_SQL_2!$B:$B,"AA",OA_SQL_2!$A:$A,RANK!$A9)/SUMIFS(OA_SQL_2!$J:$J,OA_SQL_2!$B:$B,"AA",OA_SQL_2!$A:$A,RANK!$A9))</f>
        <v/>
      </c>
      <c r="E9" s="377" t="n"/>
      <c r="F9" s="51">
        <f>RANK(B9,B9:D9,0)</f>
        <v/>
      </c>
      <c r="H9" s="109" t="inlineStr">
        <is>
          <t>New York</t>
        </is>
      </c>
      <c r="I9" s="352">
        <f>SUMIFS(UA_HUB_SQL_7!P:P,UA_HUB_SQL_7!B:B,RANK!H9)/SUMIFS(UA_HUB_SQL_7!M:M,UA_HUB_SQL_7!B:B,RANK!H9)</f>
        <v/>
      </c>
      <c r="J9" s="377">
        <f>1-(IFERROR(SUMIFS(OA_SQL_2!O:O,OA_SQL_2!A:A,RANK!H9,OA_SQL_2!B:B,"DL")/SUMIFS(OA_SQL_2!N:N,OA_SQL_2!A:A,RANK!H9,OA_SQL_2!B:B,"DL"),"-"))</f>
        <v/>
      </c>
      <c r="K9" s="377">
        <f>1-(IFERROR(SUMIFS(OA_SQL_2!$O:$O,OA_SQL_2!$A:$A,RANK!H9,OA_SQL_2!$B:$B,"AA")/SUMIFS(OA_SQL_2!$N:$N,OA_SQL_2!$A:$A,RANK!H9,OA_SQL_2!$B:$B,"AA"),"-"))</f>
        <v/>
      </c>
      <c r="L9" s="377" t="n"/>
      <c r="M9" s="51">
        <f>RANK(I9,I9:K9,0)</f>
        <v/>
      </c>
      <c r="N9" s="51" t="n"/>
      <c r="O9" s="109" t="inlineStr">
        <is>
          <t>New York</t>
        </is>
      </c>
      <c r="P9" s="352">
        <f>SUMIFS(UA_HUB_SQL_7!$W:$W,UA_HUB_SQL_7!$B:$B,RANK!$O9)/SUMIFS(UA_HUB_SQL_7!$R:$R,UA_HUB_SQL_7!$B:$B,RANK!$O9)</f>
        <v/>
      </c>
      <c r="Q9" s="377">
        <f>SUMIFS(OA_SQL_2!$G:$G,OA_SQL_2!$B:$B,"DL",OA_SQL_2!$A:$A,RANK!$O9)/SUMIFS(OA_SQL_2!$F:$F,OA_SQL_2!$B:$B,"DL",OA_SQL_2!$A:$A,RANK!$O9)</f>
        <v/>
      </c>
      <c r="R9" s="377">
        <f>IFERROR((SUMIFS(OA_SQL_2!$K:$K,OA_SQL_2!$A:$A,RANK!O9,OA_SQL_2!$B:$B,"AA")/SUMIFS(OA_SQL_2!$J:$J,OA_SQL_2!$A:$A,O9,OA_SQL_2!$B:$B,"AA")),"-")</f>
        <v/>
      </c>
      <c r="S9" s="377" t="n"/>
      <c r="T9" s="51">
        <f>RANK(P9,P9:R9,0)</f>
        <v/>
      </c>
    </row>
    <row r="10">
      <c r="A10" s="110" t="inlineStr">
        <is>
          <t>Washington DC</t>
        </is>
      </c>
      <c r="B10" s="352">
        <f>SUMIFS(UA_HUB_SQL_7!$K:$K,UA_HUB_SQL_7!$B:$B,RANK!$A10)/SUMIFS(UA_HUB_SQL_7!$F:$F,UA_HUB_SQL_7!$B:$B,RANK!$A10)</f>
        <v/>
      </c>
      <c r="C10" s="377">
        <f>(SUMIFS(OA_SQL_2!$K:$K,OA_SQL_2!$B:$B,"DL",OA_SQL_2!$A:$A,RANK!$A10)/SUMIFS(OA_SQL_2!$J:$J,OA_SQL_2!$B:$B,"DL",OA_SQL_2!$A:$A,RANK!$A10))</f>
        <v/>
      </c>
      <c r="D10" s="377">
        <f>(SUMIFS(OA_SQL_2!$K:$K,OA_SQL_2!$B:$B,"AA",OA_SQL_2!$A:$A,RANK!$A10)/SUMIFS(OA_SQL_2!$J:$J,OA_SQL_2!$B:$B,"AA",OA_SQL_2!$A:$A,RANK!$A10))</f>
        <v/>
      </c>
      <c r="E10" s="377" t="n"/>
      <c r="F10" s="51">
        <f>RANK(B10,B10:D10,0)</f>
        <v/>
      </c>
      <c r="H10" s="110" t="inlineStr">
        <is>
          <t>Washington DC</t>
        </is>
      </c>
      <c r="I10" s="352">
        <f>SUMIFS(UA_HUB_SQL_7!P:P,UA_HUB_SQL_7!B:B,RANK!H10)/SUMIFS(UA_HUB_SQL_7!M:M,UA_HUB_SQL_7!B:B,RANK!H10)</f>
        <v/>
      </c>
      <c r="J10" s="377">
        <f>1-(IFERROR(SUMIFS(OA_SQL_2!O:O,OA_SQL_2!A:A,RANK!H10,OA_SQL_2!B:B,"DL")/SUMIFS(OA_SQL_2!N:N,OA_SQL_2!A:A,RANK!H10,OA_SQL_2!B:B,"DL"),"-"))</f>
        <v/>
      </c>
      <c r="K10" s="377">
        <f>1-(IFERROR(SUMIFS(OA_SQL_2!$O:$O,OA_SQL_2!$A:$A,RANK!H10,OA_SQL_2!$B:$B,"AA")/SUMIFS(OA_SQL_2!$N:$N,OA_SQL_2!$A:$A,RANK!H10,OA_SQL_2!$B:$B,"AA"),"-"))</f>
        <v/>
      </c>
      <c r="L10" s="377" t="n"/>
      <c r="M10" s="51">
        <f>RANK(I10,I10:K10,0)</f>
        <v/>
      </c>
      <c r="N10" s="51" t="n"/>
      <c r="O10" s="110" t="inlineStr">
        <is>
          <t>Washington DC</t>
        </is>
      </c>
      <c r="P10" s="352">
        <f>SUMIFS(UA_HUB_SQL_7!$W:$W,UA_HUB_SQL_7!$B:$B,RANK!$O10)/SUMIFS(UA_HUB_SQL_7!$R:$R,UA_HUB_SQL_7!$B:$B,RANK!$O10)</f>
        <v/>
      </c>
      <c r="Q10" s="377">
        <f>SUMIFS(OA_SQL_2!$G:$G,OA_SQL_2!$B:$B,"DL",OA_SQL_2!$A:$A,RANK!$O10)/SUMIFS(OA_SQL_2!$F:$F,OA_SQL_2!$B:$B,"DL",OA_SQL_2!$A:$A,RANK!$O10)</f>
        <v/>
      </c>
      <c r="R10" s="377">
        <f>IFERROR((SUMIFS(OA_SQL_2!$K:$K,OA_SQL_2!$A:$A,RANK!O10,OA_SQL_2!$B:$B,"AA")/SUMIFS(OA_SQL_2!$J:$J,OA_SQL_2!$A:$A,O10,OA_SQL_2!$B:$B,"AA")),"-")</f>
        <v/>
      </c>
      <c r="S10" s="377" t="n"/>
      <c r="T10" s="51">
        <f>RANK(P10,P10:R10,0)</f>
        <v/>
      </c>
    </row>
    <row r="11">
      <c r="A11" s="110" t="inlineStr">
        <is>
          <t>Texas</t>
        </is>
      </c>
      <c r="B11" s="352">
        <f>SUMIFS(UA_HUB_SQL_7!$K:$K,UA_HUB_SQL_7!$B:$B,RANK!$A11)/SUMIFS(UA_HUB_SQL_7!$F:$F,UA_HUB_SQL_7!$B:$B,RANK!$A11)</f>
        <v/>
      </c>
      <c r="C11" s="377">
        <f>IFERROR(SUMIFS(OA_SQL_2!$G:$G,OA_SQL_2!$B:$B,"DL",OA_SQL_2!$A:$A,'Pg2'!$T9)/SUMIFS(OA_SQL_2!$F:$F,OA_SQL_2!$B:$B,"DL",OA_SQL_2!$A:$A,'Pg2'!$T9),"-")</f>
        <v/>
      </c>
      <c r="D11" s="377">
        <f>(SUMIFS(OA_SQL_2!$K:$K,OA_SQL_2!$B:$B,"AA",OA_SQL_2!$A:$A,RANK!$A11)/SUMIFS(OA_SQL_2!$J:$J,OA_SQL_2!$B:$B,"AA",OA_SQL_2!$A:$A,RANK!$A11))</f>
        <v/>
      </c>
      <c r="E11" s="377" t="n"/>
      <c r="F11" s="51">
        <f>RANK(B11,B11:D11,0)</f>
        <v/>
      </c>
      <c r="H11" s="110" t="inlineStr">
        <is>
          <t>Texas</t>
        </is>
      </c>
      <c r="I11" s="352">
        <f>SUMIFS(UA_HUB_SQL_7!P:P,UA_HUB_SQL_7!B:B,RANK!H11)/SUMIFS(UA_HUB_SQL_7!M:M,UA_HUB_SQL_7!B:B,RANK!H11)</f>
        <v/>
      </c>
      <c r="J11" s="377" t="n"/>
      <c r="K11" s="377">
        <f>1-(IFERROR(SUMIFS(OA_SQL_2!$O:$O,OA_SQL_2!$A:$A,RANK!H11,OA_SQL_2!$B:$B,"AA")/SUMIFS(OA_SQL_2!$N:$N,OA_SQL_2!$A:$A,RANK!H11,OA_SQL_2!$B:$B,"AA"),"-"))</f>
        <v/>
      </c>
      <c r="L11" s="377" t="n"/>
      <c r="M11" s="51">
        <f>RANK(I11,I11:K11,0)</f>
        <v/>
      </c>
      <c r="N11" s="51" t="n"/>
      <c r="O11" s="110" t="inlineStr">
        <is>
          <t>Texas</t>
        </is>
      </c>
      <c r="P11" s="352">
        <f>SUMIFS(UA_HUB_SQL_7!$W:$W,UA_HUB_SQL_7!$B:$B,RANK!$O11)/SUMIFS(UA_HUB_SQL_7!$R:$R,UA_HUB_SQL_7!$B:$B,RANK!$O11)</f>
        <v/>
      </c>
      <c r="Q11" s="377" t="n"/>
      <c r="R11" s="377">
        <f>IFERROR((SUMIFS(OA_SQL_2!$K:$K,OA_SQL_2!$A:$A,RANK!O11,OA_SQL_2!$B:$B,"AA")/SUMIFS(OA_SQL_2!$J:$J,OA_SQL_2!$A:$A,O11,OA_SQL_2!$B:$B,"AA")),"-")</f>
        <v/>
      </c>
      <c r="S11" s="377" t="n"/>
      <c r="T11" s="51">
        <f>RANK(P11,P11:R11,0)</f>
        <v/>
      </c>
    </row>
    <row r="12">
      <c r="A12" s="109" t="inlineStr">
        <is>
          <t>Los Angeles</t>
        </is>
      </c>
      <c r="B12" s="352">
        <f>SUMIFS(UA_HUB_SQL_7!$K:$K,UA_HUB_SQL_7!$B:$B,RANK!$A12)/SUMIFS(UA_HUB_SQL_7!$F:$F,UA_HUB_SQL_7!$B:$B,RANK!$A12)</f>
        <v/>
      </c>
      <c r="C12" s="377">
        <f>(SUMIFS(OA_SQL_2!$K:$K,OA_SQL_2!$B:$B,"DL",OA_SQL_2!$A:$A,RANK!$A12)/SUMIFS(OA_SQL_2!$J:$J,OA_SQL_2!$B:$B,"DL",OA_SQL_2!$A:$A,RANK!$A12))</f>
        <v/>
      </c>
      <c r="D12" s="377">
        <f>(SUMIFS(OA_SQL_2!$K:$K,OA_SQL_2!$B:$B,"AA",OA_SQL_2!$A:$A,RANK!$A12)/SUMIFS(OA_SQL_2!$J:$J,OA_SQL_2!$B:$B,"AA",OA_SQL_2!$A:$A,RANK!$A12))</f>
        <v/>
      </c>
      <c r="E12" s="377" t="n"/>
      <c r="F12" s="51">
        <f>RANK(B12,B12:D12,0)</f>
        <v/>
      </c>
      <c r="H12" s="109" t="inlineStr">
        <is>
          <t>Los Angeles</t>
        </is>
      </c>
      <c r="I12" s="352">
        <f>SUMIFS(UA_HUB_SQL_7!P:P,UA_HUB_SQL_7!B:B,RANK!H12)/SUMIFS(UA_HUB_SQL_7!M:M,UA_HUB_SQL_7!B:B,RANK!H12)</f>
        <v/>
      </c>
      <c r="J12" s="377">
        <f>1-(IFERROR(SUMIFS(OA_SQL_2!O:O,OA_SQL_2!A:A,RANK!H12,OA_SQL_2!B:B,"DL")/SUMIFS(OA_SQL_2!N:N,OA_SQL_2!A:A,RANK!H12,OA_SQL_2!B:B,"DL"),"-"))</f>
        <v/>
      </c>
      <c r="K12" s="377">
        <f>IFERROR(SUMIFS(OA_SQL_2!$O:$O,OA_SQL_2!$A:$A,RANK!H12,OA_SQL_2!$B:$B,"AA")/SUMIFS(OA_SQL_2!$N:$N,OA_SQL_2!$A:$A,RANK!H12,OA_SQL_2!$B:$B,"AA"),"-")</f>
        <v/>
      </c>
      <c r="L12" s="377" t="n"/>
      <c r="M12" s="51">
        <f>RANK(I12,I12:K12,0)</f>
        <v/>
      </c>
      <c r="N12" s="51" t="n"/>
      <c r="O12" s="109" t="inlineStr">
        <is>
          <t>Los Angeles</t>
        </is>
      </c>
      <c r="P12" s="352">
        <f>SUMIFS(UA_HUB_SQL_7!$W:$W,UA_HUB_SQL_7!$B:$B,RANK!$O12)/SUMIFS(UA_HUB_SQL_7!$R:$R,UA_HUB_SQL_7!$B:$B,RANK!$O12)</f>
        <v/>
      </c>
      <c r="Q12" s="377">
        <f>SUMIFS(OA_SQL_2!$G:$G,OA_SQL_2!$B:$B,"DL",OA_SQL_2!$A:$A,RANK!$O12)/SUMIFS(OA_SQL_2!$F:$F,OA_SQL_2!$B:$B,"DL",OA_SQL_2!$A:$A,RANK!$O12)</f>
        <v/>
      </c>
      <c r="R12" s="377">
        <f>IFERROR((SUMIFS(OA_SQL_2!$K:$K,OA_SQL_2!$A:$A,RANK!O12,OA_SQL_2!$B:$B,"AA")/SUMIFS(OA_SQL_2!$J:$J,OA_SQL_2!$A:$A,O12,OA_SQL_2!$B:$B,"AA")),"-")</f>
        <v/>
      </c>
      <c r="S12" s="377" t="n"/>
      <c r="T12" s="51">
        <f>RANK(P12,P12:R12,0)</f>
        <v/>
      </c>
    </row>
    <row r="13">
      <c r="A13" s="110" t="inlineStr">
        <is>
          <t>Chicago</t>
        </is>
      </c>
      <c r="B13" s="352">
        <f>SUMIFS(UA_HUB_SQL_7!$K:$K,UA_HUB_SQL_7!$B:$B,RANK!$A13)/SUMIFS(UA_HUB_SQL_7!$F:$F,UA_HUB_SQL_7!$B:$B,RANK!$A13)</f>
        <v/>
      </c>
      <c r="C13" s="377">
        <f>"-"</f>
        <v/>
      </c>
      <c r="D13" s="377">
        <f>(SUMIFS(OA_SQL_2!$K:$K,OA_SQL_2!$B:$B,"AA",OA_SQL_2!$A:$A,RANK!$A13)/SUMIFS(OA_SQL_2!$J:$J,OA_SQL_2!$B:$B,"AA",OA_SQL_2!$A:$A,RANK!$A13))</f>
        <v/>
      </c>
      <c r="E13" s="377" t="n"/>
      <c r="F13" s="51">
        <f>RANK(B13,B13:D13,0)</f>
        <v/>
      </c>
      <c r="H13" s="110" t="inlineStr">
        <is>
          <t>Chicago</t>
        </is>
      </c>
      <c r="I13" s="352">
        <f>SUMIFS(UA_HUB_SQL_7!P:P,UA_HUB_SQL_7!B:B,RANK!H13)/SUMIFS(UA_HUB_SQL_7!M:M,UA_HUB_SQL_7!B:B,RANK!H13)</f>
        <v/>
      </c>
      <c r="J13" s="377" t="n"/>
      <c r="K13" s="377">
        <f>IFERROR(SUMIFS(OA_SQL_2!$O:$O,OA_SQL_2!$A:$A,RANK!H13,OA_SQL_2!$B:$B,"AA")/SUMIFS(OA_SQL_2!$N:$N,OA_SQL_2!$A:$A,RANK!H13,OA_SQL_2!$B:$B,"AA"),"-")</f>
        <v/>
      </c>
      <c r="L13" s="377" t="n"/>
      <c r="M13" s="51">
        <f>RANK(I13,I13:K13,0)</f>
        <v/>
      </c>
      <c r="N13" s="51" t="n"/>
      <c r="O13" s="110" t="inlineStr">
        <is>
          <t>Chicago</t>
        </is>
      </c>
      <c r="P13" s="352">
        <f>SUMIFS(UA_HUB_SQL_7!$W:$W,UA_HUB_SQL_7!$B:$B,RANK!$O13)/SUMIFS(UA_HUB_SQL_7!$R:$R,UA_HUB_SQL_7!$B:$B,RANK!$O13)</f>
        <v/>
      </c>
      <c r="Q13" s="377" t="n"/>
      <c r="R13" s="377">
        <f>IFERROR((SUMIFS(OA_SQL_2!$K:$K,OA_SQL_2!$A:$A,RANK!O13,OA_SQL_2!$B:$B,"AA")/SUMIFS(OA_SQL_2!$J:$J,OA_SQL_2!$A:$A,O13,OA_SQL_2!$B:$B,"AA")),"-")</f>
        <v/>
      </c>
      <c r="S13" s="377" t="n"/>
      <c r="T13" s="51">
        <f>RANK(P13,P13:R13,0)</f>
        <v/>
      </c>
    </row>
    <row r="14">
      <c r="A14" s="109" t="inlineStr">
        <is>
          <t>San Francisco</t>
        </is>
      </c>
      <c r="B14" s="352">
        <f>SUMIFS(UA_HUB_SQL_7!$K:$K,UA_HUB_SQL_7!$B:$B,RANK!$A14)/SUMIFS(UA_HUB_SQL_7!$F:$F,UA_HUB_SQL_7!$B:$B,RANK!$A14)</f>
        <v/>
      </c>
      <c r="C14" s="377">
        <f>"-"</f>
        <v/>
      </c>
      <c r="D14" s="377">
        <f>"-"</f>
        <v/>
      </c>
      <c r="E14" s="377">
        <f>SUMIFS(OA_SQL_2!$K:$K,OA_SQL_2!$B:$B,"AS",OA_SQL_2!$A:$A,RANK!$A14)/SUMIFS(OA_SQL_2!$J:$J,OA_SQL_2!$B:$B,"AS",OA_SQL_2!$A:$A,RANK!$A14)</f>
        <v/>
      </c>
      <c r="F14" s="51">
        <f>RANK(B14,B14:E14,0)</f>
        <v/>
      </c>
      <c r="H14" s="109" t="inlineStr">
        <is>
          <t>San Francisco</t>
        </is>
      </c>
      <c r="I14" s="352">
        <f>SUMIFS(UA_HUB_SQL_7!P:P,UA_HUB_SQL_7!B:B,RANK!H14)/SUMIFS(UA_HUB_SQL_7!M:M,UA_HUB_SQL_7!B:B,RANK!H14)</f>
        <v/>
      </c>
      <c r="J14" s="377" t="n"/>
      <c r="K14" s="377" t="n"/>
      <c r="L14" s="377">
        <f>SUMIFS(OA_SQL_2!O:O,OA_SQL_2!A:A,RANK!H14,OA_SQL_2!B:B,RANK!L7)/SUMIFS(OA_SQL_2!N:N,OA_SQL_2!A:A,RANK!H14,OA_SQL_2!B:B,RANK!L7)</f>
        <v/>
      </c>
      <c r="M14" s="51">
        <f>RANK(I14,I14:L14,0)</f>
        <v/>
      </c>
      <c r="N14" s="51" t="n"/>
      <c r="O14" s="109" t="inlineStr">
        <is>
          <t>San Francisco</t>
        </is>
      </c>
      <c r="P14" s="352">
        <f>SUMIFS(UA_HUB_SQL_7!$W:$W,UA_HUB_SQL_7!$B:$B,RANK!$O14)/SUMIFS(UA_HUB_SQL_7!$R:$R,UA_HUB_SQL_7!$B:$B,RANK!$O14)</f>
        <v/>
      </c>
      <c r="Q14" s="377" t="n"/>
      <c r="R14" s="377" t="n"/>
      <c r="S14" s="377">
        <f>IFERROR(SUMIFS(OA_SQL_2!X:X,OA_SQL_2!N:N,RANK!O14,OA_SQL_2!O:O,RANK!S7)/SUMIFS(OA_SQL_2!W:W,OA_SQL_2!N:N,RANK!O14,OA_SQL_2!O:O,RANK!S7),"-")</f>
        <v/>
      </c>
      <c r="T14" s="51">
        <f>RANK(P14,P14:S14,0)</f>
        <v/>
      </c>
    </row>
    <row r="15">
      <c r="A15" s="109" t="inlineStr">
        <is>
          <t>Line</t>
        </is>
      </c>
      <c r="B15" s="352">
        <f>SUMIFS(UA_HUB_SQL_7!$K:$K,UA_HUB_SQL_7!$B:$B,RANK!$A15)/SUMIFS(UA_HUB_SQL_7!$F:$F,UA_HUB_SQL_7!$B:$B,RANK!$A15)</f>
        <v/>
      </c>
      <c r="C15" s="377">
        <f>(SUMIFS(OA_SQL_2!$K:$K,OA_SQL_2!$B:$B,"DL",OA_SQL_2!$A:$A,RANK!$A15)/SUMIFS(OA_SQL_2!$J:$J,OA_SQL_2!$B:$B,"DL",OA_SQL_2!$A:$A,RANK!$A15))</f>
        <v/>
      </c>
      <c r="D15" s="377">
        <f>(SUMIFS(OA_SQL_2!$K:$K,OA_SQL_2!$B:$B,"AA",OA_SQL_2!$A:$A,RANK!$A15)/SUMIFS(OA_SQL_2!$J:$J,OA_SQL_2!$B:$B,"AA",OA_SQL_2!$A:$A,RANK!$A15))</f>
        <v/>
      </c>
      <c r="E15" s="377">
        <f>SUMIFS(OA_SQL_2!$K:$K,OA_SQL_2!$B:$B,"AS",OA_SQL_2!$A:$A,RANK!$A15)/SUMIFS(OA_SQL_2!$J:$J,OA_SQL_2!$B:$B,"AS",OA_SQL_2!$A:$A,RANK!$A15)</f>
        <v/>
      </c>
      <c r="F15" s="51">
        <f>RANK(B15,B15:E15,0)</f>
        <v/>
      </c>
      <c r="H15" s="109" t="inlineStr">
        <is>
          <t>Line</t>
        </is>
      </c>
      <c r="I15" s="352">
        <f>SUMIFS(UA_HUB_SQL_7!P:P,UA_HUB_SQL_7!B:B,RANK!H15)/SUMIFS(UA_HUB_SQL_7!M:M,UA_HUB_SQL_7!B:B,RANK!H15)</f>
        <v/>
      </c>
      <c r="J15" s="377">
        <f>IFERROR(SUMIFS(OA_SQL_2!O:O,OA_SQL_2!A:A,RANK!H15,OA_SQL_2!B:B,"DL")/SUMIFS(OA_SQL_2!N:N,OA_SQL_2!A:A,RANK!H15,OA_SQL_2!B:B,"DL"),"-")</f>
        <v/>
      </c>
      <c r="K15" s="377">
        <f>IFERROR(SUMIFS(OA_SQL_2!$O:$O,OA_SQL_2!$A:$A,RANK!H15,OA_SQL_2!$B:$B,"AA")/SUMIFS(OA_SQL_2!$N:$N,OA_SQL_2!$A:$A,RANK!H15,OA_SQL_2!$B:$B,"AA"),"-")</f>
        <v/>
      </c>
      <c r="L15" s="377">
        <f>IFERROR(SUMIFS(OA_SQL_2!O:O,OA_SQL_2!A:A,RANK!H15,OA_SQL_2!B:B,RANK!L7)/SUMIFS(OA_SQL_2!N:N,OA_SQL_2!A:A,RANK!H15,OA_SQL_2!B:B,RANK!L7),"-")</f>
        <v/>
      </c>
      <c r="M15" s="51">
        <f>RANK(I15,I15:L15,0)</f>
        <v/>
      </c>
      <c r="N15" s="51" t="n"/>
      <c r="O15" s="109" t="inlineStr">
        <is>
          <t>Line</t>
        </is>
      </c>
      <c r="P15" s="352">
        <f>SUMIFS(UA_HUB_SQL_7!$W:$W,UA_HUB_SQL_7!$B:$B,RANK!$O15)/SUMIFS(UA_HUB_SQL_7!$R:$R,UA_HUB_SQL_7!$B:$B,RANK!$O15)</f>
        <v/>
      </c>
      <c r="Q15" s="377">
        <f>SUMIFS(OA_SQL_2!$G:$G,OA_SQL_2!$B:$B,"DL",OA_SQL_2!$A:$A,RANK!$O15)/SUMIFS(OA_SQL_2!$F:$F,OA_SQL_2!$B:$B,"DL",OA_SQL_2!$A:$A,RANK!$O15)</f>
        <v/>
      </c>
      <c r="R15" s="377">
        <f>IFERROR((SUMIFS(OA_SQL_2!$K:$K,OA_SQL_2!$A:$A,RANK!O15,OA_SQL_2!$B:$B,"AA")/SUMIFS(OA_SQL_2!$J:$J,OA_SQL_2!$A:$A,O15,OA_SQL_2!$B:$B,"AA")),"-")</f>
        <v/>
      </c>
      <c r="S15" s="377">
        <f>IFERROR(SUMIFS(OA_SQL_2!X:X,OA_SQL_2!N:N,RANK!O15,OA_SQL_2!O:O,RANK!S7)/SUMIFS(OA_SQL_2!W:W,OA_SQL_2!N:N,RANK!O15,OA_SQL_2!O:O,RANK!S7),"-")</f>
        <v/>
      </c>
      <c r="T15" s="51">
        <f>RANK(P15,P15:S15,0)</f>
        <v/>
      </c>
    </row>
    <row r="16">
      <c r="A16" s="211" t="inlineStr">
        <is>
          <t>Line Int</t>
        </is>
      </c>
      <c r="B16" s="375">
        <f>SUMIFS(UA_Line!$J:$J,UA_Line!$B:$B,"Line Int")/SUMIFS(UA_Line!$F:$F,UA_Line!$B:$B,"Line Int")</f>
        <v/>
      </c>
      <c r="C16" s="375">
        <f>(SUMIFS(OA_Line!$E:$E,OA_Line!$A:$A,"Line Int",OA_Line!$B:$B,"DL")/SUMIFS(OA_Line!$D:$D,OA_Line!$A:$A,"Line Int",OA_Line!$B:$B,"DL"))</f>
        <v/>
      </c>
      <c r="D16" s="375">
        <f>(SUMIFS(OA_Line!$E:$E,OA_Line!$B:$B,"AA",OA_Line!$A:$A,"Line Int")/SUMIFS(OA_Line!$D:$D,OA_Line!$B:$B,"AA",OA_Line!$A:$A,"Line Int"))</f>
        <v/>
      </c>
      <c r="F16">
        <f>RANK(B16,B16:D16,0)</f>
        <v/>
      </c>
      <c r="I16" s="352" t="n"/>
      <c r="Q16" s="267" t="n"/>
      <c r="R16" s="267" t="n"/>
    </row>
    <row r="17" ht="15" customHeight="1" s="286" thickBot="1">
      <c r="A17" s="211" t="inlineStr">
        <is>
          <t>Line Dom'</t>
        </is>
      </c>
      <c r="B17" s="375">
        <f>SUMIFS(UA_Line!$J:$J,UA_Line!$B:$B,"Line Dom")/SUMIFS(UA_Line!$F:$F,UA_Line!$B:$B,"Line Dom")</f>
        <v/>
      </c>
      <c r="C17" s="375">
        <f>(SUMIFS(OA_Line!$E:$E,OA_Line!$B:$B,"DL",OA_Line!$A:$A,"Line Dom")/SUMIFS(OA_Line!$D:$D,OA_Line!$B:$B,"DL",OA_Line!$A:$A,"Line Dom"))</f>
        <v/>
      </c>
      <c r="D17" s="375">
        <f>(SUMIFS(OA_Line!$E:$E,OA_Line!$B:$B,"AA",OA_Line!$A:$A,"Line Dom")/SUMIFS(OA_Line!$D:$D,OA_Line!$B:$B,"AA",OA_Line!$A:$A,"Line Dom"))</f>
        <v/>
      </c>
      <c r="F17">
        <f>RANK(B17,B17:D17,0)</f>
        <v/>
      </c>
      <c r="I17" s="379" t="n"/>
    </row>
    <row r="18" ht="15" customHeight="1" s="286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13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13" t="inlineStr">
        <is>
          <t>Completion</t>
        </is>
      </c>
    </row>
    <row r="19">
      <c r="A19" s="109" t="inlineStr">
        <is>
          <t>Denver</t>
        </is>
      </c>
      <c r="B19" s="375">
        <f>SUMIFS(UA_HUB_SQL_7!$G:$G,UA_HUB_SQL_7!$B:$B,'Pg2'!$T6)/SUMIFS(UA_HUB_SQL_7!$F:$F,UA_HUB_SQL_7!$B:$B,'Pg2'!$T6)</f>
        <v/>
      </c>
      <c r="C19" s="377" t="n"/>
      <c r="D19" s="377" t="n"/>
      <c r="E19" s="377" t="n"/>
      <c r="F19" s="51" t="n"/>
      <c r="H19" s="109" t="inlineStr">
        <is>
          <t>Denver</t>
        </is>
      </c>
      <c r="I19" s="352">
        <f>SUMIFS(UA_HUB_SQL_7!M:M,UA_HUB_SQL_7!B:B,RANK!H19)/SUMIFS(UA_HUB_SQL_7!L:L,UA_HUB_SQL_7!B:B,RANK!H19)</f>
        <v/>
      </c>
      <c r="J19" s="377">
        <f>IFERROR(SUMIFS(OA_SQL_2!$P:$P,OA_SQL_2!$A:$A,RANK!$H$19,OA_SQL_2!$B:$B,"DL")/SUMIFS(OA_SQL_2!$N:$N,OA_SQL_2!$A:$A,RANK!$H$19,OA_SQL_2!$B:$B,"DL"),"-")</f>
        <v/>
      </c>
      <c r="K19" s="377" t="n"/>
      <c r="L19" s="377" t="n"/>
      <c r="M19" s="51">
        <f>RANK(I19,I19:K19,0)</f>
        <v/>
      </c>
      <c r="N19" s="51" t="n"/>
      <c r="O19" s="109" t="inlineStr">
        <is>
          <t>New York</t>
        </is>
      </c>
      <c r="P19" s="352">
        <f>SUMIFS(UA_HUB_SQL_7!T:T,UA_HUB_SQL_7!O:O,O19)/SUMIFS(UA_HUB_SQL_7!S:S,UA_HUB_SQL_7!O:O,O19)</f>
        <v/>
      </c>
      <c r="Q19" s="377">
        <f>IFERROR(SUMIFS(OA_SQL_2!$L:$L,OA_SQL_2!$A:$A,PAGE_1_old!O19,OA_SQL_2!$B:$B,"DL")/SUMIFS(OA_SQL_2!$J:$J,OA_SQL_2!$A:$A,PAGE_1_old!O19,OA_SQL_2!$B:$B,"DL"),"-")</f>
        <v/>
      </c>
      <c r="R19" s="377">
        <f>IFERROR(SUMIFS(OA_SQL_2!$L:$L,OA_SQL_2!$A:$A,PAGE_1_old!O19,OA_SQL_2!$B:$B,"AA")/SUMIFS(OA_SQL_2!$J:$J,OA_SQL_2!$A:$A,PAGE_1_old!O19,OA_SQL_2!$B:$B,"AA"),"-")</f>
        <v/>
      </c>
      <c r="S19" s="377" t="n"/>
      <c r="T19" s="51">
        <f>RANK(P19,P19:R19,0)</f>
        <v/>
      </c>
    </row>
    <row r="20">
      <c r="A20" s="109" t="inlineStr">
        <is>
          <t>New York</t>
        </is>
      </c>
      <c r="B20" s="375">
        <f>SUMIFS(UA_HUB_SQL_7!$G:$G,UA_HUB_SQL_7!$B:$B,'Pg2'!$T7)/SUMIFS(UA_HUB_SQL_7!$F:$F,UA_HUB_SQL_7!$B:$B,'Pg2'!$T7)</f>
        <v/>
      </c>
      <c r="C20" s="377">
        <f>1-(SUMIFS(OA_SQL_2!$L:$L,OA_SQL_2!$B:$B,"DL",OA_SQL_2!$A:$A,'Pg2'!$T7)/SUMIFS(OA_SQL_2!$J:$J,OA_SQL_2!$B:$B,"DL",OA_SQL_2!$A:$A,'Pg2'!$T7))</f>
        <v/>
      </c>
      <c r="D20" s="377">
        <f>1-(SUMIFS(OA_SQL_2!$L:$L,OA_SQL_2!$B:$B,"AA",OA_SQL_2!$A:$A,'Pg2'!$T7)/SUMIFS(OA_SQL_2!$J:$J,OA_SQL_2!$B:$B,"AA",OA_SQL_2!$A:$A,'Pg2'!$T7))</f>
        <v/>
      </c>
      <c r="E20" s="377" t="n"/>
      <c r="F20" s="51">
        <f>RANK(B20,B20:D20,1)</f>
        <v/>
      </c>
      <c r="H20" s="109" t="inlineStr">
        <is>
          <t>New York</t>
        </is>
      </c>
      <c r="I20" s="352">
        <f>SUMIFS(UA_HUB_SQL_7!M:M,UA_HUB_SQL_7!B:B,RANK!H20)/SUMIFS(UA_HUB_SQL_7!L:L,UA_HUB_SQL_7!B:B,RANK!H20)</f>
        <v/>
      </c>
      <c r="J20" s="377">
        <f>IFERROR(SUMIFS(OA_SQL_2!P:P,OA_SQL_2!A:A,RANK!H20,OA_SQL_2!B:B,"DL")/SUMIFS(OA_SQL_2!N:N,OA_SQL_2!A:A,RANK!H20,OA_SQL_2!B:B,"DL"),"-")</f>
        <v/>
      </c>
      <c r="K20" s="377">
        <f>IFERROR(SUMIFS(OA_SQL_2!P:P,OA_SQL_2!A:A,RANK!H20,OA_SQL_2!B:B,"AA")/SUMIFS(OA_SQL_2!N:N,OA_SQL_2!A:A,RANK!H20,OA_SQL_2!B:B,"AA"),"-")</f>
        <v/>
      </c>
      <c r="L20" s="377" t="n"/>
      <c r="M20" s="51">
        <f>RANK(I20,I20:K20,0)</f>
        <v/>
      </c>
      <c r="N20" s="51" t="n"/>
      <c r="O20" s="109" t="inlineStr">
        <is>
          <t>Washington DC</t>
        </is>
      </c>
      <c r="P20" s="352">
        <f>SUMIFS(UA_HUB_SQL_7!T:T,UA_HUB_SQL_7!O:O,O20)/SUMIFS(UA_HUB_SQL_7!S:S,UA_HUB_SQL_7!O:O,O20)</f>
        <v/>
      </c>
      <c r="Q20" s="377">
        <f>IFERROR(SUMIFS(OA_SQL_2!$L:$L,OA_SQL_2!$A:$A,PAGE_1_old!O20,OA_SQL_2!$B:$B,"DL")/SUMIFS(OA_SQL_2!$J:$J,OA_SQL_2!$A:$A,PAGE_1_old!O20,OA_SQL_2!$B:$B,"DL"),"-")</f>
        <v/>
      </c>
      <c r="R20" s="377">
        <f>IFERROR(SUMIFS(OA_SQL_2!$L:$L,OA_SQL_2!$A:$A,PAGE_1_old!O20,OA_SQL_2!$B:$B,"AA")/SUMIFS(OA_SQL_2!$J:$J,OA_SQL_2!$A:$A,PAGE_1_old!O20,OA_SQL_2!$B:$B,"AA"),"-")</f>
        <v/>
      </c>
      <c r="S20" s="377" t="n"/>
      <c r="T20" s="51">
        <f>RANK(P20,P20:R20,0)</f>
        <v/>
      </c>
    </row>
    <row r="21">
      <c r="A21" s="110" t="inlineStr">
        <is>
          <t>Washington DC</t>
        </is>
      </c>
      <c r="B21" s="375">
        <f>SUMIFS(UA_HUB_SQL_7!$G:$G,UA_HUB_SQL_7!$B:$B,'Pg2'!$T8)/SUMIFS(UA_HUB_SQL_7!$F:$F,UA_HUB_SQL_7!$B:$B,'Pg2'!$T8)</f>
        <v/>
      </c>
      <c r="C21" s="377">
        <f>1-(SUMIFS(OA_SQL_2!$L:$L,OA_SQL_2!$B:$B,"DL",OA_SQL_2!$A:$A,'Pg2'!$T8)/SUMIFS(OA_SQL_2!$J:$J,OA_SQL_2!$B:$B,"DL",OA_SQL_2!$A:$A,'Pg2'!$T8))</f>
        <v/>
      </c>
      <c r="D21" s="377">
        <f>1-(SUMIFS(OA_SQL_2!$L:$L,OA_SQL_2!$B:$B,"AA",OA_SQL_2!$A:$A,'Pg2'!$T8)/SUMIFS(OA_SQL_2!$J:$J,OA_SQL_2!$B:$B,"AA",OA_SQL_2!$A:$A,'Pg2'!$T8))</f>
        <v/>
      </c>
      <c r="E21" s="377" t="n"/>
      <c r="F21" s="51">
        <f>RANK(B21,B21:D21,1)</f>
        <v/>
      </c>
      <c r="H21" s="110" t="inlineStr">
        <is>
          <t>Washington DC</t>
        </is>
      </c>
      <c r="I21" s="352">
        <f>SUMIFS(UA_HUB_SQL_7!M:M,UA_HUB_SQL_7!B:B,RANK!H21)/SUMIFS(UA_HUB_SQL_7!L:L,UA_HUB_SQL_7!B:B,RANK!H21)</f>
        <v/>
      </c>
      <c r="J21" s="377">
        <f>IFERROR(SUMIFS(OA_SQL_2!P:P,OA_SQL_2!A:A,RANK!H21,OA_SQL_2!B:B,"DL")/SUMIFS(OA_SQL_2!N:N,OA_SQL_2!A:A,RANK!H21,OA_SQL_2!B:B,"DL"),"-")</f>
        <v/>
      </c>
      <c r="K21" s="377">
        <f>IFERROR(SUMIFS(OA_SQL_2!P:P,OA_SQL_2!A:A,RANK!H21,OA_SQL_2!B:B,"AA")/SUMIFS(OA_SQL_2!N:N,OA_SQL_2!A:A,RANK!H21,OA_SQL_2!B:B,"AA"),"-")</f>
        <v/>
      </c>
      <c r="L21" s="377" t="n"/>
      <c r="M21" s="51">
        <f>RANK(I21,I21:K21,0)</f>
        <v/>
      </c>
      <c r="N21" s="51" t="n"/>
      <c r="O21" s="110" t="inlineStr">
        <is>
          <t>Texas</t>
        </is>
      </c>
      <c r="P21" s="352">
        <f>SUMIFS(UA_HUB_SQL_7!T:T,UA_HUB_SQL_7!O:O,O21)/SUMIFS(UA_HUB_SQL_7!S:S,UA_HUB_SQL_7!O:O,O21)</f>
        <v/>
      </c>
      <c r="Q21" s="377" t="n"/>
      <c r="R21" s="377">
        <f>IFERROR(SUMIFS(OA_SQL_2!$L:$L,OA_SQL_2!$A:$A,O21,OA_SQL_2!$B:$B,"AA")/SUMIFS(OA_SQL_2!$J:$J,OA_SQL_2!$A:$A,O21,OA_SQL_2!$B:$B,"AA"),"-")</f>
        <v/>
      </c>
      <c r="S21" s="377" t="n"/>
      <c r="T21" s="51">
        <f>RANK(P21,P21:R21,0)</f>
        <v/>
      </c>
    </row>
    <row r="22">
      <c r="A22" s="110" t="inlineStr">
        <is>
          <t>Texas</t>
        </is>
      </c>
      <c r="B22" s="375">
        <f>SUMIFS(UA_HUB_SQL_7!$G:$G,UA_HUB_SQL_7!$B:$B,'Pg2'!$T9)/SUMIFS(UA_HUB_SQL_7!$F:$F,UA_HUB_SQL_7!$B:$B,'Pg2'!$T9)</f>
        <v/>
      </c>
      <c r="C22" s="377" t="inlineStr">
        <is>
          <t>-</t>
        </is>
      </c>
      <c r="D22" s="377">
        <f>1-(SUMIFS(OA_SQL_2!$L:$L,OA_SQL_2!$B:$B,"AA",OA_SQL_2!$A:$A,'Pg2'!$T9)/SUMIFS(OA_SQL_2!$J:$J,OA_SQL_2!$B:$B,"AA",OA_SQL_2!$A:$A,'Pg2'!$T9))</f>
        <v/>
      </c>
      <c r="E22" s="377" t="n"/>
      <c r="F22" s="51">
        <f>RANK(B22,B22:D22,1)</f>
        <v/>
      </c>
      <c r="H22" s="110" t="inlineStr">
        <is>
          <t>Texas</t>
        </is>
      </c>
      <c r="I22" s="352">
        <f>SUMIFS(UA_HUB_SQL_7!M:M,UA_HUB_SQL_7!B:B,RANK!H22)/SUMIFS(UA_HUB_SQL_7!L:L,UA_HUB_SQL_7!B:B,RANK!H22)</f>
        <v/>
      </c>
      <c r="J22" s="377" t="n"/>
      <c r="K22" s="377">
        <f>IFERROR(SUMIFS(OA_SQL_2!P:P,OA_SQL_2!A:A,RANK!H22,OA_SQL_2!B:B,"AA")/SUMIFS(OA_SQL_2!N:N,OA_SQL_2!A:A,RANK!H22,OA_SQL_2!B:B,"AA"),"-")</f>
        <v/>
      </c>
      <c r="L22" s="377" t="n"/>
      <c r="M22" s="51">
        <f>RANK(I22,I22:K22,0)</f>
        <v/>
      </c>
      <c r="N22" s="51" t="n"/>
      <c r="O22" s="110" t="inlineStr">
        <is>
          <t>Los Angeles</t>
        </is>
      </c>
      <c r="P22" s="352">
        <f>SUMIFS(UA_HUB_SQL_7!T:T,UA_HUB_SQL_7!O:O,O22)/SUMIFS(UA_HUB_SQL_7!S:S,UA_HUB_SQL_7!O:O,O22)</f>
        <v/>
      </c>
      <c r="Q22" s="377">
        <f>IFERROR(SUMIFS(OA_SQL_2!$L:$L,OA_SQL_2!$A:$A,PAGE_1_old!O22,OA_SQL_2!$B:$B,"DL")/SUMIFS(OA_SQL_2!$J:$J,OA_SQL_2!$A:$A,PAGE_1_old!O22,OA_SQL_2!$B:$B,"DL"),"-")</f>
        <v/>
      </c>
      <c r="R22" s="377">
        <f>IFERROR(SUMIFS(OA_SQL_2!$L:$L,OA_SQL_2!$A:$A,PAGE_1_old!O22,OA_SQL_2!$B:$B,"AA")/SUMIFS(OA_SQL_2!$J:$J,OA_SQL_2!$A:$A,PAGE_1_old!O22,OA_SQL_2!$B:$B,"AA"),"-")</f>
        <v/>
      </c>
      <c r="S22" s="377" t="n"/>
      <c r="T22" s="51">
        <f>RANK(P22,P22:R22,0)</f>
        <v/>
      </c>
    </row>
    <row r="23">
      <c r="A23" s="109" t="inlineStr">
        <is>
          <t>Los Angeles</t>
        </is>
      </c>
      <c r="B23" s="375">
        <f>SUMIFS(UA_HUB_SQL_7!$G:$G,UA_HUB_SQL_7!$B:$B,'Pg2'!$T10)/SUMIFS(UA_HUB_SQL_7!$F:$F,UA_HUB_SQL_7!$B:$B,'Pg2'!$T10)</f>
        <v/>
      </c>
      <c r="C23" s="377">
        <f>1-(SUMIFS(OA_SQL_2!$L:$L,OA_SQL_2!$B:$B,"DL",OA_SQL_2!$A:$A,'Pg2'!$T10)/SUMIFS(OA_SQL_2!$J:$J,OA_SQL_2!$B:$B,"DL",OA_SQL_2!$A:$A,'Pg2'!$T10))</f>
        <v/>
      </c>
      <c r="D23" s="377">
        <f>1-(SUMIFS(OA_SQL_2!$L:$L,OA_SQL_2!$B:$B,"AA",OA_SQL_2!$A:$A,'Pg2'!$T10)/SUMIFS(OA_SQL_2!$J:$J,OA_SQL_2!$B:$B,"AA",OA_SQL_2!$A:$A,'Pg2'!$T10))</f>
        <v/>
      </c>
      <c r="E23" s="377" t="n"/>
      <c r="F23" s="51">
        <f>RANK(B23,B23:D23,1)</f>
        <v/>
      </c>
      <c r="H23" s="109" t="inlineStr">
        <is>
          <t>Los Angeles</t>
        </is>
      </c>
      <c r="I23" s="352">
        <f>SUMIFS(UA_HUB_SQL_7!M:M,UA_HUB_SQL_7!B:B,RANK!H23)/SUMIFS(UA_HUB_SQL_7!L:L,UA_HUB_SQL_7!B:B,RANK!H23)</f>
        <v/>
      </c>
      <c r="J23" s="377">
        <f>IFERROR(SUMIFS(OA_SQL_2!P:P,OA_SQL_2!A:A,RANK!H23,OA_SQL_2!B:B,"DL")/SUMIFS(OA_SQL_2!N:N,OA_SQL_2!A:A,RANK!H23,OA_SQL_2!B:B,"DL"),"-")</f>
        <v/>
      </c>
      <c r="K23" s="377">
        <f>IFERROR(SUMIFS(OA_SQL_2!P:P,OA_SQL_2!A:A,RANK!H23,OA_SQL_2!B:B,"AA")/SUMIFS(OA_SQL_2!N:N,OA_SQL_2!A:A,RANK!H23,OA_SQL_2!B:B,"AA"),"-")</f>
        <v/>
      </c>
      <c r="L23" s="377" t="n"/>
      <c r="M23" s="51">
        <f>RANK(I23,I23:K23,0)</f>
        <v/>
      </c>
      <c r="N23" s="51" t="n"/>
      <c r="O23" s="109" t="inlineStr">
        <is>
          <t>Chicago</t>
        </is>
      </c>
      <c r="P23" s="352">
        <f>SUMIFS(UA_HUB_SQL_7!T:T,UA_HUB_SQL_7!O:O,O23)/SUMIFS(UA_HUB_SQL_7!S:S,UA_HUB_SQL_7!O:O,O23)</f>
        <v/>
      </c>
      <c r="Q23" s="377" t="n"/>
      <c r="R23" s="377">
        <f>IFERROR(SUMIFS(OA_SQL_2!$L:$L,OA_SQL_2!$A:$A,O23,OA_SQL_2!$B:$B,"AA")/SUMIFS(OA_SQL_2!$J:$J,OA_SQL_2!$A:$A,O23,OA_SQL_2!$B:$B,"AA"),"-")</f>
        <v/>
      </c>
      <c r="S23" s="377" t="n"/>
      <c r="T23" s="51">
        <f>RANK(P23,P23:R23,0)</f>
        <v/>
      </c>
    </row>
    <row r="24">
      <c r="A24" s="110" t="inlineStr">
        <is>
          <t>Chicago</t>
        </is>
      </c>
      <c r="B24" s="375">
        <f>SUMIFS(UA_HUB_SQL_7!$G:$G,UA_HUB_SQL_7!$B:$B,'Pg2'!$T11)/SUMIFS(UA_HUB_SQL_7!$F:$F,UA_HUB_SQL_7!$B:$B,'Pg2'!$T11)</f>
        <v/>
      </c>
      <c r="C24" s="377" t="n"/>
      <c r="D24" s="377">
        <f>1-(SUMIFS(OA_SQL_2!$L:$L,OA_SQL_2!$B:$B,"AA",OA_SQL_2!$A:$A,'Pg2'!$T11)/SUMIFS(OA_SQL_2!$J:$J,OA_SQL_2!$B:$B,"AA",OA_SQL_2!$A:$A,'Pg2'!$T11))</f>
        <v/>
      </c>
      <c r="E24" s="377" t="n"/>
      <c r="F24" s="51">
        <f>RANK(B24,B24:D24,1)</f>
        <v/>
      </c>
      <c r="H24" s="110" t="inlineStr">
        <is>
          <t>Chicago</t>
        </is>
      </c>
      <c r="I24" s="352">
        <f>SUMIFS(UA_HUB_SQL_7!M:M,UA_HUB_SQL_7!B:B,RANK!H24)/SUMIFS(UA_HUB_SQL_7!L:L,UA_HUB_SQL_7!B:B,RANK!H24)</f>
        <v/>
      </c>
      <c r="J24" s="377" t="n"/>
      <c r="K24" s="377">
        <f>IFERROR(SUMIFS(OA_SQL_2!P:P,OA_SQL_2!A:A,RANK!H24,OA_SQL_2!B:B,"AA")/SUMIFS(OA_SQL_2!N:N,OA_SQL_2!A:A,RANK!H24,OA_SQL_2!B:B,"AA"),"-")</f>
        <v/>
      </c>
      <c r="L24" s="377" t="n"/>
      <c r="M24" s="51">
        <f>RANK(I24,I24:K24,0)</f>
        <v/>
      </c>
      <c r="N24" s="51" t="n"/>
      <c r="O24" s="110" t="inlineStr">
        <is>
          <t>San Francisco</t>
        </is>
      </c>
      <c r="P24" s="352">
        <f>SUMIFS(UA_HUB_SQL_7!T:T,UA_HUB_SQL_7!O:O,O24)/SUMIFS(UA_HUB_SQL_7!S:S,UA_HUB_SQL_7!O:O,O24)</f>
        <v/>
      </c>
      <c r="Q24" s="377" t="n"/>
      <c r="R24" s="377" t="n"/>
      <c r="S24" s="377">
        <f>IFERROR(SUMIFS(OA_SQL_2!Y:Y,OA_SQL_2!N:N,RANK!O25,OA_SQL_2!O:O,RANK!S18)/SUMIFS(OA_SQL_2!W:W,OA_SQL_2!N:N,RANK!O25,OA_SQL_2!O:O,RANK!S18),"-")</f>
        <v/>
      </c>
      <c r="T24" s="51">
        <f>RANK(P24,P24:S24,0)</f>
        <v/>
      </c>
    </row>
    <row r="25">
      <c r="A25" s="109" t="inlineStr">
        <is>
          <t>San Francisco</t>
        </is>
      </c>
      <c r="B25" s="375">
        <f>SUMIFS(UA_HUB_SQL_7!$G:$G,UA_HUB_SQL_7!$B:$B,'Pg2'!$T12)/SUMIFS(UA_HUB_SQL_7!$F:$F,UA_HUB_SQL_7!$B:$B,'Pg2'!$T12)</f>
        <v/>
      </c>
      <c r="C25" s="377" t="n"/>
      <c r="D25" s="377" t="n"/>
      <c r="E25" s="377">
        <f>1-(SUMIFS(OA_SQL_2!$L:$L,OA_SQL_2!$B:$B,"AS",OA_SQL_2!$A:$A,'Pg2'!$T12)/SUMIFS(OA_SQL_2!$J:$J,OA_SQL_2!$B:$B,"AS",OA_SQL_2!$A:$A,'Pg2'!$T12))</f>
        <v/>
      </c>
      <c r="F25" s="51">
        <f>RANK(B25,B25:E25,1)</f>
        <v/>
      </c>
      <c r="H25" s="109" t="inlineStr">
        <is>
          <t>San Francisco</t>
        </is>
      </c>
      <c r="I25" s="352">
        <f>SUMIFS(UA_HUB_SQL_7!M:M,UA_HUB_SQL_7!B:B,RANK!H25)/SUMIFS(UA_HUB_SQL_7!L:L,UA_HUB_SQL_7!B:B,RANK!H25)</f>
        <v/>
      </c>
      <c r="J25" s="377" t="n"/>
      <c r="K25" s="377" t="n"/>
      <c r="L25" s="377">
        <f>IFERROR(SUMIFS(OA_SQL_2!P:P,OA_SQL_2!A:A,RANK!H25,OA_SQL_2!B:B,RANK!L18)/SUMIFS(OA_SQL_2!N:N,OA_SQL_2!A:A,RANK!H25,OA_SQL_2!B:B,RANK!L18),"-")</f>
        <v/>
      </c>
      <c r="M25" s="51">
        <f>RANK(I25,I25:L25,0)</f>
        <v/>
      </c>
      <c r="N25" s="51" t="n"/>
      <c r="O25" s="109" t="inlineStr">
        <is>
          <t>Line</t>
        </is>
      </c>
      <c r="P25" s="352">
        <f>SUMIFS(UA_HUB_SQL_7!T:T,UA_HUB_SQL_7!O:O,O25)/SUMIFS(UA_HUB_SQL_7!S:S,UA_HUB_SQL_7!O:O,O25)</f>
        <v/>
      </c>
      <c r="Q25" s="377">
        <f>IFERROR(SUMIFS(OA_SQL_2!$L:$L,OA_SQL_2!$A:$A,O25,OA_SQL_2!$B:$B,"DL")/SUMIFS(OA_SQL_2!$J:$J,OA_SQL_2!$A:$A,O25,OA_SQL_2!$B:$B,"DL"),"-")</f>
        <v/>
      </c>
      <c r="R25" s="377">
        <f>IFERROR(SUMIFS(OA_SQL_2!$L:$L,OA_SQL_2!$A:$A,O25,OA_SQL_2!$B:$B,"AA")/SUMIFS(OA_SQL_2!$J:$J,OA_SQL_2!$A:$A,O25,OA_SQL_2!$B:$B,"AA"),"-")</f>
        <v/>
      </c>
      <c r="S25" s="377">
        <f>IFERROR(SUMIFS(OA_SQL_2!Y:Y,OA_SQL_2!N:N,RANK!O26,OA_SQL_2!O:O,RANK!S18)/SUMIFS(OA_SQL_2!W:W,OA_SQL_2!N:N,RANK!O26,OA_SQL_2!O:O,RANK!S18),"-")</f>
        <v/>
      </c>
      <c r="T25" s="51">
        <f>RANK(P25,P25:S25,0)</f>
        <v/>
      </c>
    </row>
    <row r="26">
      <c r="A26" s="109" t="inlineStr">
        <is>
          <t>Line</t>
        </is>
      </c>
      <c r="B26" s="375">
        <f>SUMIFS(UA_HUB_SQL_7!$G:$G,UA_HUB_SQL_7!$B:$B,'Pg2'!$T13)/SUMIFS(UA_HUB_SQL_7!$F:$F,UA_HUB_SQL_7!$B:$B,'Pg2'!$T13)</f>
        <v/>
      </c>
      <c r="C26" s="377">
        <f>1-(SUMIFS(OA_SQL_2!$L:$L,OA_SQL_2!$B:$B,"DL",OA_SQL_2!$A:$A,'Pg2'!$T13)/SUMIFS(OA_SQL_2!$J:$J,OA_SQL_2!$B:$B,"DL",OA_SQL_2!$A:$A,'Pg2'!$T13))</f>
        <v/>
      </c>
      <c r="D26" s="377">
        <f>1-(SUMIFS(OA_SQL_2!$L:$L,OA_SQL_2!$B:$B,"AA",OA_SQL_2!$A:$A,'Pg2'!$T13)/SUMIFS(OA_SQL_2!$J:$J,OA_SQL_2!$B:$B,"AA",OA_SQL_2!$A:$A,'Pg2'!$T13))</f>
        <v/>
      </c>
      <c r="E26" s="377">
        <f>1-(SUMIFS(OA_SQL_2!$L:$L,OA_SQL_2!$B:$B,"AS",OA_SQL_2!$A:$A,'Pg2'!$T13)/SUMIFS(OA_SQL_2!$J:$J,OA_SQL_2!$B:$B,"AS",OA_SQL_2!$A:$A,'Pg2'!$T13))</f>
        <v/>
      </c>
      <c r="F26" s="51">
        <f>RANK(B26,B26:E26,1)</f>
        <v/>
      </c>
      <c r="H26" s="109" t="inlineStr">
        <is>
          <t>Line</t>
        </is>
      </c>
      <c r="I26" s="352">
        <f>SUMIFS(UA_HUB_SQL_7!M:M,UA_HUB_SQL_7!B:B,RANK!H26)/SUMIFS(UA_HUB_SQL_7!L:L,UA_HUB_SQL_7!B:B,RANK!H26)</f>
        <v/>
      </c>
      <c r="J26" s="377">
        <f>IFERROR(SUMIFS(OA_SQL_2!P:P,OA_SQL_2!A:A,RANK!H26,OA_SQL_2!B:B,"DL")/SUMIFS(OA_SQL_2!N:N,OA_SQL_2!A:A,RANK!H26,OA_SQL_2!B:B,"DL"),"-")</f>
        <v/>
      </c>
      <c r="K26" s="377">
        <f>IFERROR(SUMIFS(OA_SQL_2!P:P,OA_SQL_2!A:A,RANK!H26,OA_SQL_2!B:B,"AA")/SUMIFS(OA_SQL_2!N:N,OA_SQL_2!A:A,RANK!H26,OA_SQL_2!B:B,"AA"),"-")</f>
        <v/>
      </c>
      <c r="L26" s="377">
        <f>IFERROR(SUMIFS(OA_SQL_2!P:P,OA_SQL_2!A:A,RANK!H26,OA_SQL_2!B:B,RANK!L18)/SUMIFS(OA_SQL_2!N:N,OA_SQL_2!A:A,RANK!H26,OA_SQL_2!B:B,RANK!L18),"-")</f>
        <v/>
      </c>
      <c r="M26" s="51">
        <f>RANK(I26,I26:L26,0)</f>
        <v/>
      </c>
      <c r="N26" s="51" t="n"/>
      <c r="O26" s="109" t="inlineStr">
        <is>
          <t>Denver</t>
        </is>
      </c>
      <c r="P26" s="352">
        <f>SUMIFS(UA_HUB_SQL_7!T:T,UA_HUB_SQL_7!O:O,O26)/SUMIFS(UA_HUB_SQL_7!S:S,UA_HUB_SQL_7!O:O,O26)</f>
        <v/>
      </c>
      <c r="Q26" s="377">
        <f>IFERROR(SUMIFS(OA_SQL_2!$L:$L,OA_SQL_2!$A:$A,PAGE_1_old!O18,OA_SQL_2!$B:$B,"DL")/SUMIFS(OA_SQL_2!$J:$J,OA_SQL_2!$A:$A,PAGE_1_old!O18,OA_SQL_2!$B:$B,"DL"),"-")</f>
        <v/>
      </c>
      <c r="R26" s="377" t="n"/>
      <c r="S26" s="377" t="n"/>
      <c r="T26" s="51" t="n"/>
    </row>
    <row r="27">
      <c r="A27" s="211" t="inlineStr">
        <is>
          <t>Line Int</t>
        </is>
      </c>
      <c r="B27" s="375">
        <f>SUMIFS(UA_Line!$G:$G,UA_Line!$B:$B,"Line Int")/SUMIFS(UA_Line!$F:$F,UA_Line!$B:$B,"Line Int")</f>
        <v/>
      </c>
      <c r="C27" s="375">
        <f>1-(SUMIFS(OA_Line!$F:$F,OA_Line!$B:$B,"DL",OA_Line!$A:$A,"Line Int")/SUMIFS(OA_Line!$D:$D,OA_Line!$B:$B,"DL",OA_Line!$A:$A,"Line Int"))</f>
        <v/>
      </c>
      <c r="D27" s="375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211" t="inlineStr">
        <is>
          <t>Line Dom</t>
        </is>
      </c>
      <c r="B28" s="375">
        <f>SUMIFS(UA_Line!$G:$G,UA_Line!$B:$B,"Line Dom")/SUMIFS(UA_Line!$F:$F,UA_Line!$B:$B,"Line Dom")</f>
        <v/>
      </c>
      <c r="C28" s="375">
        <f>1-(SUMIFS(OA_Line!$F:$F,OA_Line!$B:$B,"DL",OA_Line!$A:$A,"Line Dom")/SUMIFS(OA_Line!$D:$D,OA_Line!$B:$B,"DL",OA_Line!$A:$A,"Line Dom"))</f>
        <v/>
      </c>
      <c r="D28" s="375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286" min="11" max="11"/>
  </cols>
  <sheetData>
    <row r="1">
      <c r="A1" s="304" t="inlineStr">
        <is>
          <t>Cancel Detail</t>
        </is>
      </c>
      <c r="B1" s="342" t="n"/>
      <c r="C1" s="342" t="n"/>
      <c r="D1" s="342" t="n"/>
      <c r="E1" s="342" t="n"/>
      <c r="F1" s="342" t="n"/>
      <c r="G1" s="342" t="n"/>
      <c r="H1" s="342" t="n"/>
      <c r="I1" s="342" t="n"/>
      <c r="J1" s="342" t="n"/>
      <c r="K1" s="342" t="n"/>
      <c r="L1" s="342" t="n"/>
      <c r="M1" s="342" t="n"/>
      <c r="N1" s="342" t="n"/>
      <c r="O1" s="34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286" thickBot="1"/>
    <row r="12" ht="15" customHeight="1" s="286" thickBot="1">
      <c r="A12" s="312" t="inlineStr">
        <is>
          <t>Residual Cancel Detail</t>
        </is>
      </c>
      <c r="B12" s="351" t="n"/>
      <c r="C12" s="351" t="n"/>
      <c r="D12" s="351" t="n"/>
      <c r="E12" s="351" t="n"/>
      <c r="F12" s="351" t="n"/>
      <c r="G12" s="351" t="n"/>
      <c r="H12" s="351" t="n"/>
      <c r="I12" s="351" t="n"/>
      <c r="J12" s="351" t="n"/>
      <c r="K12" s="351" t="n"/>
      <c r="L12" s="351" t="n"/>
      <c r="M12" s="351" t="n"/>
      <c r="N12" s="351" t="n"/>
      <c r="O12" s="351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5" t="inlineStr">
        <is>
          <t>Cancel</t>
        </is>
      </c>
      <c r="E24" s="336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286" min="5" max="5"/>
    <col width="12" bestFit="1" customWidth="1" style="286" min="6" max="6"/>
    <col width="12" customWidth="1" style="286" min="7" max="7"/>
  </cols>
  <sheetData>
    <row r="1">
      <c r="A1" t="inlineStr">
        <is>
          <t>CARRIER_CD</t>
        </is>
      </c>
      <c r="B1" s="13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32" t="n">
        <v>0.640361211</v>
      </c>
      <c r="D2" s="132" t="n">
        <v>0.591105185</v>
      </c>
      <c r="E2" s="132" t="n">
        <v>0.953816735</v>
      </c>
      <c r="F2" s="132" t="n">
        <v>0.88</v>
      </c>
      <c r="G2" s="132" t="n">
        <v>0.998104725</v>
      </c>
      <c r="H2" s="56" t="n"/>
      <c r="J2" s="377" t="n"/>
      <c r="K2" s="123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32" t="n">
        <v>0.701467157</v>
      </c>
      <c r="D3" s="132" t="n">
        <v>0.629123147</v>
      </c>
      <c r="E3" s="132" t="n">
        <v>0.961970954</v>
      </c>
      <c r="F3" s="132" t="n">
        <v>0.88</v>
      </c>
      <c r="G3" s="132" t="n">
        <v>0.998356222</v>
      </c>
      <c r="H3" s="56" t="n"/>
      <c r="J3" s="377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133" t="n">
        <v>0.7438822</v>
      </c>
      <c r="D4" s="133" t="n">
        <v>0.673921526</v>
      </c>
      <c r="E4" s="133" t="n">
        <v>0.965605129</v>
      </c>
      <c r="F4" s="132" t="n">
        <v>0.88</v>
      </c>
      <c r="G4" s="132" t="n">
        <v>0.997242356</v>
      </c>
      <c r="H4" s="56" t="n"/>
      <c r="J4" s="377" t="n"/>
      <c r="O4" t="inlineStr">
        <is>
          <t>--STA_CD,</t>
        </is>
      </c>
    </row>
    <row r="5">
      <c r="A5" s="123" t="inlineStr">
        <is>
          <t>Express</t>
        </is>
      </c>
      <c r="B5" s="123" t="n">
        <v>4</v>
      </c>
      <c r="C5" s="124" t="n">
        <v>0.7554999999999999</v>
      </c>
      <c r="D5" s="124" t="n">
        <v>0.6506</v>
      </c>
      <c r="E5" s="124" t="n">
        <v>0.9811</v>
      </c>
      <c r="F5" s="380" t="n">
        <v>0.87039804264</v>
      </c>
      <c r="G5" s="380" t="n">
        <v>0.99831964887</v>
      </c>
      <c r="H5" s="126" t="n"/>
      <c r="J5" s="377" t="n"/>
      <c r="O5" t="inlineStr">
        <is>
          <t>REPORT_MONTH</t>
        </is>
      </c>
    </row>
    <row r="6">
      <c r="A6" s="123" t="inlineStr">
        <is>
          <t>Express</t>
        </is>
      </c>
      <c r="B6" s="123" t="n">
        <v>5</v>
      </c>
      <c r="C6" s="124" t="n">
        <v>0.7365</v>
      </c>
      <c r="D6" s="124" t="n">
        <v>0.6504</v>
      </c>
      <c r="E6" s="124" t="n">
        <v>0.9823</v>
      </c>
      <c r="F6" s="380" t="n">
        <v>0.8605451838899999</v>
      </c>
      <c r="G6" s="380" t="n">
        <v>0.99843060722</v>
      </c>
      <c r="H6" s="126" t="n"/>
      <c r="J6" s="377" t="n"/>
    </row>
    <row r="7">
      <c r="A7" s="123" t="inlineStr">
        <is>
          <t>Express</t>
        </is>
      </c>
      <c r="B7" s="123" t="n">
        <v>6</v>
      </c>
      <c r="C7" s="124" t="n">
        <v>0.7102000000000001</v>
      </c>
      <c r="D7" s="124" t="n">
        <v>0.6098</v>
      </c>
      <c r="E7" s="124" t="n">
        <v>0.9781</v>
      </c>
      <c r="F7" s="380" t="n">
        <v>0.8589654862899999</v>
      </c>
      <c r="G7" s="380" t="n">
        <v>0.99805699895</v>
      </c>
      <c r="H7" s="126" t="n"/>
      <c r="J7" s="377" t="n"/>
    </row>
    <row r="8">
      <c r="A8" s="123" t="inlineStr">
        <is>
          <t>Express</t>
        </is>
      </c>
      <c r="B8" s="123" t="n">
        <v>7</v>
      </c>
      <c r="C8" s="124" t="n">
        <v>0.6998</v>
      </c>
      <c r="D8" s="124" t="n">
        <v>0.6216</v>
      </c>
      <c r="E8" s="124" t="n">
        <v>0.9702</v>
      </c>
      <c r="F8" s="380" t="n">
        <v>0.8582418312900001</v>
      </c>
      <c r="G8" s="380" t="n">
        <v>0.99735776297</v>
      </c>
      <c r="H8" s="126" t="n"/>
      <c r="J8" s="377" t="n"/>
      <c r="O8" t="inlineStr">
        <is>
          <t>,GT_D0_GL/100</t>
        </is>
      </c>
    </row>
    <row r="9">
      <c r="A9" s="123" t="inlineStr">
        <is>
          <t>Express</t>
        </is>
      </c>
      <c r="B9" s="123" t="n">
        <v>8</v>
      </c>
      <c r="C9" s="124" t="n">
        <v>0.6768</v>
      </c>
      <c r="D9" s="124" t="n">
        <v>0.6037</v>
      </c>
      <c r="E9" s="124" t="n">
        <v>0.9749</v>
      </c>
      <c r="F9" s="380" t="n">
        <v>0.86700285557</v>
      </c>
      <c r="G9" s="380" t="n">
        <v>0.99777271282</v>
      </c>
      <c r="H9" s="126" t="n"/>
      <c r="J9" s="377" t="n"/>
      <c r="O9" t="inlineStr">
        <is>
          <t>,A0_GL/100</t>
        </is>
      </c>
    </row>
    <row r="10">
      <c r="A10" s="123" t="inlineStr">
        <is>
          <t>Express</t>
        </is>
      </c>
      <c r="B10" s="123" t="n">
        <v>9</v>
      </c>
      <c r="C10" s="124" t="n">
        <v>0.7631</v>
      </c>
      <c r="D10" s="124" t="n">
        <v>0.6612</v>
      </c>
      <c r="E10" s="124" t="n">
        <v>0.9862</v>
      </c>
      <c r="F10" s="380" t="n">
        <v>0.91544995185</v>
      </c>
      <c r="G10" s="127" t="n">
        <v>0.99877524597</v>
      </c>
      <c r="H10" s="126" t="n"/>
      <c r="J10" s="377" t="n"/>
      <c r="O10" t="inlineStr">
        <is>
          <t>,CF_GL/100</t>
        </is>
      </c>
    </row>
    <row r="11">
      <c r="A11" s="123" t="inlineStr">
        <is>
          <t>Express</t>
        </is>
      </c>
      <c r="B11" s="123" t="n">
        <v>10</v>
      </c>
      <c r="C11" s="124" t="n">
        <v>0.7735</v>
      </c>
      <c r="D11" s="124" t="n">
        <v>0.6594</v>
      </c>
      <c r="E11" s="124" t="n">
        <v>0.9887</v>
      </c>
      <c r="F11" s="380" t="n">
        <v>0.9223559296099999</v>
      </c>
      <c r="G11" s="380" t="n">
        <v>0.99899838599</v>
      </c>
      <c r="H11" s="126" t="n"/>
      <c r="J11" s="377" t="n"/>
      <c r="O11" t="inlineStr">
        <is>
          <t>,GT_STAR0_GL/100</t>
        </is>
      </c>
    </row>
    <row r="12">
      <c r="A12" s="123" t="inlineStr">
        <is>
          <t>Express</t>
        </is>
      </c>
      <c r="B12" s="123" t="n">
        <v>11</v>
      </c>
      <c r="C12" s="124" t="n">
        <v>0.7694</v>
      </c>
      <c r="D12" s="124" t="n">
        <v>0.6562</v>
      </c>
      <c r="E12" s="124" t="n">
        <v>0.9921</v>
      </c>
      <c r="F12" s="380" t="n">
        <v>0.8702102198</v>
      </c>
      <c r="G12" s="380" t="n">
        <v>0.99929796031</v>
      </c>
      <c r="H12" s="126" t="n"/>
      <c r="J12" s="377" t="n"/>
      <c r="O12" t="inlineStr">
        <is>
          <t>,CCF_GL/100</t>
        </is>
      </c>
    </row>
    <row r="13">
      <c r="A13" s="123" t="inlineStr">
        <is>
          <t>Express</t>
        </is>
      </c>
      <c r="B13" s="123" t="n">
        <v>12</v>
      </c>
      <c r="C13" s="124" t="n">
        <v>0.6422</v>
      </c>
      <c r="D13" s="124" t="n">
        <v>0.5766</v>
      </c>
      <c r="E13" s="124" t="n">
        <v>0.9701</v>
      </c>
      <c r="F13" s="380" t="n">
        <v>0.7736160581599999</v>
      </c>
      <c r="G13" s="380" t="n">
        <v>0.99734315588</v>
      </c>
      <c r="H13" s="126" t="n"/>
      <c r="J13" s="377" t="n"/>
    </row>
    <row r="14">
      <c r="C14" s="55" t="n"/>
      <c r="D14" s="55" t="n"/>
      <c r="E14" s="55" t="n"/>
      <c r="F14" s="55" t="n"/>
      <c r="G14" s="55" t="n"/>
      <c r="O14" t="inlineStr">
        <is>
          <t xml:space="preserve"> FROM  CO_PROD_VMDB.OPFL_GOAL_OA r</t>
        </is>
      </c>
    </row>
    <row r="15">
      <c r="C15" s="377" t="n"/>
      <c r="D15" s="377" t="n"/>
      <c r="E15" s="132" t="n"/>
      <c r="F15" s="377" t="n"/>
      <c r="G15" s="132" t="n"/>
    </row>
    <row r="16">
      <c r="B16" s="133" t="n"/>
      <c r="C16" s="377" t="n"/>
      <c r="D16" s="377" t="n"/>
      <c r="E16" s="132" t="n"/>
      <c r="F16" s="377" t="n"/>
      <c r="G16" s="132" t="n"/>
      <c r="O16" t="inlineStr">
        <is>
          <t xml:space="preserve"> </t>
        </is>
      </c>
    </row>
    <row r="17">
      <c r="B17" s="133" t="n"/>
      <c r="O17" t="inlineStr">
        <is>
          <t xml:space="preserve"> </t>
        </is>
      </c>
    </row>
    <row r="18">
      <c r="B18" s="13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286" min="1" max="1"/>
    <col width="15.26953125" bestFit="1" customWidth="1" style="286" min="2" max="2"/>
    <col width="10" bestFit="1" customWidth="1" style="286" min="3" max="3"/>
    <col width="15.453125" bestFit="1" customWidth="1" style="286" min="4" max="4"/>
    <col width="21.1796875" customWidth="1" style="286" min="5" max="5"/>
    <col width="20.26953125" customWidth="1" style="286" min="6" max="6"/>
    <col width="7.81640625" bestFit="1" customWidth="1" style="286" min="8" max="8"/>
    <col width="20" bestFit="1" customWidth="1" style="286" min="9" max="9"/>
    <col width="20.7265625" bestFit="1" customWidth="1" style="286" min="10" max="10"/>
    <col width="20" bestFit="1" customWidth="1" style="286" min="12" max="12"/>
    <col width="20.7265625" bestFit="1" customWidth="1" style="286" min="13" max="13"/>
    <col width="25.81640625" customWidth="1" style="286" min="14" max="14"/>
    <col width="24.453125" customWidth="1" style="286" min="15" max="15"/>
    <col width="26.54296875" bestFit="1" customWidth="1" style="286" min="21" max="21"/>
    <col width="27.26953125" bestFit="1" customWidth="1" style="286" min="22" max="22"/>
    <col width="27" customWidth="1" style="286" min="23" max="23"/>
    <col width="24.1796875" bestFit="1" customWidth="1" style="286" min="24" max="24"/>
    <col width="22.54296875" customWidth="1" style="286" min="28" max="28"/>
    <col width="14.453125" customWidth="1" style="286" min="30" max="30"/>
    <col width="15.81640625" customWidth="1" style="286" min="31" max="31"/>
    <col width="14.81640625" customWidth="1" style="286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9835</v>
      </c>
      <c r="F2" t="n">
        <v>93</v>
      </c>
      <c r="G2" t="n">
        <v>7286</v>
      </c>
      <c r="H2" t="n">
        <v>7555</v>
      </c>
      <c r="I2" t="n">
        <v>6535</v>
      </c>
      <c r="J2" t="n">
        <v>7983</v>
      </c>
      <c r="K2" t="n">
        <v>1599</v>
      </c>
      <c r="L2" t="n">
        <v>1411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1973</v>
      </c>
      <c r="X2" t="n">
        <v>1960</v>
      </c>
      <c r="Y2" t="n">
        <v>1492</v>
      </c>
      <c r="Z2" t="n">
        <v>1539</v>
      </c>
      <c r="AA2" t="n">
        <v>1321</v>
      </c>
      <c r="AB2" t="n">
        <v>1321</v>
      </c>
      <c r="AC2" t="n">
        <v>9835</v>
      </c>
      <c r="AD2" t="n">
        <v>9832</v>
      </c>
      <c r="AE2" t="n">
        <v>0</v>
      </c>
      <c r="AF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23">
    <outlinePr summaryBelow="1" summaryRight="1"/>
    <pageSetUpPr/>
  </sheetPr>
  <dimension ref="A1:V2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11862</v>
      </c>
      <c r="F2" t="n">
        <v>95</v>
      </c>
      <c r="G2" t="n">
        <v>8556</v>
      </c>
      <c r="H2" t="n">
        <v>8881</v>
      </c>
      <c r="I2" t="n">
        <v>7648</v>
      </c>
      <c r="J2" t="n">
        <v>9396</v>
      </c>
      <c r="K2" t="n">
        <v>1599</v>
      </c>
      <c r="L2" t="n">
        <v>1411</v>
      </c>
      <c r="M2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4">
    <outlinePr summaryBelow="1" summaryRight="1"/>
    <pageSetUpPr/>
  </sheetPr>
  <dimension ref="A1:W2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t="n">
        <v>2019</v>
      </c>
      <c r="C2" t="n">
        <v>11</v>
      </c>
      <c r="D2" t="inlineStr">
        <is>
          <t>Express</t>
        </is>
      </c>
      <c r="E2" t="n">
        <v>82782</v>
      </c>
      <c r="F2" t="n">
        <v>1789</v>
      </c>
      <c r="G2" t="n">
        <v>60156</v>
      </c>
      <c r="H2" t="n">
        <v>60557</v>
      </c>
      <c r="I2" t="n">
        <v>55299</v>
      </c>
      <c r="J2" t="n">
        <v>65688</v>
      </c>
      <c r="K2" t="n">
        <v>13712</v>
      </c>
      <c r="L2" t="n">
        <v>11767</v>
      </c>
      <c r="M2" t="n">
        <v>173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6">
    <outlinePr summaryBelow="1" summaryRight="1"/>
    <pageSetUpPr/>
  </sheetPr>
  <dimension ref="A1:S3"/>
  <sheetViews>
    <sheetView workbookViewId="0">
      <selection activeCell="Q2" sqref="Q2"/>
    </sheetView>
  </sheetViews>
  <sheetFormatPr baseColWidth="8" defaultRowHeight="14.5"/>
  <cols>
    <col width="8.7265625" bestFit="1" customWidth="1" style="286" min="2" max="2"/>
    <col width="12.453125" bestFit="1" customWidth="1" style="286" min="3" max="3"/>
    <col width="9.26953125" bestFit="1" customWidth="1" style="286" min="4" max="4"/>
    <col width="15.453125" bestFit="1" customWidth="1" style="286" min="5" max="5"/>
    <col width="10.26953125" bestFit="1" customWidth="1" style="286" min="6" max="6"/>
    <col width="16.1796875" bestFit="1" customWidth="1" style="286" min="7" max="7"/>
    <col width="10.26953125" bestFit="1" customWidth="1" style="286" min="8" max="8"/>
    <col width="20" bestFit="1" customWidth="1" style="286" min="9" max="9"/>
    <col width="14.81640625" bestFit="1" customWidth="1" style="286" min="10" max="10"/>
    <col width="20.7265625" bestFit="1" customWidth="1" style="286" min="11" max="11"/>
    <col width="14.7265625" bestFit="1" customWidth="1" style="286" min="12" max="12"/>
    <col width="26.54296875" bestFit="1" customWidth="1" style="286" min="13" max="13"/>
    <col width="21.453125" bestFit="1" customWidth="1" style="286" min="14" max="14"/>
    <col width="27.26953125" bestFit="1" customWidth="1" style="286" min="15" max="15"/>
    <col width="13.1796875" customWidth="1" style="286" min="16" max="16"/>
    <col width="17" customWidth="1" style="286" min="17" max="17"/>
    <col width="16.7265625" customWidth="1" style="286" min="19" max="19"/>
  </cols>
  <sheetData>
    <row r="1" ht="15" customHeight="1" s="286" thickBot="1">
      <c r="A1" s="195" t="inlineStr">
        <is>
          <t>carrier</t>
        </is>
      </c>
      <c r="B1" s="195" t="inlineStr">
        <is>
          <t>report_yr</t>
        </is>
      </c>
      <c r="C1" s="195" t="inlineStr">
        <is>
          <t>report_month</t>
        </is>
      </c>
      <c r="D1" s="195" t="inlineStr">
        <is>
          <t>ml_ex_ind</t>
        </is>
      </c>
      <c r="E1" s="195" t="inlineStr">
        <is>
          <t>Scheduled_Flights</t>
        </is>
      </c>
      <c r="F1" s="195" t="inlineStr">
        <is>
          <t>D00_Flights</t>
        </is>
      </c>
      <c r="G1" s="195" t="inlineStr">
        <is>
          <t>Completed_Flights</t>
        </is>
      </c>
      <c r="H1" s="195" t="inlineStr">
        <is>
          <t>A00_Flights</t>
        </is>
      </c>
      <c r="I1" s="195" t="inlineStr">
        <is>
          <t>A14_Flights</t>
        </is>
      </c>
      <c r="J1" s="195" t="inlineStr">
        <is>
          <t>Yest_Scheduled_Flights</t>
        </is>
      </c>
      <c r="K1" s="195" t="inlineStr">
        <is>
          <t>Yest_D00_Flights</t>
        </is>
      </c>
      <c r="L1" s="195" t="inlineStr">
        <is>
          <t>Yest_Completed_Flights</t>
        </is>
      </c>
      <c r="M1" s="195" t="inlineStr">
        <is>
          <t>Yest_A00_Flights</t>
        </is>
      </c>
      <c r="N1" s="195" t="inlineStr">
        <is>
          <t>Yest_A14_Flights</t>
        </is>
      </c>
      <c r="O1" s="195" t="inlineStr">
        <is>
          <t>DateMinus2_Scheduled_Flights</t>
        </is>
      </c>
      <c r="P1" s="195" t="inlineStr">
        <is>
          <t>DateMinus2_D00_Flights</t>
        </is>
      </c>
      <c r="Q1" s="195" t="inlineStr">
        <is>
          <t>DateMinus2_Completed_Flights</t>
        </is>
      </c>
      <c r="R1" s="195" t="inlineStr">
        <is>
          <t>DateMinus2_A00_Flights</t>
        </is>
      </c>
      <c r="S1" s="195" t="inlineStr">
        <is>
          <t>DateMinus2_A14_Flights</t>
        </is>
      </c>
    </row>
    <row r="2" ht="15" customHeight="1" s="286" thickBot="1">
      <c r="A2" t="inlineStr">
        <is>
          <t>AA</t>
        </is>
      </c>
      <c r="B2" t="inlineStr">
        <is>
          <t>2025</t>
        </is>
      </c>
      <c r="C2" t="n">
        <v>11</v>
      </c>
      <c r="D2" t="inlineStr">
        <is>
          <t>Express</t>
        </is>
      </c>
      <c r="E2" t="n">
        <v>17284</v>
      </c>
      <c r="F2" t="n">
        <v>12865</v>
      </c>
      <c r="G2" t="n">
        <v>17163</v>
      </c>
      <c r="H2" t="n">
        <v>12001</v>
      </c>
      <c r="I2" t="n">
        <v>14115</v>
      </c>
      <c r="J2" t="n">
        <v>3118</v>
      </c>
      <c r="K2" t="n">
        <v>2054</v>
      </c>
      <c r="L2" t="n">
        <v>3089</v>
      </c>
      <c r="M2" t="n">
        <v>1849</v>
      </c>
      <c r="N2" t="n">
        <v>2274</v>
      </c>
      <c r="O2" t="n">
        <v>2827</v>
      </c>
      <c r="P2" t="n">
        <v>2231</v>
      </c>
      <c r="Q2" t="n">
        <v>2790</v>
      </c>
      <c r="R2" t="n">
        <v>2119</v>
      </c>
      <c r="S2" t="n">
        <v>2410</v>
      </c>
    </row>
    <row r="3" ht="15" customHeight="1" s="286" thickBot="1">
      <c r="A3" t="inlineStr">
        <is>
          <t>DL</t>
        </is>
      </c>
      <c r="B3" t="inlineStr">
        <is>
          <t>2025</t>
        </is>
      </c>
      <c r="C3" t="n">
        <v>11</v>
      </c>
      <c r="D3" t="inlineStr">
        <is>
          <t>Express</t>
        </is>
      </c>
      <c r="E3" t="n">
        <v>9839</v>
      </c>
      <c r="F3" t="n">
        <v>7586</v>
      </c>
      <c r="G3" t="n">
        <v>9815</v>
      </c>
      <c r="H3" t="n">
        <v>7087</v>
      </c>
      <c r="I3" t="n">
        <v>8149</v>
      </c>
      <c r="J3" t="n">
        <v>1719</v>
      </c>
      <c r="K3" t="n">
        <v>1208</v>
      </c>
      <c r="L3" t="n">
        <v>1702</v>
      </c>
      <c r="M3" t="n">
        <v>1074</v>
      </c>
      <c r="N3" t="n">
        <v>1276</v>
      </c>
      <c r="O3" t="n">
        <v>1699</v>
      </c>
      <c r="P3" t="n">
        <v>1372</v>
      </c>
      <c r="Q3" t="n">
        <v>1698</v>
      </c>
      <c r="R3" t="n">
        <v>1303</v>
      </c>
      <c r="S3" t="n">
        <v>1491</v>
      </c>
    </row>
    <row r="7" ht="15" customHeight="1" s="286" thickBot="1"/>
    <row r="8" ht="15" customHeight="1" s="286" thickBot="1"/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F1"/>
  <sheetViews>
    <sheetView workbookViewId="0">
      <selection activeCell="E5" sqref="E5"/>
    </sheetView>
  </sheetViews>
  <sheetFormatPr baseColWidth="8" defaultRowHeight="14.5"/>
  <cols>
    <col width="9.54296875" bestFit="1" customWidth="1" style="286" min="2" max="2"/>
    <col width="30.7265625" bestFit="1" customWidth="1" style="286" min="4" max="4"/>
    <col width="15.453125" bestFit="1" customWidth="1" style="286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A1:F6"/>
  <sheetViews>
    <sheetView workbookViewId="0">
      <selection activeCell="E8" sqref="E8"/>
    </sheetView>
  </sheetViews>
  <sheetFormatPr baseColWidth="8" defaultRowHeight="14.5"/>
  <cols>
    <col width="9.54296875" bestFit="1" customWidth="1" style="286" min="2" max="2"/>
    <col width="30.7265625" bestFit="1" customWidth="1" style="286" min="4" max="4"/>
    <col width="15.453125" bestFit="1" customWidth="1" style="286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t="inlineStr">
        <is>
          <t>2025-11-07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68</v>
      </c>
    </row>
    <row r="3">
      <c r="A3" t="inlineStr">
        <is>
          <t>C5</t>
        </is>
      </c>
      <c r="B3" t="inlineStr">
        <is>
          <t>2025-11-07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14</v>
      </c>
    </row>
    <row r="4">
      <c r="A4" t="inlineStr">
        <is>
          <t>YX</t>
        </is>
      </c>
      <c r="B4" t="inlineStr">
        <is>
          <t>2025-11-07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22</v>
      </c>
    </row>
    <row r="5">
      <c r="A5" t="inlineStr">
        <is>
          <t>G7</t>
        </is>
      </c>
      <c r="B5" t="inlineStr">
        <is>
          <t>2025-11-07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18</v>
      </c>
    </row>
    <row r="6">
      <c r="A6" t="inlineStr">
        <is>
          <t>YV</t>
        </is>
      </c>
      <c r="B6" t="inlineStr">
        <is>
          <t>2025-11-07</t>
        </is>
      </c>
      <c r="C6" t="inlineStr">
        <is>
          <t>C</t>
        </is>
      </c>
      <c r="D6" t="inlineStr">
        <is>
          <t>WEATHER/ATC</t>
        </is>
      </c>
      <c r="E6" t="inlineStr">
        <is>
          <t>None</t>
        </is>
      </c>
      <c r="F6" t="n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A1:E1"/>
  <sheetViews>
    <sheetView workbookViewId="0">
      <selection activeCell="A2" sqref="A2:A7"/>
    </sheetView>
  </sheetViews>
  <sheetFormatPr baseColWidth="8" defaultRowHeight="14.5"/>
  <cols>
    <col width="12.26953125" bestFit="1" customWidth="1" style="286" min="1" max="1"/>
    <col width="12.7265625" bestFit="1" customWidth="1" style="286" min="2" max="2"/>
    <col width="15.26953125" bestFit="1" customWidth="1" style="286" min="3" max="3"/>
    <col width="10" bestFit="1" customWidth="1" style="286" min="4" max="4"/>
    <col width="15.453125" bestFit="1" customWidth="1" style="286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14</v>
      </c>
    </row>
    <row r="3">
      <c r="A3" t="inlineStr">
        <is>
          <t>L7D</t>
        </is>
      </c>
      <c r="B3" t="n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286" min="1" max="1"/>
    <col width="11.7265625" bestFit="1" customWidth="1" style="286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</v>
      </c>
    </row>
    <row r="3">
      <c r="A3" t="inlineStr">
        <is>
          <t>MTD</t>
        </is>
      </c>
      <c r="B3" t="n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2">
    <outlinePr summaryBelow="1" summaryRight="1"/>
    <pageSetUpPr/>
  </sheetPr>
  <dimension ref="A1:Y12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286" min="2" max="2"/>
    <col width="20.54296875" customWidth="1" style="286" min="6" max="6"/>
    <col width="22.81640625" customWidth="1" style="286" min="7" max="7"/>
    <col width="16.54296875" customWidth="1" style="286" min="9" max="9"/>
    <col width="15" customWidth="1" style="286" min="10" max="10"/>
    <col width="12" customWidth="1" style="286" min="11" max="11"/>
    <col width="19.1796875" bestFit="1" customWidth="1" style="286" min="12" max="12"/>
    <col width="19" bestFit="1" customWidth="1" style="286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381" t="n">
        <v>45968.37462177307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</v>
      </c>
      <c r="M2" t="n">
        <v>0</v>
      </c>
      <c r="N2" t="n">
        <v>19</v>
      </c>
      <c r="O2" t="n">
        <v>27</v>
      </c>
      <c r="P2" t="n">
        <v>25</v>
      </c>
      <c r="Q2" t="n">
        <v>26</v>
      </c>
      <c r="R2" t="n">
        <v>153</v>
      </c>
      <c r="S2" t="n">
        <v>0</v>
      </c>
      <c r="T2" t="n">
        <v>98</v>
      </c>
      <c r="U2" t="n">
        <v>127</v>
      </c>
      <c r="V2" t="n">
        <v>122</v>
      </c>
      <c r="W2" t="n">
        <v>124</v>
      </c>
      <c r="X2" t="n">
        <v>0</v>
      </c>
      <c r="Y2" t="n">
        <v>153</v>
      </c>
    </row>
    <row r="3">
      <c r="A3" s="381" t="n">
        <v>45968.37462177307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194</v>
      </c>
      <c r="M3" t="n">
        <v>0</v>
      </c>
      <c r="N3" t="n">
        <v>144</v>
      </c>
      <c r="O3" t="n">
        <v>173</v>
      </c>
      <c r="P3" t="n">
        <v>166</v>
      </c>
      <c r="Q3" t="n">
        <v>175</v>
      </c>
      <c r="R3" t="n">
        <v>970</v>
      </c>
      <c r="S3" t="n">
        <v>0</v>
      </c>
      <c r="T3" t="n">
        <v>769</v>
      </c>
      <c r="U3" t="n">
        <v>899</v>
      </c>
      <c r="V3" t="n">
        <v>809</v>
      </c>
      <c r="W3" t="n">
        <v>850</v>
      </c>
      <c r="X3" t="n">
        <v>0</v>
      </c>
      <c r="Y3" t="n">
        <v>970</v>
      </c>
    </row>
    <row r="4">
      <c r="A4" s="381" t="n">
        <v>45968.37462177307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1</v>
      </c>
      <c r="O4" t="n">
        <v>5</v>
      </c>
      <c r="P4" t="n">
        <v>5</v>
      </c>
      <c r="Q4" t="n">
        <v>5</v>
      </c>
      <c r="R4" t="n">
        <v>63</v>
      </c>
      <c r="S4" t="n">
        <v>4</v>
      </c>
      <c r="T4" t="n">
        <v>14</v>
      </c>
      <c r="U4" t="n">
        <v>25</v>
      </c>
      <c r="V4" t="n">
        <v>26</v>
      </c>
      <c r="W4" t="n">
        <v>26</v>
      </c>
      <c r="X4" t="n">
        <v>0</v>
      </c>
      <c r="Y4" t="n">
        <v>63</v>
      </c>
    </row>
    <row r="5">
      <c r="A5" s="381" t="n">
        <v>45968.37462177307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0</v>
      </c>
      <c r="T5" t="n">
        <v>2</v>
      </c>
      <c r="U5" t="n">
        <v>2</v>
      </c>
      <c r="V5" t="n">
        <v>2</v>
      </c>
      <c r="W5" t="n">
        <v>2</v>
      </c>
      <c r="X5" t="n">
        <v>0</v>
      </c>
      <c r="Y5" t="n">
        <v>2</v>
      </c>
    </row>
    <row r="6">
      <c r="A6" s="381" t="n">
        <v>45968.37462177307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</v>
      </c>
      <c r="M6" t="n">
        <v>2</v>
      </c>
      <c r="N6" t="n">
        <v>2</v>
      </c>
      <c r="O6" t="n">
        <v>8</v>
      </c>
      <c r="P6" t="n">
        <v>17</v>
      </c>
      <c r="Q6" t="n">
        <v>18</v>
      </c>
      <c r="R6" t="n">
        <v>310</v>
      </c>
      <c r="S6" t="n">
        <v>2</v>
      </c>
      <c r="T6" t="n">
        <v>144</v>
      </c>
      <c r="U6" t="n">
        <v>192</v>
      </c>
      <c r="V6" t="n">
        <v>177</v>
      </c>
      <c r="W6" t="n">
        <v>190</v>
      </c>
      <c r="X6" t="n">
        <v>0</v>
      </c>
      <c r="Y6" t="n">
        <v>311</v>
      </c>
    </row>
    <row r="7">
      <c r="A7" s="381" t="n">
        <v>45968.37462177307</v>
      </c>
      <c r="B7" t="inlineStr">
        <is>
          <t>New York</t>
        </is>
      </c>
      <c r="C7" t="inlineStr">
        <is>
          <t>EWR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107</v>
      </c>
      <c r="M7" t="n">
        <v>0</v>
      </c>
      <c r="N7" t="n">
        <v>54</v>
      </c>
      <c r="O7" t="n">
        <v>69</v>
      </c>
      <c r="P7" t="n">
        <v>72</v>
      </c>
      <c r="Q7" t="n">
        <v>74</v>
      </c>
      <c r="R7" t="n">
        <v>506</v>
      </c>
      <c r="S7" t="n">
        <v>37</v>
      </c>
      <c r="T7" t="n">
        <v>251</v>
      </c>
      <c r="U7" t="n">
        <v>305</v>
      </c>
      <c r="V7" t="n">
        <v>306</v>
      </c>
      <c r="W7" t="n">
        <v>316</v>
      </c>
      <c r="X7" t="n">
        <v>0</v>
      </c>
      <c r="Y7" t="n">
        <v>505</v>
      </c>
    </row>
    <row r="8">
      <c r="A8" s="381" t="n">
        <v>45968.37462177307</v>
      </c>
      <c r="B8" t="inlineStr">
        <is>
          <t>Texas</t>
        </is>
      </c>
      <c r="C8" t="inlineStr">
        <is>
          <t>IAH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  <c r="N8" t="n">
        <v>168</v>
      </c>
      <c r="O8" t="n">
        <v>187</v>
      </c>
      <c r="P8" t="n">
        <v>174</v>
      </c>
      <c r="Q8" t="n">
        <v>180</v>
      </c>
      <c r="R8" t="n">
        <v>1018</v>
      </c>
      <c r="S8" t="n">
        <v>2</v>
      </c>
      <c r="T8" t="n">
        <v>746</v>
      </c>
      <c r="U8" t="n">
        <v>865</v>
      </c>
      <c r="V8" t="n">
        <v>715</v>
      </c>
      <c r="W8" t="n">
        <v>777</v>
      </c>
      <c r="X8" t="n">
        <v>0</v>
      </c>
      <c r="Y8" t="n">
        <v>1017</v>
      </c>
    </row>
    <row r="9">
      <c r="A9" s="381" t="n">
        <v>45968.37462177307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118</v>
      </c>
      <c r="M9" t="n">
        <v>0</v>
      </c>
      <c r="N9" t="n">
        <v>92</v>
      </c>
      <c r="O9" t="n">
        <v>102</v>
      </c>
      <c r="P9" t="n">
        <v>85</v>
      </c>
      <c r="Q9" t="n">
        <v>93</v>
      </c>
      <c r="R9" t="n">
        <v>608</v>
      </c>
      <c r="S9" t="n">
        <v>1</v>
      </c>
      <c r="T9" t="n">
        <v>457</v>
      </c>
      <c r="U9" t="n">
        <v>521</v>
      </c>
      <c r="V9" t="n">
        <v>441</v>
      </c>
      <c r="W9" t="n">
        <v>485</v>
      </c>
      <c r="X9" t="n">
        <v>0</v>
      </c>
      <c r="Y9" t="n">
        <v>609</v>
      </c>
    </row>
    <row r="10">
      <c r="A10" s="381" t="n">
        <v>45968.37462177307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3</v>
      </c>
      <c r="O10" t="n">
        <v>4</v>
      </c>
      <c r="P10" t="n">
        <v>4</v>
      </c>
      <c r="Q10" t="n">
        <v>4</v>
      </c>
      <c r="R10" t="n">
        <v>20</v>
      </c>
      <c r="S10" t="n">
        <v>0</v>
      </c>
      <c r="T10" t="n">
        <v>11</v>
      </c>
      <c r="U10" t="n">
        <v>14</v>
      </c>
      <c r="V10" t="n">
        <v>14</v>
      </c>
      <c r="W10" t="n">
        <v>14</v>
      </c>
      <c r="X10" t="n">
        <v>0</v>
      </c>
      <c r="Y10" t="n">
        <v>20</v>
      </c>
    </row>
    <row r="11">
      <c r="A11" s="381" t="n">
        <v>45968.37462177307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</v>
      </c>
      <c r="M11" t="n">
        <v>0</v>
      </c>
      <c r="N11" t="n">
        <v>186</v>
      </c>
      <c r="O11" t="n">
        <v>223</v>
      </c>
      <c r="P11" t="n">
        <v>194</v>
      </c>
      <c r="Q11" t="n">
        <v>214</v>
      </c>
      <c r="R11" t="n">
        <v>1358</v>
      </c>
      <c r="S11" t="n">
        <v>2</v>
      </c>
      <c r="T11" t="n">
        <v>899</v>
      </c>
      <c r="U11" t="n">
        <v>1105</v>
      </c>
      <c r="V11" t="n">
        <v>913</v>
      </c>
      <c r="W11" t="n">
        <v>1010</v>
      </c>
      <c r="X11" t="n">
        <v>0</v>
      </c>
      <c r="Y11" t="n">
        <v>1358</v>
      </c>
    </row>
    <row r="12">
      <c r="A12" s="381" t="n">
        <v>45968.37462177307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982</v>
      </c>
      <c r="M12" t="n">
        <v>0</v>
      </c>
      <c r="N12" t="n">
        <v>665</v>
      </c>
      <c r="O12" t="n">
        <v>789</v>
      </c>
      <c r="P12" t="n">
        <v>759</v>
      </c>
      <c r="Q12" t="n">
        <v>759</v>
      </c>
      <c r="R12" t="n">
        <v>4912</v>
      </c>
      <c r="S12" t="n">
        <v>49</v>
      </c>
      <c r="T12" t="n">
        <v>3364</v>
      </c>
      <c r="U12" t="n">
        <v>4014</v>
      </c>
      <c r="V12" t="n">
        <v>3803</v>
      </c>
      <c r="W12" t="n">
        <v>3803</v>
      </c>
      <c r="X12" t="n">
        <v>0</v>
      </c>
      <c r="Y12" t="n">
        <v>4923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286" min="1" max="1"/>
    <col width="20.453125" bestFit="1" customWidth="1" style="286" min="2" max="2"/>
    <col width="18.54296875" bestFit="1" customWidth="1" style="286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0.06272508820094529</v>
      </c>
      <c r="B2" t="inlineStr">
        <is>
          <t>None</t>
        </is>
      </c>
      <c r="C2" t="n">
        <v>0.0527874854385089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3</v>
      </c>
      <c r="C2" t="n">
        <v>9</v>
      </c>
    </row>
    <row r="3">
      <c r="A3" t="inlineStr">
        <is>
          <t>2019</t>
        </is>
      </c>
      <c r="B3" t="n">
        <v>1</v>
      </c>
      <c r="C3" t="n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286" min="1" max="1"/>
    <col width="12.453125" bestFit="1" customWidth="1" style="286" min="4" max="4"/>
    <col width="17.453125" bestFit="1" customWidth="1" style="286" min="6" max="6"/>
    <col width="11.1796875" bestFit="1" customWidth="1" style="286" min="7" max="7"/>
    <col width="16.1796875" customWidth="1" style="286" min="8" max="8"/>
    <col width="10.26953125" customWidth="1" style="286" min="9" max="9"/>
    <col width="20" bestFit="1" customWidth="1" style="286" min="10" max="10"/>
    <col width="14.81640625" bestFit="1" customWidth="1" style="286" min="11" max="11"/>
    <col width="20.7265625" bestFit="1" customWidth="1" style="286" min="12" max="12"/>
    <col width="14.7265625" bestFit="1" customWidth="1" style="286" min="13" max="13"/>
    <col width="26.54296875" bestFit="1" customWidth="1" style="286" min="14" max="14"/>
    <col width="21.453125" bestFit="1" customWidth="1" style="286" min="15" max="15"/>
    <col width="27.26953125" bestFit="1" customWidth="1" style="286" min="16" max="16"/>
    <col width="21.26953125" bestFit="1" customWidth="1" style="286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1096</v>
      </c>
      <c r="G2" t="n">
        <v>589</v>
      </c>
      <c r="H2" t="n">
        <v>1063</v>
      </c>
      <c r="I2" t="n">
        <v>548</v>
      </c>
      <c r="J2" t="n">
        <v>196</v>
      </c>
      <c r="K2" t="n">
        <v>65</v>
      </c>
      <c r="L2" t="n">
        <v>186</v>
      </c>
      <c r="M2" t="n">
        <v>67</v>
      </c>
      <c r="N2" t="n">
        <v>194</v>
      </c>
      <c r="O2" t="n">
        <v>107</v>
      </c>
      <c r="P2" t="n">
        <v>192</v>
      </c>
      <c r="Q2" t="n">
        <v>92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24</v>
      </c>
      <c r="G3" t="n">
        <v>16</v>
      </c>
      <c r="H3" t="n">
        <v>24</v>
      </c>
      <c r="I3" t="n">
        <v>20</v>
      </c>
      <c r="J3" t="n">
        <v>4</v>
      </c>
      <c r="K3" t="n">
        <v>2</v>
      </c>
      <c r="L3" t="n">
        <v>4</v>
      </c>
      <c r="M3" t="n">
        <v>3</v>
      </c>
      <c r="N3" t="n">
        <v>4</v>
      </c>
      <c r="O3" t="n">
        <v>3</v>
      </c>
      <c r="P3" t="n">
        <v>4</v>
      </c>
      <c r="Q3" t="n">
        <v>4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751</v>
      </c>
      <c r="G4" t="n">
        <v>489</v>
      </c>
      <c r="H4" t="n">
        <v>741</v>
      </c>
      <c r="I4" t="n">
        <v>352</v>
      </c>
      <c r="J4" t="n">
        <v>134</v>
      </c>
      <c r="K4" t="n">
        <v>62</v>
      </c>
      <c r="L4" t="n">
        <v>129</v>
      </c>
      <c r="M4" t="n">
        <v>30</v>
      </c>
      <c r="N4" t="n">
        <v>134</v>
      </c>
      <c r="O4" t="n">
        <v>112</v>
      </c>
      <c r="P4" t="n">
        <v>134</v>
      </c>
      <c r="Q4" t="n">
        <v>85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11759</v>
      </c>
      <c r="G5" t="n">
        <v>8999</v>
      </c>
      <c r="H5" t="n">
        <v>11687</v>
      </c>
      <c r="I5" t="n">
        <v>8436</v>
      </c>
      <c r="J5" t="n">
        <v>2131</v>
      </c>
      <c r="K5" t="n">
        <v>1482</v>
      </c>
      <c r="L5" t="n">
        <v>2118</v>
      </c>
      <c r="M5" t="n">
        <v>1325</v>
      </c>
      <c r="N5" t="n">
        <v>1924</v>
      </c>
      <c r="O5" t="n">
        <v>1535</v>
      </c>
      <c r="P5" t="n">
        <v>1889</v>
      </c>
      <c r="Q5" t="n">
        <v>1465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1421</v>
      </c>
      <c r="G6" t="n">
        <v>940</v>
      </c>
      <c r="H6" t="n">
        <v>1414</v>
      </c>
      <c r="I6" t="n">
        <v>776</v>
      </c>
      <c r="J6" t="n">
        <v>254</v>
      </c>
      <c r="K6" t="n">
        <v>122</v>
      </c>
      <c r="L6" t="n">
        <v>250</v>
      </c>
      <c r="M6" t="n">
        <v>67</v>
      </c>
      <c r="N6" t="n">
        <v>254</v>
      </c>
      <c r="O6" t="n">
        <v>200</v>
      </c>
      <c r="P6" t="n">
        <v>254</v>
      </c>
      <c r="Q6" t="n">
        <v>174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6</v>
      </c>
      <c r="G7" t="n">
        <v>6</v>
      </c>
      <c r="H7" t="n">
        <v>6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1632</v>
      </c>
      <c r="G8" t="n">
        <v>1142</v>
      </c>
      <c r="H8" t="n">
        <v>1627</v>
      </c>
      <c r="I8" t="n">
        <v>1139</v>
      </c>
      <c r="J8" t="n">
        <v>304</v>
      </c>
      <c r="K8" t="n">
        <v>174</v>
      </c>
      <c r="L8" t="n">
        <v>303</v>
      </c>
      <c r="M8" t="n">
        <v>172</v>
      </c>
      <c r="N8" t="n">
        <v>250</v>
      </c>
      <c r="O8" t="n">
        <v>188</v>
      </c>
      <c r="P8" t="n">
        <v>250</v>
      </c>
      <c r="Q8" t="n">
        <v>199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19</v>
      </c>
      <c r="G9" t="n">
        <v>15</v>
      </c>
      <c r="H9" t="n">
        <v>19</v>
      </c>
      <c r="I9" t="n">
        <v>13</v>
      </c>
      <c r="J9" t="n">
        <v>4</v>
      </c>
      <c r="K9" t="n">
        <v>3</v>
      </c>
      <c r="L9" t="n">
        <v>4</v>
      </c>
      <c r="M9" t="n">
        <v>3</v>
      </c>
      <c r="N9" t="n">
        <v>2</v>
      </c>
      <c r="O9" t="n">
        <v>1</v>
      </c>
      <c r="P9" t="n">
        <v>2</v>
      </c>
      <c r="Q9" t="n">
        <v>1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7978</v>
      </c>
      <c r="G10" t="n">
        <v>6329</v>
      </c>
      <c r="H10" t="n">
        <v>7963</v>
      </c>
      <c r="I10" t="n">
        <v>6013</v>
      </c>
      <c r="J10" t="n">
        <v>1387</v>
      </c>
      <c r="K10" t="n">
        <v>1042</v>
      </c>
      <c r="L10" t="n">
        <v>1376</v>
      </c>
      <c r="M10" t="n">
        <v>962</v>
      </c>
      <c r="N10" t="n">
        <v>1368</v>
      </c>
      <c r="O10" t="n">
        <v>1115</v>
      </c>
      <c r="P10" t="n">
        <v>1367</v>
      </c>
      <c r="Q10" t="n">
        <v>1076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199</v>
      </c>
      <c r="G11" t="n">
        <v>163</v>
      </c>
      <c r="H11" t="n">
        <v>199</v>
      </c>
      <c r="I11" t="n">
        <v>125</v>
      </c>
      <c r="J11" t="n">
        <v>36</v>
      </c>
      <c r="K11" t="n">
        <v>28</v>
      </c>
      <c r="L11" t="n">
        <v>36</v>
      </c>
      <c r="M11" t="n">
        <v>22</v>
      </c>
      <c r="N11" t="n">
        <v>31</v>
      </c>
      <c r="O11" t="n">
        <v>27</v>
      </c>
      <c r="P11" t="n">
        <v>31</v>
      </c>
      <c r="Q11" t="n">
        <v>22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168</v>
      </c>
      <c r="G12" t="n">
        <v>153</v>
      </c>
      <c r="H12" t="n">
        <v>168</v>
      </c>
      <c r="I12" t="n">
        <v>146</v>
      </c>
      <c r="J12" t="n">
        <v>29</v>
      </c>
      <c r="K12" t="n">
        <v>27</v>
      </c>
      <c r="L12" t="n">
        <v>29</v>
      </c>
      <c r="M12" t="n">
        <v>28</v>
      </c>
      <c r="N12" t="n">
        <v>29</v>
      </c>
      <c r="O12" t="n">
        <v>25</v>
      </c>
      <c r="P12" t="n">
        <v>29</v>
      </c>
      <c r="Q12" t="n">
        <v>22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205</v>
      </c>
      <c r="G13" t="n">
        <v>111</v>
      </c>
      <c r="H13" t="n">
        <v>192</v>
      </c>
      <c r="I13" t="n">
        <v>95</v>
      </c>
      <c r="J13" t="n">
        <v>36</v>
      </c>
      <c r="K13" t="n">
        <v>17</v>
      </c>
      <c r="L13" t="n">
        <v>36</v>
      </c>
      <c r="M13" t="n">
        <v>18</v>
      </c>
      <c r="N13" t="n">
        <v>34</v>
      </c>
      <c r="O13" t="n">
        <v>6</v>
      </c>
      <c r="P13" t="n">
        <v>25</v>
      </c>
      <c r="Q13" t="n">
        <v>3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2710</v>
      </c>
      <c r="G14" t="n">
        <v>1939</v>
      </c>
      <c r="H14" t="n">
        <v>2686</v>
      </c>
      <c r="I14" t="n">
        <v>1779</v>
      </c>
      <c r="J14" t="n">
        <v>476</v>
      </c>
      <c r="K14" t="n">
        <v>331</v>
      </c>
      <c r="L14" t="n">
        <v>476</v>
      </c>
      <c r="M14" t="n">
        <v>296</v>
      </c>
      <c r="N14" t="n">
        <v>437</v>
      </c>
      <c r="O14" t="n">
        <v>298</v>
      </c>
      <c r="P14" t="n">
        <v>422</v>
      </c>
      <c r="Q14" t="n">
        <v>260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187</v>
      </c>
      <c r="G15" t="n">
        <v>118</v>
      </c>
      <c r="H15" t="n">
        <v>184</v>
      </c>
      <c r="I15" t="n">
        <v>126</v>
      </c>
      <c r="J15" t="n">
        <v>35</v>
      </c>
      <c r="K15" t="n">
        <v>22</v>
      </c>
      <c r="L15" t="n">
        <v>35</v>
      </c>
      <c r="M15" t="n">
        <v>20</v>
      </c>
      <c r="N15" t="n">
        <v>28</v>
      </c>
      <c r="O15" t="n">
        <v>16</v>
      </c>
      <c r="P15" t="n">
        <v>25</v>
      </c>
      <c r="Q15" t="n">
        <v>18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15</v>
      </c>
      <c r="G16" t="n">
        <v>9</v>
      </c>
      <c r="H16" t="n">
        <v>15</v>
      </c>
      <c r="I16" t="n">
        <v>8</v>
      </c>
      <c r="J16" t="n">
        <v>3</v>
      </c>
      <c r="K16" t="n">
        <v>2</v>
      </c>
      <c r="L16" t="n">
        <v>3</v>
      </c>
      <c r="M16" t="n">
        <v>1</v>
      </c>
      <c r="N16" t="n">
        <v>2</v>
      </c>
      <c r="O16" t="n">
        <v>0</v>
      </c>
      <c r="P16" t="n">
        <v>2</v>
      </c>
      <c r="Q16" t="n">
        <v>0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233</v>
      </c>
      <c r="G17" t="n">
        <v>139</v>
      </c>
      <c r="H17" t="n">
        <v>231</v>
      </c>
      <c r="I17" t="n">
        <v>124</v>
      </c>
      <c r="J17" t="n">
        <v>42</v>
      </c>
      <c r="K17" t="n">
        <v>13</v>
      </c>
      <c r="L17" t="n">
        <v>40</v>
      </c>
      <c r="M17" t="n">
        <v>13</v>
      </c>
      <c r="N17" t="n">
        <v>42</v>
      </c>
      <c r="O17" t="n">
        <v>29</v>
      </c>
      <c r="P17" t="n">
        <v>42</v>
      </c>
      <c r="Q17" t="n">
        <v>27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1801</v>
      </c>
      <c r="G18" t="n">
        <v>1448</v>
      </c>
      <c r="H18" t="n">
        <v>1800</v>
      </c>
      <c r="I18" t="n">
        <v>1370</v>
      </c>
      <c r="J18" t="n">
        <v>308</v>
      </c>
      <c r="K18" t="n">
        <v>238</v>
      </c>
      <c r="L18" t="n">
        <v>308</v>
      </c>
      <c r="M18" t="n">
        <v>226</v>
      </c>
      <c r="N18" t="n">
        <v>289</v>
      </c>
      <c r="O18" t="n">
        <v>258</v>
      </c>
      <c r="P18" t="n">
        <v>289</v>
      </c>
      <c r="Q18" t="n">
        <v>253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27</v>
      </c>
      <c r="G20" t="n">
        <v>20</v>
      </c>
      <c r="H20" t="n">
        <v>27</v>
      </c>
      <c r="I20" t="n">
        <v>18</v>
      </c>
      <c r="J20" t="n">
        <v>5</v>
      </c>
      <c r="K20" t="n">
        <v>2</v>
      </c>
      <c r="L20" t="n">
        <v>5</v>
      </c>
      <c r="M20" t="n">
        <v>4</v>
      </c>
      <c r="N20" t="n">
        <v>3</v>
      </c>
      <c r="O20" t="n">
        <v>3</v>
      </c>
      <c r="P20" t="n">
        <v>3</v>
      </c>
      <c r="Q20" t="n">
        <v>2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1235</v>
      </c>
      <c r="G22" t="n">
        <v>851</v>
      </c>
      <c r="H22" t="n">
        <v>1215</v>
      </c>
      <c r="I22" t="n">
        <v>803</v>
      </c>
      <c r="J22" t="n">
        <v>218</v>
      </c>
      <c r="K22" t="n">
        <v>133</v>
      </c>
      <c r="L22" t="n">
        <v>218</v>
      </c>
      <c r="M22" t="n">
        <v>135</v>
      </c>
      <c r="N22" t="n">
        <v>200</v>
      </c>
      <c r="O22" t="n">
        <v>120</v>
      </c>
      <c r="P22" t="n">
        <v>186</v>
      </c>
      <c r="Q22" t="n">
        <v>102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1873</v>
      </c>
      <c r="G23" t="n">
        <v>1323</v>
      </c>
      <c r="H23" t="n">
        <v>1853</v>
      </c>
      <c r="I23" t="n">
        <v>1198</v>
      </c>
      <c r="J23" t="n">
        <v>330</v>
      </c>
      <c r="K23" t="n">
        <v>238</v>
      </c>
      <c r="L23" t="n">
        <v>330</v>
      </c>
      <c r="M23" t="n">
        <v>199</v>
      </c>
      <c r="N23" t="n">
        <v>300</v>
      </c>
      <c r="O23" t="n">
        <v>201</v>
      </c>
      <c r="P23" t="n">
        <v>287</v>
      </c>
      <c r="Q23" t="n">
        <v>180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9593</v>
      </c>
      <c r="G24" t="n">
        <v>7132</v>
      </c>
      <c r="H24" t="n">
        <v>9528</v>
      </c>
      <c r="I24" t="n">
        <v>6550</v>
      </c>
      <c r="J24" t="n">
        <v>1729</v>
      </c>
      <c r="K24" t="n">
        <v>1100</v>
      </c>
      <c r="L24" t="n">
        <v>1712</v>
      </c>
      <c r="M24" t="n">
        <v>1003</v>
      </c>
      <c r="N24" t="n">
        <v>1579</v>
      </c>
      <c r="O24" t="n">
        <v>1263</v>
      </c>
      <c r="P24" t="n">
        <v>1557</v>
      </c>
      <c r="Q24" t="n">
        <v>1171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7691</v>
      </c>
      <c r="G25" t="n">
        <v>5733</v>
      </c>
      <c r="H25" t="n">
        <v>7635</v>
      </c>
      <c r="I25" t="n">
        <v>5451</v>
      </c>
      <c r="J25" t="n">
        <v>1389</v>
      </c>
      <c r="K25" t="n">
        <v>954</v>
      </c>
      <c r="L25" t="n">
        <v>1377</v>
      </c>
      <c r="M25" t="n">
        <v>846</v>
      </c>
      <c r="N25" t="n">
        <v>1248</v>
      </c>
      <c r="O25" t="n">
        <v>968</v>
      </c>
      <c r="P25" t="n">
        <v>1233</v>
      </c>
      <c r="Q25" t="n">
        <v>948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4388</v>
      </c>
      <c r="G26" t="n">
        <v>3420</v>
      </c>
      <c r="H26" t="n">
        <v>4383</v>
      </c>
      <c r="I26" t="n">
        <v>3148</v>
      </c>
      <c r="J26" t="n">
        <v>766</v>
      </c>
      <c r="K26" t="n">
        <v>553</v>
      </c>
      <c r="L26" t="n">
        <v>763</v>
      </c>
      <c r="M26" t="n">
        <v>481</v>
      </c>
      <c r="N26" t="n">
        <v>757</v>
      </c>
      <c r="O26" t="n">
        <v>606</v>
      </c>
      <c r="P26" t="n">
        <v>757</v>
      </c>
      <c r="Q26" t="n">
        <v>565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5451</v>
      </c>
      <c r="G27" t="n">
        <v>4166</v>
      </c>
      <c r="H27" t="n">
        <v>5432</v>
      </c>
      <c r="I27" t="n">
        <v>3939</v>
      </c>
      <c r="J27" t="n">
        <v>953</v>
      </c>
      <c r="K27" t="n">
        <v>655</v>
      </c>
      <c r="L27" t="n">
        <v>939</v>
      </c>
      <c r="M27" t="n">
        <v>593</v>
      </c>
      <c r="N27" t="n">
        <v>942</v>
      </c>
      <c r="O27" t="n">
        <v>766</v>
      </c>
      <c r="P27" t="n">
        <v>941</v>
      </c>
      <c r="Q27" t="n">
        <v>738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2" sqref="B2"/>
    </sheetView>
  </sheetViews>
  <sheetFormatPr baseColWidth="8" defaultRowHeight="14.5"/>
  <cols>
    <col width="13.26953125" customWidth="1" style="286" min="2" max="2"/>
  </cols>
  <sheetData>
    <row r="1">
      <c r="A1" s="288" t="inlineStr">
        <is>
          <t>CARRIER</t>
        </is>
      </c>
      <c r="B1" s="288" t="inlineStr">
        <is>
          <t>Seat_CNXL_Rate</t>
        </is>
      </c>
    </row>
    <row r="2">
      <c r="A2" t="inlineStr">
        <is>
          <t>American</t>
        </is>
      </c>
      <c r="B2" t="n">
        <v>0.007175600102520578</v>
      </c>
    </row>
    <row r="3">
      <c r="A3" t="inlineStr">
        <is>
          <t>Delta</t>
        </is>
      </c>
      <c r="B3" t="n">
        <v>0.00247794281885191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286" min="1" max="1"/>
    <col width="17" bestFit="1" customWidth="1" style="286" min="2" max="2"/>
    <col width="15" bestFit="1" customWidth="1" style="286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3</v>
      </c>
      <c r="C2" t="n">
        <v>6</v>
      </c>
    </row>
    <row r="3">
      <c r="A3" t="inlineStr">
        <is>
          <t>YEST</t>
        </is>
      </c>
      <c r="B3" t="n">
        <v/>
      </c>
      <c r="C3" t="n"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30"/>
  <sheetViews>
    <sheetView zoomScaleNormal="100" workbookViewId="0">
      <selection activeCell="A1" sqref="A1:Z215"/>
    </sheetView>
  </sheetViews>
  <sheetFormatPr baseColWidth="8" defaultRowHeight="14.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381" t="n">
        <v>45968.37462177307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317</v>
      </c>
      <c r="S2" t="n">
        <v>310</v>
      </c>
      <c r="T2" t="n">
        <v>220</v>
      </c>
      <c r="U2" t="n">
        <v>266</v>
      </c>
      <c r="V2" t="n">
        <v>244</v>
      </c>
      <c r="W2" t="n">
        <v>244</v>
      </c>
      <c r="X2" t="n">
        <v>0</v>
      </c>
      <c r="Y2" t="n">
        <v>0</v>
      </c>
      <c r="Z2" t="n">
        <v>316</v>
      </c>
    </row>
    <row r="3">
      <c r="A3" s="381" t="n">
        <v>45968.37462177307</v>
      </c>
      <c r="B3" t="inlineStr">
        <is>
          <t>Line Dom</t>
        </is>
      </c>
      <c r="C3" t="inlineStr">
        <is>
          <t>DSM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</v>
      </c>
      <c r="M3" t="n">
        <v>0</v>
      </c>
      <c r="N3" t="n">
        <v>19</v>
      </c>
      <c r="O3" t="n">
        <v>21</v>
      </c>
      <c r="P3" t="n">
        <v>16</v>
      </c>
      <c r="Q3" t="n">
        <v>16</v>
      </c>
      <c r="R3" t="n">
        <v>1624</v>
      </c>
      <c r="S3" t="n">
        <v>1602</v>
      </c>
      <c r="T3" t="n">
        <v>1159</v>
      </c>
      <c r="U3" t="n">
        <v>1356</v>
      </c>
      <c r="V3" t="n">
        <v>1324</v>
      </c>
      <c r="W3" t="n">
        <v>1324</v>
      </c>
      <c r="X3" t="n">
        <v>0</v>
      </c>
      <c r="Y3" t="n">
        <v>22</v>
      </c>
      <c r="Z3" t="n">
        <v>1623</v>
      </c>
    </row>
    <row r="4">
      <c r="A4" s="381" t="n">
        <v>45968.37462177307</v>
      </c>
      <c r="B4" t="inlineStr">
        <is>
          <t>Line Dom</t>
        </is>
      </c>
      <c r="C4" t="inlineStr">
        <is>
          <t>BFL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0</v>
      </c>
      <c r="N4" t="n">
        <v>12</v>
      </c>
      <c r="O4" t="n">
        <v>18</v>
      </c>
      <c r="P4" t="n">
        <v>19</v>
      </c>
      <c r="Q4" t="n">
        <v>19</v>
      </c>
      <c r="R4" t="n">
        <v>1211</v>
      </c>
      <c r="S4" t="n">
        <v>1211</v>
      </c>
      <c r="T4" t="n">
        <v>666</v>
      </c>
      <c r="U4" t="n">
        <v>926</v>
      </c>
      <c r="V4" t="n">
        <v>978</v>
      </c>
      <c r="W4" t="n">
        <v>980</v>
      </c>
      <c r="X4" t="n">
        <v>0</v>
      </c>
      <c r="Y4" t="n">
        <v>20</v>
      </c>
      <c r="Z4" t="n">
        <v>1211</v>
      </c>
    </row>
    <row r="5">
      <c r="A5" s="381" t="n">
        <v>45968.37462177307</v>
      </c>
      <c r="B5" t="inlineStr">
        <is>
          <t>Line Dom</t>
        </is>
      </c>
      <c r="C5" t="inlineStr">
        <is>
          <t>EUG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386</v>
      </c>
      <c r="S5" t="n">
        <v>381</v>
      </c>
      <c r="T5" t="n">
        <v>289</v>
      </c>
      <c r="U5" t="n">
        <v>340</v>
      </c>
      <c r="V5" t="n">
        <v>255</v>
      </c>
      <c r="W5" t="n">
        <v>255</v>
      </c>
      <c r="X5" t="n">
        <v>0</v>
      </c>
      <c r="Y5" t="n">
        <v>1</v>
      </c>
      <c r="Z5" t="n">
        <v>385</v>
      </c>
    </row>
    <row r="6">
      <c r="A6" s="381" t="n">
        <v>45968.37462177307</v>
      </c>
      <c r="B6" t="inlineStr">
        <is>
          <t>Line Dom</t>
        </is>
      </c>
      <c r="C6" t="inlineStr">
        <is>
          <t>GSP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</v>
      </c>
      <c r="M6" t="n">
        <v>1</v>
      </c>
      <c r="N6" t="n">
        <v>19</v>
      </c>
      <c r="O6" t="n">
        <v>31</v>
      </c>
      <c r="P6" t="n">
        <v>29</v>
      </c>
      <c r="Q6" t="n">
        <v>29</v>
      </c>
      <c r="R6" t="n">
        <v>2866</v>
      </c>
      <c r="S6" t="n">
        <v>2814</v>
      </c>
      <c r="T6" t="n">
        <v>1711</v>
      </c>
      <c r="U6" t="n">
        <v>2121</v>
      </c>
      <c r="V6" t="n">
        <v>2118</v>
      </c>
      <c r="W6" t="n">
        <v>2118</v>
      </c>
      <c r="X6" t="n">
        <v>0</v>
      </c>
      <c r="Y6" t="n">
        <v>43</v>
      </c>
      <c r="Z6" t="n">
        <v>2873</v>
      </c>
    </row>
    <row r="7">
      <c r="A7" s="381" t="n">
        <v>45968.37462177307</v>
      </c>
      <c r="B7" t="inlineStr">
        <is>
          <t>Line Dom</t>
        </is>
      </c>
      <c r="C7" t="inlineStr">
        <is>
          <t>ITH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8</v>
      </c>
      <c r="O7" t="n">
        <v>9</v>
      </c>
      <c r="P7" t="n">
        <v>10</v>
      </c>
      <c r="Q7" t="n">
        <v>10</v>
      </c>
      <c r="R7" t="n">
        <v>637</v>
      </c>
      <c r="S7" t="n">
        <v>619</v>
      </c>
      <c r="T7" t="n">
        <v>347</v>
      </c>
      <c r="U7" t="n">
        <v>429</v>
      </c>
      <c r="V7" t="n">
        <v>484</v>
      </c>
      <c r="W7" t="n">
        <v>484</v>
      </c>
      <c r="X7" t="n">
        <v>0</v>
      </c>
      <c r="Y7" t="n">
        <v>10</v>
      </c>
      <c r="Z7" t="n">
        <v>637</v>
      </c>
    </row>
    <row r="8">
      <c r="A8" s="381" t="n">
        <v>45968.37462177307</v>
      </c>
      <c r="B8" t="inlineStr">
        <is>
          <t>Line Dom</t>
        </is>
      </c>
      <c r="C8" t="inlineStr">
        <is>
          <t>EAR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8</v>
      </c>
      <c r="O8" t="n">
        <v>8</v>
      </c>
      <c r="P8" t="n">
        <v>5</v>
      </c>
      <c r="Q8" t="n">
        <v>5</v>
      </c>
      <c r="R8" t="n">
        <v>529</v>
      </c>
      <c r="S8" t="n">
        <v>524</v>
      </c>
      <c r="T8" t="n">
        <v>338</v>
      </c>
      <c r="U8" t="n">
        <v>404</v>
      </c>
      <c r="V8" t="n">
        <v>403</v>
      </c>
      <c r="W8" t="n">
        <v>403</v>
      </c>
      <c r="X8" t="n">
        <v>0</v>
      </c>
      <c r="Y8" t="n">
        <v>8</v>
      </c>
      <c r="Z8" t="n">
        <v>529</v>
      </c>
    </row>
    <row r="9">
      <c r="A9" s="381" t="n">
        <v>45968.37462177307</v>
      </c>
      <c r="B9" t="inlineStr">
        <is>
          <t>Line Dom</t>
        </is>
      </c>
      <c r="C9" t="inlineStr">
        <is>
          <t>BGR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2</v>
      </c>
      <c r="O9" t="n">
        <v>2</v>
      </c>
      <c r="P9" t="n">
        <v>4</v>
      </c>
      <c r="Q9" t="n">
        <v>4</v>
      </c>
      <c r="R9" t="n">
        <v>881</v>
      </c>
      <c r="S9" t="n">
        <v>856</v>
      </c>
      <c r="T9" t="n">
        <v>522</v>
      </c>
      <c r="U9" t="n">
        <v>642</v>
      </c>
      <c r="V9" t="n">
        <v>640</v>
      </c>
      <c r="W9" t="n">
        <v>640</v>
      </c>
      <c r="X9" t="n">
        <v>0</v>
      </c>
      <c r="Y9" t="n">
        <v>9</v>
      </c>
      <c r="Z9" t="n">
        <v>878</v>
      </c>
    </row>
    <row r="10">
      <c r="A10" s="381" t="n">
        <v>45968.37462177307</v>
      </c>
      <c r="B10" t="inlineStr">
        <is>
          <t>Line Dom</t>
        </is>
      </c>
      <c r="C10" t="inlineStr">
        <is>
          <t>DLH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0</v>
      </c>
      <c r="N10" t="n">
        <v>8</v>
      </c>
      <c r="O10" t="n">
        <v>10</v>
      </c>
      <c r="P10" t="n">
        <v>8</v>
      </c>
      <c r="Q10" t="n">
        <v>8</v>
      </c>
      <c r="R10" t="n">
        <v>962</v>
      </c>
      <c r="S10" t="n">
        <v>950</v>
      </c>
      <c r="T10" t="n">
        <v>521</v>
      </c>
      <c r="U10" t="n">
        <v>661</v>
      </c>
      <c r="V10" t="n">
        <v>635</v>
      </c>
      <c r="W10" t="n">
        <v>635</v>
      </c>
      <c r="X10" t="n">
        <v>0</v>
      </c>
      <c r="Y10" t="n">
        <v>15</v>
      </c>
      <c r="Z10" t="n">
        <v>962</v>
      </c>
    </row>
    <row r="11">
      <c r="A11" s="381" t="n">
        <v>45968.37462177307</v>
      </c>
      <c r="B11" t="inlineStr">
        <is>
          <t>Line Int</t>
        </is>
      </c>
      <c r="C11" t="inlineStr">
        <is>
          <t>NAS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21</v>
      </c>
      <c r="S11" t="n">
        <v>21</v>
      </c>
      <c r="T11" t="n">
        <v>11</v>
      </c>
      <c r="U11" t="n">
        <v>16</v>
      </c>
      <c r="V11" t="n">
        <v>18</v>
      </c>
      <c r="W11" t="n">
        <v>18</v>
      </c>
      <c r="X11" t="n">
        <v>0</v>
      </c>
      <c r="Y11" t="n">
        <v>1</v>
      </c>
      <c r="Z11" t="n">
        <v>21</v>
      </c>
    </row>
    <row r="12">
      <c r="A12" s="381" t="n">
        <v>45968.37462177307</v>
      </c>
      <c r="B12" t="inlineStr">
        <is>
          <t>Line Dom</t>
        </is>
      </c>
      <c r="C12" t="inlineStr">
        <is>
          <t>BUF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</v>
      </c>
      <c r="M12" t="n">
        <v>1</v>
      </c>
      <c r="N12" t="n">
        <v>22</v>
      </c>
      <c r="O12" t="n">
        <v>29</v>
      </c>
      <c r="P12" t="n">
        <v>26</v>
      </c>
      <c r="Q12" t="n">
        <v>26</v>
      </c>
      <c r="R12" t="n">
        <v>2153</v>
      </c>
      <c r="S12" t="n">
        <v>2094</v>
      </c>
      <c r="T12" t="n">
        <v>1298</v>
      </c>
      <c r="U12" t="n">
        <v>1602</v>
      </c>
      <c r="V12" t="n">
        <v>1426</v>
      </c>
      <c r="W12" t="n">
        <v>1426</v>
      </c>
      <c r="X12" t="n">
        <v>0</v>
      </c>
      <c r="Y12" t="n">
        <v>45</v>
      </c>
      <c r="Z12" t="n">
        <v>2155</v>
      </c>
    </row>
    <row r="13">
      <c r="A13" s="381" t="n">
        <v>45968.37462177307</v>
      </c>
      <c r="B13" t="inlineStr">
        <is>
          <t>Line Dom</t>
        </is>
      </c>
      <c r="C13" t="inlineStr">
        <is>
          <t>CHS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</v>
      </c>
      <c r="M13" t="n">
        <v>0</v>
      </c>
      <c r="N13" t="n">
        <v>2</v>
      </c>
      <c r="O13" t="n">
        <v>9</v>
      </c>
      <c r="P13" t="n">
        <v>7</v>
      </c>
      <c r="Q13" t="n">
        <v>7</v>
      </c>
      <c r="R13" t="n">
        <v>1763</v>
      </c>
      <c r="S13" t="n">
        <v>1698</v>
      </c>
      <c r="T13" t="n">
        <v>1142</v>
      </c>
      <c r="U13" t="n">
        <v>1382</v>
      </c>
      <c r="V13" t="n">
        <v>1281</v>
      </c>
      <c r="W13" t="n">
        <v>1281</v>
      </c>
      <c r="X13" t="n">
        <v>0</v>
      </c>
      <c r="Y13" t="n">
        <v>15</v>
      </c>
      <c r="Z13" t="n">
        <v>1761</v>
      </c>
    </row>
    <row r="14">
      <c r="A14" s="381" t="n">
        <v>45968.37462177307</v>
      </c>
      <c r="B14" t="inlineStr">
        <is>
          <t>Line Dom</t>
        </is>
      </c>
      <c r="C14" t="inlineStr">
        <is>
          <t>OMA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</v>
      </c>
      <c r="M14" t="n">
        <v>0</v>
      </c>
      <c r="N14" t="n">
        <v>15</v>
      </c>
      <c r="O14" t="n">
        <v>16</v>
      </c>
      <c r="P14" t="n">
        <v>15</v>
      </c>
      <c r="Q14" t="n">
        <v>15</v>
      </c>
      <c r="R14" t="n">
        <v>1034</v>
      </c>
      <c r="S14" t="n">
        <v>1023</v>
      </c>
      <c r="T14" t="n">
        <v>683</v>
      </c>
      <c r="U14" t="n">
        <v>834</v>
      </c>
      <c r="V14" t="n">
        <v>803</v>
      </c>
      <c r="W14" t="n">
        <v>804</v>
      </c>
      <c r="X14" t="n">
        <v>0</v>
      </c>
      <c r="Y14" t="n">
        <v>20</v>
      </c>
      <c r="Z14" t="n">
        <v>1035</v>
      </c>
    </row>
    <row r="15">
      <c r="A15" s="381" t="n">
        <v>45968.37462177307</v>
      </c>
      <c r="B15" t="inlineStr">
        <is>
          <t>Line Int</t>
        </is>
      </c>
      <c r="C15" t="inlineStr">
        <is>
          <t>PXM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34</v>
      </c>
      <c r="S15" t="n">
        <v>34</v>
      </c>
      <c r="T15" t="n">
        <v>19</v>
      </c>
      <c r="U15" t="n">
        <v>28</v>
      </c>
      <c r="V15" t="n">
        <v>16</v>
      </c>
      <c r="W15" t="n">
        <v>16</v>
      </c>
      <c r="X15" t="n">
        <v>0</v>
      </c>
      <c r="Y15" t="n">
        <v>2</v>
      </c>
      <c r="Z15" t="n">
        <v>34</v>
      </c>
    </row>
    <row r="16">
      <c r="A16" s="381" t="n">
        <v>45968.37462177307</v>
      </c>
      <c r="B16" t="inlineStr">
        <is>
          <t>Line Dom</t>
        </is>
      </c>
      <c r="C16" t="inlineStr">
        <is>
          <t>SBP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  <c r="N16" t="n">
        <v>13</v>
      </c>
      <c r="O16" t="n">
        <v>19</v>
      </c>
      <c r="P16" t="n">
        <v>15</v>
      </c>
      <c r="Q16" t="n">
        <v>15</v>
      </c>
      <c r="R16" t="n">
        <v>1869</v>
      </c>
      <c r="S16" t="n">
        <v>1861</v>
      </c>
      <c r="T16" t="n">
        <v>1226</v>
      </c>
      <c r="U16" t="n">
        <v>1502</v>
      </c>
      <c r="V16" t="n">
        <v>1361</v>
      </c>
      <c r="W16" t="n">
        <v>1362</v>
      </c>
      <c r="X16" t="n">
        <v>0</v>
      </c>
      <c r="Y16" t="n">
        <v>30</v>
      </c>
      <c r="Z16" t="n">
        <v>1870</v>
      </c>
    </row>
    <row r="17">
      <c r="A17" s="381" t="n">
        <v>45968.37462177307</v>
      </c>
      <c r="B17" t="inlineStr">
        <is>
          <t>Line Dom</t>
        </is>
      </c>
      <c r="C17" t="inlineStr">
        <is>
          <t>CIU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</v>
      </c>
      <c r="S17" t="n">
        <v>135</v>
      </c>
      <c r="T17" t="n">
        <v>80</v>
      </c>
      <c r="U17" t="n">
        <v>97</v>
      </c>
      <c r="V17" t="n">
        <v>84</v>
      </c>
      <c r="W17" t="n">
        <v>84</v>
      </c>
      <c r="X17" t="n">
        <v>0</v>
      </c>
      <c r="Y17" t="n">
        <v>0</v>
      </c>
      <c r="Z17" t="n">
        <v>137</v>
      </c>
    </row>
    <row r="18">
      <c r="A18" s="381" t="n">
        <v>45968.37462177307</v>
      </c>
      <c r="B18" t="inlineStr">
        <is>
          <t>Line Dom</t>
        </is>
      </c>
      <c r="C18" t="inlineStr">
        <is>
          <t>LAF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4</v>
      </c>
      <c r="O18" t="n">
        <v>5</v>
      </c>
      <c r="P18" t="n">
        <v>6</v>
      </c>
      <c r="Q18" t="n">
        <v>6</v>
      </c>
      <c r="R18" t="n">
        <v>145</v>
      </c>
      <c r="S18" t="n">
        <v>145</v>
      </c>
      <c r="T18" t="n">
        <v>76</v>
      </c>
      <c r="U18" t="n">
        <v>99</v>
      </c>
      <c r="V18" t="n">
        <v>108</v>
      </c>
      <c r="W18" t="n">
        <v>108</v>
      </c>
      <c r="X18" t="n">
        <v>0</v>
      </c>
      <c r="Y18" t="n">
        <v>7</v>
      </c>
      <c r="Z18" t="n">
        <v>146</v>
      </c>
    </row>
    <row r="19">
      <c r="A19" s="381" t="n">
        <v>45968.37462177307</v>
      </c>
      <c r="B19" t="inlineStr">
        <is>
          <t>Line Dom</t>
        </is>
      </c>
      <c r="C19" t="inlineStr">
        <is>
          <t>RDD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</v>
      </c>
      <c r="M19" t="n">
        <v>0</v>
      </c>
      <c r="N19" t="n">
        <v>13</v>
      </c>
      <c r="O19" t="n">
        <v>17</v>
      </c>
      <c r="P19" t="n">
        <v>18</v>
      </c>
      <c r="Q19" t="n">
        <v>18</v>
      </c>
      <c r="R19" t="n">
        <v>1213</v>
      </c>
      <c r="S19" t="n">
        <v>1207</v>
      </c>
      <c r="T19" t="n">
        <v>799</v>
      </c>
      <c r="U19" t="n">
        <v>1001</v>
      </c>
      <c r="V19" t="n">
        <v>951</v>
      </c>
      <c r="W19" t="n">
        <v>951</v>
      </c>
      <c r="X19" t="n">
        <v>0</v>
      </c>
      <c r="Y19" t="n">
        <v>25</v>
      </c>
      <c r="Z19" t="n">
        <v>1213</v>
      </c>
    </row>
    <row r="20">
      <c r="A20" s="381" t="n">
        <v>45968.37462177307</v>
      </c>
      <c r="B20" t="inlineStr">
        <is>
          <t>Line Dom</t>
        </is>
      </c>
      <c r="C20" t="inlineStr">
        <is>
          <t>SDF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</v>
      </c>
      <c r="M20" t="n">
        <v>8</v>
      </c>
      <c r="N20" t="n">
        <v>33</v>
      </c>
      <c r="O20" t="n">
        <v>43</v>
      </c>
      <c r="P20" t="n">
        <v>39</v>
      </c>
      <c r="Q20" t="n">
        <v>39</v>
      </c>
      <c r="R20" t="n">
        <v>3937</v>
      </c>
      <c r="S20" t="n">
        <v>3853</v>
      </c>
      <c r="T20" t="n">
        <v>2572</v>
      </c>
      <c r="U20" t="n">
        <v>3090</v>
      </c>
      <c r="V20" t="n">
        <v>2920</v>
      </c>
      <c r="W20" t="n">
        <v>2922</v>
      </c>
      <c r="X20" t="n">
        <v>0</v>
      </c>
      <c r="Y20" t="n">
        <v>64</v>
      </c>
      <c r="Z20" t="n">
        <v>3939</v>
      </c>
    </row>
    <row r="21">
      <c r="A21" s="381" t="n">
        <v>45968.37462177307</v>
      </c>
      <c r="B21" t="inlineStr">
        <is>
          <t>Line Dom</t>
        </is>
      </c>
      <c r="C21" t="inlineStr">
        <is>
          <t>CYS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9</v>
      </c>
      <c r="O21" t="n">
        <v>9</v>
      </c>
      <c r="P21" t="n">
        <v>9</v>
      </c>
      <c r="Q21" t="n">
        <v>9</v>
      </c>
      <c r="R21" t="n">
        <v>624</v>
      </c>
      <c r="S21" t="n">
        <v>616</v>
      </c>
      <c r="T21" t="n">
        <v>353</v>
      </c>
      <c r="U21" t="n">
        <v>434</v>
      </c>
      <c r="V21" t="n">
        <v>463</v>
      </c>
      <c r="W21" t="n">
        <v>463</v>
      </c>
      <c r="X21" t="n">
        <v>0</v>
      </c>
      <c r="Y21" t="n">
        <v>10</v>
      </c>
      <c r="Z21" t="n">
        <v>624</v>
      </c>
    </row>
    <row r="22">
      <c r="A22" s="381" t="n">
        <v>45968.37462177307</v>
      </c>
      <c r="B22" t="inlineStr">
        <is>
          <t>Line Dom</t>
        </is>
      </c>
      <c r="C22" t="inlineStr">
        <is>
          <t>CAK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</v>
      </c>
      <c r="M22" t="n">
        <v>0</v>
      </c>
      <c r="N22" t="n">
        <v>13</v>
      </c>
      <c r="O22" t="n">
        <v>19</v>
      </c>
      <c r="P22" t="n">
        <v>17</v>
      </c>
      <c r="Q22" t="n">
        <v>17</v>
      </c>
      <c r="R22" t="n">
        <v>1124</v>
      </c>
      <c r="S22" t="n">
        <v>1109</v>
      </c>
      <c r="T22" t="n">
        <v>639</v>
      </c>
      <c r="U22" t="n">
        <v>818</v>
      </c>
      <c r="V22" t="n">
        <v>833</v>
      </c>
      <c r="W22" t="n">
        <v>833</v>
      </c>
      <c r="X22" t="n">
        <v>0</v>
      </c>
      <c r="Y22" t="n">
        <v>20</v>
      </c>
      <c r="Z22" t="n">
        <v>1125</v>
      </c>
    </row>
    <row r="23">
      <c r="A23" s="381" t="n">
        <v>45968.37462177307</v>
      </c>
      <c r="B23" t="inlineStr">
        <is>
          <t>Line Dom</t>
        </is>
      </c>
      <c r="C23" t="inlineStr">
        <is>
          <t>COD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9</v>
      </c>
      <c r="O23" t="n">
        <v>10</v>
      </c>
      <c r="P23" t="n">
        <v>8</v>
      </c>
      <c r="Q23" t="n">
        <v>8</v>
      </c>
      <c r="R23" t="n">
        <v>818</v>
      </c>
      <c r="S23" t="n">
        <v>799</v>
      </c>
      <c r="T23" t="n">
        <v>466</v>
      </c>
      <c r="U23" t="n">
        <v>578</v>
      </c>
      <c r="V23" t="n">
        <v>490</v>
      </c>
      <c r="W23" t="n">
        <v>490</v>
      </c>
      <c r="X23" t="n">
        <v>0</v>
      </c>
      <c r="Y23" t="n">
        <v>10</v>
      </c>
      <c r="Z23" t="n">
        <v>819</v>
      </c>
    </row>
    <row r="24">
      <c r="A24" s="381" t="n">
        <v>45968.37462177307</v>
      </c>
      <c r="B24" t="inlineStr">
        <is>
          <t>Line Dom</t>
        </is>
      </c>
      <c r="C24" t="inlineStr">
        <is>
          <t>MEM</t>
        </is>
      </c>
      <c r="D24" t="inlineStr">
        <is>
          <t>UA</t>
        </is>
      </c>
      <c r="E24" t="inlineStr">
        <is>
          <t>Express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</v>
      </c>
      <c r="M24" t="n">
        <v>1</v>
      </c>
      <c r="N24" t="n">
        <v>29</v>
      </c>
      <c r="O24" t="n">
        <v>37</v>
      </c>
      <c r="P24" t="n">
        <v>25</v>
      </c>
      <c r="Q24" t="n">
        <v>25</v>
      </c>
      <c r="R24" t="n">
        <v>2197</v>
      </c>
      <c r="S24" t="n">
        <v>2153</v>
      </c>
      <c r="T24" t="n">
        <v>1426</v>
      </c>
      <c r="U24" t="n">
        <v>1695</v>
      </c>
      <c r="V24" t="n">
        <v>1448</v>
      </c>
      <c r="W24" t="n">
        <v>1448</v>
      </c>
      <c r="X24" t="n">
        <v>0</v>
      </c>
      <c r="Y24" t="n">
        <v>46</v>
      </c>
      <c r="Z24" t="n">
        <v>2199</v>
      </c>
    </row>
    <row r="25">
      <c r="A25" s="381" t="n">
        <v>45968.37462177307</v>
      </c>
      <c r="B25" t="inlineStr">
        <is>
          <t>Line Dom</t>
        </is>
      </c>
      <c r="C25" t="inlineStr">
        <is>
          <t>BWI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237</v>
      </c>
      <c r="S25" t="n">
        <v>236</v>
      </c>
      <c r="T25" t="n">
        <v>159</v>
      </c>
      <c r="U25" t="n">
        <v>191</v>
      </c>
      <c r="V25" t="n">
        <v>172</v>
      </c>
      <c r="W25" t="n">
        <v>172</v>
      </c>
      <c r="X25" t="n">
        <v>0</v>
      </c>
      <c r="Y25" t="n">
        <v>2</v>
      </c>
      <c r="Z25" t="n">
        <v>237</v>
      </c>
    </row>
    <row r="26">
      <c r="A26" s="381" t="n">
        <v>45968.37462177307</v>
      </c>
      <c r="B26" t="inlineStr">
        <is>
          <t>Line Int</t>
        </is>
      </c>
      <c r="C26" t="inlineStr">
        <is>
          <t>AGU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8</v>
      </c>
      <c r="O26" t="n">
        <v>8</v>
      </c>
      <c r="P26" t="n">
        <v>9</v>
      </c>
      <c r="Q26" t="n">
        <v>9</v>
      </c>
      <c r="R26" t="n">
        <v>618</v>
      </c>
      <c r="S26" t="n">
        <v>613</v>
      </c>
      <c r="T26" t="n">
        <v>407</v>
      </c>
      <c r="U26" t="n">
        <v>488</v>
      </c>
      <c r="V26" t="n">
        <v>521</v>
      </c>
      <c r="W26" t="n">
        <v>521</v>
      </c>
      <c r="X26" t="n">
        <v>0</v>
      </c>
      <c r="Y26" t="n">
        <v>10</v>
      </c>
      <c r="Z26" t="n">
        <v>618</v>
      </c>
    </row>
    <row r="27">
      <c r="A27" s="381" t="n">
        <v>45968.37462177307</v>
      </c>
      <c r="B27" t="inlineStr">
        <is>
          <t>Line Dom</t>
        </is>
      </c>
      <c r="C27" t="inlineStr">
        <is>
          <t>PSC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</v>
      </c>
      <c r="M27" t="n">
        <v>0</v>
      </c>
      <c r="N27" t="n">
        <v>13</v>
      </c>
      <c r="O27" t="n">
        <v>15</v>
      </c>
      <c r="P27" t="n">
        <v>14</v>
      </c>
      <c r="Q27" t="n">
        <v>14</v>
      </c>
      <c r="R27" t="n">
        <v>992</v>
      </c>
      <c r="S27" t="n">
        <v>992</v>
      </c>
      <c r="T27" t="n">
        <v>594</v>
      </c>
      <c r="U27" t="n">
        <v>819</v>
      </c>
      <c r="V27" t="n">
        <v>850</v>
      </c>
      <c r="W27" t="n">
        <v>850</v>
      </c>
      <c r="X27" t="n">
        <v>0</v>
      </c>
      <c r="Y27" t="n">
        <v>15</v>
      </c>
      <c r="Z27" t="n">
        <v>991</v>
      </c>
    </row>
    <row r="28">
      <c r="A28" s="381" t="n">
        <v>45968.37462177307</v>
      </c>
      <c r="B28" t="inlineStr">
        <is>
          <t>Line Dom</t>
        </is>
      </c>
      <c r="C28" t="inlineStr">
        <is>
          <t>CAE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</v>
      </c>
      <c r="M28" t="n">
        <v>0</v>
      </c>
      <c r="N28" t="n">
        <v>12</v>
      </c>
      <c r="O28" t="n">
        <v>20</v>
      </c>
      <c r="P28" t="n">
        <v>21</v>
      </c>
      <c r="Q28" t="n">
        <v>21</v>
      </c>
      <c r="R28" t="n">
        <v>1477</v>
      </c>
      <c r="S28" t="n">
        <v>1461</v>
      </c>
      <c r="T28" t="n">
        <v>815</v>
      </c>
      <c r="U28" t="n">
        <v>1048</v>
      </c>
      <c r="V28" t="n">
        <v>983</v>
      </c>
      <c r="W28" t="n">
        <v>983</v>
      </c>
      <c r="X28" t="n">
        <v>0</v>
      </c>
      <c r="Y28" t="n">
        <v>29</v>
      </c>
      <c r="Z28" t="n">
        <v>1476</v>
      </c>
    </row>
    <row r="29">
      <c r="A29" s="381" t="n">
        <v>45968.37462177307</v>
      </c>
      <c r="B29" t="inlineStr">
        <is>
          <t>Line Dom</t>
        </is>
      </c>
      <c r="C29" t="inlineStr">
        <is>
          <t>CID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</v>
      </c>
      <c r="M29" t="n">
        <v>0</v>
      </c>
      <c r="N29" t="n">
        <v>17</v>
      </c>
      <c r="O29" t="n">
        <v>20</v>
      </c>
      <c r="P29" t="n">
        <v>19</v>
      </c>
      <c r="Q29" t="n">
        <v>19</v>
      </c>
      <c r="R29" t="n">
        <v>1212</v>
      </c>
      <c r="S29" t="n">
        <v>1196</v>
      </c>
      <c r="T29" t="n">
        <v>738</v>
      </c>
      <c r="U29" t="n">
        <v>908</v>
      </c>
      <c r="V29" t="n">
        <v>788</v>
      </c>
      <c r="W29" t="n">
        <v>788</v>
      </c>
      <c r="X29" t="n">
        <v>0</v>
      </c>
      <c r="Y29" t="n">
        <v>24</v>
      </c>
      <c r="Z29" t="n">
        <v>1212</v>
      </c>
    </row>
    <row r="30">
      <c r="A30" s="381" t="n">
        <v>45968.37462177307</v>
      </c>
      <c r="B30" t="inlineStr">
        <is>
          <t>Line Dom</t>
        </is>
      </c>
      <c r="C30" t="inlineStr">
        <is>
          <t>PIA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</v>
      </c>
      <c r="M30" t="n">
        <v>0</v>
      </c>
      <c r="N30" t="n">
        <v>14</v>
      </c>
      <c r="O30" t="n">
        <v>19</v>
      </c>
      <c r="P30" t="n">
        <v>20</v>
      </c>
      <c r="Q30" t="n">
        <v>20</v>
      </c>
      <c r="R30" t="n">
        <v>1501</v>
      </c>
      <c r="S30" t="n">
        <v>1486</v>
      </c>
      <c r="T30" t="n">
        <v>766</v>
      </c>
      <c r="U30" t="n">
        <v>1041</v>
      </c>
      <c r="V30" t="n">
        <v>953</v>
      </c>
      <c r="W30" t="n">
        <v>953</v>
      </c>
      <c r="X30" t="n">
        <v>0</v>
      </c>
      <c r="Y30" t="n">
        <v>30</v>
      </c>
      <c r="Z30" t="n">
        <v>1502</v>
      </c>
    </row>
    <row r="31">
      <c r="A31" s="381" t="n">
        <v>45968.37462177307</v>
      </c>
      <c r="B31" t="inlineStr">
        <is>
          <t>Line Dom</t>
        </is>
      </c>
      <c r="C31" t="inlineStr">
        <is>
          <t>CRW</t>
        </is>
      </c>
      <c r="D31" t="inlineStr">
        <is>
          <t>UA</t>
        </is>
      </c>
      <c r="E31" t="inlineStr">
        <is>
          <t>Express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6</v>
      </c>
      <c r="O31" t="n">
        <v>8</v>
      </c>
      <c r="P31" t="n">
        <v>6</v>
      </c>
      <c r="Q31" t="n">
        <v>6</v>
      </c>
      <c r="R31" t="n">
        <v>853</v>
      </c>
      <c r="S31" t="n">
        <v>840</v>
      </c>
      <c r="T31" t="n">
        <v>464</v>
      </c>
      <c r="U31" t="n">
        <v>600</v>
      </c>
      <c r="V31" t="n">
        <v>534</v>
      </c>
      <c r="W31" t="n">
        <v>534</v>
      </c>
      <c r="X31" t="n">
        <v>0</v>
      </c>
      <c r="Y31" t="n">
        <v>10</v>
      </c>
      <c r="Z31" t="n">
        <v>852</v>
      </c>
    </row>
    <row r="32">
      <c r="A32" s="381" t="n">
        <v>45968.37462177307</v>
      </c>
      <c r="B32" t="inlineStr">
        <is>
          <t>Line Int</t>
        </is>
      </c>
      <c r="C32" t="inlineStr">
        <is>
          <t>BJX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10</v>
      </c>
      <c r="O32" t="n">
        <v>10</v>
      </c>
      <c r="P32" t="n">
        <v>7</v>
      </c>
      <c r="Q32" t="n">
        <v>7</v>
      </c>
      <c r="R32" t="n">
        <v>451</v>
      </c>
      <c r="S32" t="n">
        <v>447</v>
      </c>
      <c r="T32" t="n">
        <v>245</v>
      </c>
      <c r="U32" t="n">
        <v>343</v>
      </c>
      <c r="V32" t="n">
        <v>398</v>
      </c>
      <c r="W32" t="n">
        <v>398</v>
      </c>
      <c r="X32" t="n">
        <v>0</v>
      </c>
      <c r="Y32" t="n">
        <v>11</v>
      </c>
      <c r="Z32" t="n">
        <v>452</v>
      </c>
    </row>
    <row r="33">
      <c r="A33" s="381" t="n">
        <v>45968.37462177307</v>
      </c>
      <c r="B33" t="inlineStr">
        <is>
          <t>Line Dom</t>
        </is>
      </c>
      <c r="C33" t="inlineStr">
        <is>
          <t>HLN</t>
        </is>
      </c>
      <c r="D33" t="inlineStr">
        <is>
          <t>UA</t>
        </is>
      </c>
      <c r="E33" t="inlineStr">
        <is>
          <t>Express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4</v>
      </c>
      <c r="O33" t="n">
        <v>8</v>
      </c>
      <c r="P33" t="n">
        <v>10</v>
      </c>
      <c r="Q33" t="n">
        <v>10</v>
      </c>
      <c r="R33" t="n">
        <v>773</v>
      </c>
      <c r="S33" t="n">
        <v>763</v>
      </c>
      <c r="T33" t="n">
        <v>440</v>
      </c>
      <c r="U33" t="n">
        <v>544</v>
      </c>
      <c r="V33" t="n">
        <v>501</v>
      </c>
      <c r="W33" t="n">
        <v>501</v>
      </c>
      <c r="X33" t="n">
        <v>0</v>
      </c>
      <c r="Y33" t="n">
        <v>10</v>
      </c>
      <c r="Z33" t="n">
        <v>773</v>
      </c>
    </row>
    <row r="34">
      <c r="A34" s="381" t="n">
        <v>45968.37462177307</v>
      </c>
      <c r="B34" t="inlineStr">
        <is>
          <t>Line Dom</t>
        </is>
      </c>
      <c r="C34" t="inlineStr">
        <is>
          <t>TVC</t>
        </is>
      </c>
      <c r="D34" t="inlineStr">
        <is>
          <t>UA</t>
        </is>
      </c>
      <c r="E34" t="inlineStr">
        <is>
          <t>Express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</v>
      </c>
      <c r="M34" t="n">
        <v>0</v>
      </c>
      <c r="N34" t="n">
        <v>21</v>
      </c>
      <c r="O34" t="n">
        <v>24</v>
      </c>
      <c r="P34" t="n">
        <v>23</v>
      </c>
      <c r="Q34" t="n">
        <v>23</v>
      </c>
      <c r="R34" t="n">
        <v>1271</v>
      </c>
      <c r="S34" t="n">
        <v>1250</v>
      </c>
      <c r="T34" t="n">
        <v>795</v>
      </c>
      <c r="U34" t="n">
        <v>963</v>
      </c>
      <c r="V34" t="n">
        <v>835</v>
      </c>
      <c r="W34" t="n">
        <v>835</v>
      </c>
      <c r="X34" t="n">
        <v>0</v>
      </c>
      <c r="Y34" t="n">
        <v>28</v>
      </c>
      <c r="Z34" t="n">
        <v>1271</v>
      </c>
    </row>
    <row r="35">
      <c r="A35" s="381" t="n">
        <v>45968.37462177307</v>
      </c>
      <c r="B35" t="inlineStr">
        <is>
          <t>Line Dom</t>
        </is>
      </c>
      <c r="C35" t="inlineStr">
        <is>
          <t>PDX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374</v>
      </c>
      <c r="S35" t="n">
        <v>373</v>
      </c>
      <c r="T35" t="n">
        <v>261</v>
      </c>
      <c r="U35" t="n">
        <v>317</v>
      </c>
      <c r="V35" t="n">
        <v>294</v>
      </c>
      <c r="W35" t="n">
        <v>294</v>
      </c>
      <c r="X35" t="n">
        <v>0</v>
      </c>
      <c r="Y35" t="n">
        <v>0</v>
      </c>
      <c r="Z35" t="n">
        <v>374</v>
      </c>
    </row>
    <row r="36">
      <c r="A36" s="381" t="n">
        <v>45968.37462177307</v>
      </c>
      <c r="B36" t="inlineStr">
        <is>
          <t>Line Dom</t>
        </is>
      </c>
      <c r="C36" t="inlineStr">
        <is>
          <t>STL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</v>
      </c>
      <c r="M36" t="n">
        <v>1</v>
      </c>
      <c r="N36" t="n">
        <v>43</v>
      </c>
      <c r="O36" t="n">
        <v>55</v>
      </c>
      <c r="P36" t="n">
        <v>54</v>
      </c>
      <c r="Q36" t="n">
        <v>54</v>
      </c>
      <c r="R36" t="n">
        <v>3986</v>
      </c>
      <c r="S36" t="n">
        <v>3912</v>
      </c>
      <c r="T36" t="n">
        <v>2586</v>
      </c>
      <c r="U36" t="n">
        <v>3026</v>
      </c>
      <c r="V36" t="n">
        <v>2808</v>
      </c>
      <c r="W36" t="n">
        <v>2809</v>
      </c>
      <c r="X36" t="n">
        <v>0</v>
      </c>
      <c r="Y36" t="n">
        <v>66</v>
      </c>
      <c r="Z36" t="n">
        <v>3989</v>
      </c>
    </row>
    <row r="37">
      <c r="A37" s="381" t="n">
        <v>45968.37462177307</v>
      </c>
      <c r="B37" t="inlineStr">
        <is>
          <t>Line Dom</t>
        </is>
      </c>
      <c r="C37" t="inlineStr">
        <is>
          <t>LNK</t>
        </is>
      </c>
      <c r="D37" t="inlineStr">
        <is>
          <t>UA</t>
        </is>
      </c>
      <c r="E37" t="inlineStr">
        <is>
          <t>Express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</v>
      </c>
      <c r="M37" t="n">
        <v>0</v>
      </c>
      <c r="N37" t="n">
        <v>27</v>
      </c>
      <c r="O37" t="n">
        <v>39</v>
      </c>
      <c r="P37" t="n">
        <v>35</v>
      </c>
      <c r="Q37" t="n">
        <v>35</v>
      </c>
      <c r="R37" t="n">
        <v>2551</v>
      </c>
      <c r="S37" t="n">
        <v>2522</v>
      </c>
      <c r="T37" t="n">
        <v>1454</v>
      </c>
      <c r="U37" t="n">
        <v>1817</v>
      </c>
      <c r="V37" t="n">
        <v>1751</v>
      </c>
      <c r="W37" t="n">
        <v>1751</v>
      </c>
      <c r="X37" t="n">
        <v>0</v>
      </c>
      <c r="Y37" t="n">
        <v>46</v>
      </c>
      <c r="Z37" t="n">
        <v>2552</v>
      </c>
    </row>
    <row r="38">
      <c r="A38" s="381" t="n">
        <v>45968.37462177307</v>
      </c>
      <c r="B38" t="inlineStr">
        <is>
          <t>Line Dom</t>
        </is>
      </c>
      <c r="C38" t="inlineStr">
        <is>
          <t>FWA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</v>
      </c>
      <c r="M38" t="n">
        <v>0</v>
      </c>
      <c r="N38" t="n">
        <v>11</v>
      </c>
      <c r="O38" t="n">
        <v>18</v>
      </c>
      <c r="P38" t="n">
        <v>21</v>
      </c>
      <c r="Q38" t="n">
        <v>21</v>
      </c>
      <c r="R38" t="n">
        <v>1274</v>
      </c>
      <c r="S38" t="n">
        <v>1248</v>
      </c>
      <c r="T38" t="n">
        <v>680</v>
      </c>
      <c r="U38" t="n">
        <v>890</v>
      </c>
      <c r="V38" t="n">
        <v>852</v>
      </c>
      <c r="W38" t="n">
        <v>852</v>
      </c>
      <c r="X38" t="n">
        <v>0</v>
      </c>
      <c r="Y38" t="n">
        <v>25</v>
      </c>
      <c r="Z38" t="n">
        <v>1275</v>
      </c>
    </row>
    <row r="39">
      <c r="A39" s="381" t="n">
        <v>45968.37462177307</v>
      </c>
      <c r="B39" t="inlineStr">
        <is>
          <t>Line Dom</t>
        </is>
      </c>
      <c r="C39" t="inlineStr">
        <is>
          <t>RAP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</v>
      </c>
      <c r="M39" t="n">
        <v>0</v>
      </c>
      <c r="N39" t="n">
        <v>25</v>
      </c>
      <c r="O39" t="n">
        <v>29</v>
      </c>
      <c r="P39" t="n">
        <v>29</v>
      </c>
      <c r="Q39" t="n">
        <v>29</v>
      </c>
      <c r="R39" t="n">
        <v>2141</v>
      </c>
      <c r="S39" t="n">
        <v>2101</v>
      </c>
      <c r="T39" t="n">
        <v>1253</v>
      </c>
      <c r="U39" t="n">
        <v>1557</v>
      </c>
      <c r="V39" t="n">
        <v>1467</v>
      </c>
      <c r="W39" t="n">
        <v>1467</v>
      </c>
      <c r="X39" t="n">
        <v>0</v>
      </c>
      <c r="Y39" t="n">
        <v>31</v>
      </c>
      <c r="Z39" t="n">
        <v>2139</v>
      </c>
    </row>
    <row r="40">
      <c r="A40" s="381" t="n">
        <v>45968.37462177307</v>
      </c>
      <c r="B40" t="inlineStr">
        <is>
          <t>Line Dom</t>
        </is>
      </c>
      <c r="C40" t="inlineStr">
        <is>
          <t>MSY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311</v>
      </c>
      <c r="S40" t="n">
        <v>308</v>
      </c>
      <c r="T40" t="n">
        <v>204</v>
      </c>
      <c r="U40" t="n">
        <v>249</v>
      </c>
      <c r="V40" t="n">
        <v>248</v>
      </c>
      <c r="W40" t="n">
        <v>248</v>
      </c>
      <c r="X40" t="n">
        <v>0</v>
      </c>
      <c r="Y40" t="n">
        <v>1</v>
      </c>
      <c r="Z40" t="n">
        <v>311</v>
      </c>
    </row>
    <row r="41">
      <c r="A41" s="381" t="n">
        <v>45968.37462177307</v>
      </c>
      <c r="B41" t="inlineStr">
        <is>
          <t>Line Dom</t>
        </is>
      </c>
      <c r="C41" t="inlineStr">
        <is>
          <t>MRY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</v>
      </c>
      <c r="M41" t="n">
        <v>0</v>
      </c>
      <c r="N41" t="n">
        <v>24</v>
      </c>
      <c r="O41" t="n">
        <v>28</v>
      </c>
      <c r="P41" t="n">
        <v>28</v>
      </c>
      <c r="Q41" t="n">
        <v>28</v>
      </c>
      <c r="R41" t="n">
        <v>1941</v>
      </c>
      <c r="S41" t="n">
        <v>1936</v>
      </c>
      <c r="T41" t="n">
        <v>1324</v>
      </c>
      <c r="U41" t="n">
        <v>1617</v>
      </c>
      <c r="V41" t="n">
        <v>1647</v>
      </c>
      <c r="W41" t="n">
        <v>1647</v>
      </c>
      <c r="X41" t="n">
        <v>0</v>
      </c>
      <c r="Y41" t="n">
        <v>35</v>
      </c>
      <c r="Z41" t="n">
        <v>1941</v>
      </c>
    </row>
    <row r="42">
      <c r="A42" s="381" t="n">
        <v>45968.37462177307</v>
      </c>
      <c r="B42" t="inlineStr">
        <is>
          <t>Line Dom</t>
        </is>
      </c>
      <c r="C42" t="inlineStr">
        <is>
          <t>MLI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</v>
      </c>
      <c r="M42" t="n">
        <v>0</v>
      </c>
      <c r="N42" t="n">
        <v>20</v>
      </c>
      <c r="O42" t="n">
        <v>26</v>
      </c>
      <c r="P42" t="n">
        <v>28</v>
      </c>
      <c r="Q42" t="n">
        <v>28</v>
      </c>
      <c r="R42" t="n">
        <v>1612</v>
      </c>
      <c r="S42" t="n">
        <v>1595</v>
      </c>
      <c r="T42" t="n">
        <v>941</v>
      </c>
      <c r="U42" t="n">
        <v>1165</v>
      </c>
      <c r="V42" t="n">
        <v>1133</v>
      </c>
      <c r="W42" t="n">
        <v>1133</v>
      </c>
      <c r="X42" t="n">
        <v>0</v>
      </c>
      <c r="Y42" t="n">
        <v>30</v>
      </c>
      <c r="Z42" t="n">
        <v>1612</v>
      </c>
    </row>
    <row r="43">
      <c r="A43" s="381" t="n">
        <v>45968.37462177307</v>
      </c>
      <c r="B43" t="inlineStr">
        <is>
          <t>Line Dom</t>
        </is>
      </c>
      <c r="C43" t="inlineStr">
        <is>
          <t>LGA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</v>
      </c>
      <c r="M43" t="n">
        <v>0</v>
      </c>
      <c r="N43" t="n">
        <v>11</v>
      </c>
      <c r="O43" t="n">
        <v>14</v>
      </c>
      <c r="P43" t="n">
        <v>14</v>
      </c>
      <c r="Q43" t="n">
        <v>14</v>
      </c>
      <c r="R43" t="n">
        <v>1727</v>
      </c>
      <c r="S43" t="n">
        <v>1652</v>
      </c>
      <c r="T43" t="n">
        <v>1038</v>
      </c>
      <c r="U43" t="n">
        <v>1248</v>
      </c>
      <c r="V43" t="n">
        <v>1160</v>
      </c>
      <c r="W43" t="n">
        <v>1162</v>
      </c>
      <c r="X43" t="n">
        <v>0</v>
      </c>
      <c r="Y43" t="n">
        <v>20</v>
      </c>
      <c r="Z43" t="n">
        <v>1727</v>
      </c>
    </row>
    <row r="44">
      <c r="A44" s="381" t="n">
        <v>45968.37462177307</v>
      </c>
      <c r="B44" t="inlineStr">
        <is>
          <t>Line Dom</t>
        </is>
      </c>
      <c r="C44" t="inlineStr">
        <is>
          <t>MHT</t>
        </is>
      </c>
      <c r="D44" t="inlineStr">
        <is>
          <t>UA</t>
        </is>
      </c>
      <c r="E44" t="inlineStr">
        <is>
          <t>Express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n">
        <v>7</v>
      </c>
      <c r="O44" t="n">
        <v>9</v>
      </c>
      <c r="P44" t="n">
        <v>6</v>
      </c>
      <c r="Q44" t="n">
        <v>6</v>
      </c>
      <c r="R44" t="n">
        <v>651</v>
      </c>
      <c r="S44" t="n">
        <v>639</v>
      </c>
      <c r="T44" t="n">
        <v>364</v>
      </c>
      <c r="U44" t="n">
        <v>435</v>
      </c>
      <c r="V44" t="n">
        <v>494</v>
      </c>
      <c r="W44" t="n">
        <v>494</v>
      </c>
      <c r="X44" t="n">
        <v>0</v>
      </c>
      <c r="Y44" t="n">
        <v>9</v>
      </c>
      <c r="Z44" t="n">
        <v>652</v>
      </c>
    </row>
    <row r="45">
      <c r="A45" s="381" t="n">
        <v>45968.37462177307</v>
      </c>
      <c r="B45" t="inlineStr">
        <is>
          <t>Line Dom</t>
        </is>
      </c>
      <c r="C45" t="inlineStr">
        <is>
          <t>ILM</t>
        </is>
      </c>
      <c r="D45" t="inlineStr">
        <is>
          <t>UA</t>
        </is>
      </c>
      <c r="E45" t="inlineStr">
        <is>
          <t>Express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</v>
      </c>
      <c r="M45" t="n">
        <v>1</v>
      </c>
      <c r="N45" t="n">
        <v>3</v>
      </c>
      <c r="O45" t="n">
        <v>6</v>
      </c>
      <c r="P45" t="n">
        <v>8</v>
      </c>
      <c r="Q45" t="n">
        <v>8</v>
      </c>
      <c r="R45" t="n">
        <v>655</v>
      </c>
      <c r="S45" t="n">
        <v>616</v>
      </c>
      <c r="T45" t="n">
        <v>338</v>
      </c>
      <c r="U45" t="n">
        <v>435</v>
      </c>
      <c r="V45" t="n">
        <v>431</v>
      </c>
      <c r="W45" t="n">
        <v>431</v>
      </c>
      <c r="X45" t="n">
        <v>0</v>
      </c>
      <c r="Y45" t="n">
        <v>9</v>
      </c>
      <c r="Z45" t="n">
        <v>654</v>
      </c>
    </row>
    <row r="46">
      <c r="A46" s="381" t="n">
        <v>45968.37462177307</v>
      </c>
      <c r="B46" t="inlineStr">
        <is>
          <t>Line Dom</t>
        </is>
      </c>
      <c r="C46" t="inlineStr">
        <is>
          <t>ATW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0</v>
      </c>
      <c r="N46" t="n">
        <v>21</v>
      </c>
      <c r="O46" t="n">
        <v>25</v>
      </c>
      <c r="P46" t="n">
        <v>26</v>
      </c>
      <c r="Q46" t="n">
        <v>26</v>
      </c>
      <c r="R46" t="n">
        <v>2013</v>
      </c>
      <c r="S46" t="n">
        <v>1986</v>
      </c>
      <c r="T46" t="n">
        <v>1146</v>
      </c>
      <c r="U46" t="n">
        <v>1440</v>
      </c>
      <c r="V46" t="n">
        <v>1421</v>
      </c>
      <c r="W46" t="n">
        <v>1421</v>
      </c>
      <c r="X46" t="n">
        <v>0</v>
      </c>
      <c r="Y46" t="n">
        <v>35</v>
      </c>
      <c r="Z46" t="n">
        <v>2013</v>
      </c>
    </row>
    <row r="47">
      <c r="A47" s="381" t="n">
        <v>45968.37462177307</v>
      </c>
      <c r="B47" t="inlineStr">
        <is>
          <t>Line Dom</t>
        </is>
      </c>
      <c r="C47" t="inlineStr">
        <is>
          <t>LWS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32</v>
      </c>
      <c r="S47" t="n">
        <v>32</v>
      </c>
      <c r="T47" t="n">
        <v>16</v>
      </c>
      <c r="U47" t="n">
        <v>21</v>
      </c>
      <c r="V47" t="n">
        <v>28</v>
      </c>
      <c r="W47" t="n">
        <v>28</v>
      </c>
      <c r="X47" t="n">
        <v>0</v>
      </c>
      <c r="Y47" t="n">
        <v>0</v>
      </c>
      <c r="Z47" t="n">
        <v>31</v>
      </c>
    </row>
    <row r="48">
      <c r="A48" s="381" t="n">
        <v>45968.37462177307</v>
      </c>
      <c r="B48" t="inlineStr">
        <is>
          <t>Line Dom</t>
        </is>
      </c>
      <c r="C48" t="inlineStr">
        <is>
          <t>XWA</t>
        </is>
      </c>
      <c r="D48" t="inlineStr">
        <is>
          <t>UA</t>
        </is>
      </c>
      <c r="E48" t="inlineStr">
        <is>
          <t>Express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19</v>
      </c>
      <c r="M48" t="n">
        <v>0</v>
      </c>
      <c r="N48" t="n">
        <v>17</v>
      </c>
      <c r="O48" t="n">
        <v>19</v>
      </c>
      <c r="P48" t="n">
        <v>18</v>
      </c>
      <c r="Q48" t="n">
        <v>18</v>
      </c>
      <c r="R48" t="n">
        <v>1303</v>
      </c>
      <c r="S48" t="n">
        <v>1291</v>
      </c>
      <c r="T48" t="n">
        <v>733</v>
      </c>
      <c r="U48" t="n">
        <v>975</v>
      </c>
      <c r="V48" t="n">
        <v>899</v>
      </c>
      <c r="W48" t="n">
        <v>899</v>
      </c>
      <c r="X48" t="n">
        <v>0</v>
      </c>
      <c r="Y48" t="n">
        <v>19</v>
      </c>
      <c r="Z48" t="n">
        <v>1305</v>
      </c>
    </row>
    <row r="49">
      <c r="A49" s="381" t="n">
        <v>45968.37462177307</v>
      </c>
      <c r="B49" t="inlineStr">
        <is>
          <t>Line Int</t>
        </is>
      </c>
      <c r="C49" t="inlineStr">
        <is>
          <t>YOW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45</v>
      </c>
      <c r="M49" t="n">
        <v>2</v>
      </c>
      <c r="N49" t="n">
        <v>32</v>
      </c>
      <c r="O49" t="n">
        <v>34</v>
      </c>
      <c r="P49" t="n">
        <v>32</v>
      </c>
      <c r="Q49" t="n">
        <v>32</v>
      </c>
      <c r="R49" t="n">
        <v>2685</v>
      </c>
      <c r="S49" t="n">
        <v>2617</v>
      </c>
      <c r="T49" t="n">
        <v>1653</v>
      </c>
      <c r="U49" t="n">
        <v>2030</v>
      </c>
      <c r="V49" t="n">
        <v>1682</v>
      </c>
      <c r="W49" t="n">
        <v>1682</v>
      </c>
      <c r="X49" t="n">
        <v>0</v>
      </c>
      <c r="Y49" t="n">
        <v>45</v>
      </c>
      <c r="Z49" t="n">
        <v>2685</v>
      </c>
    </row>
    <row r="50">
      <c r="A50" s="381" t="n">
        <v>45968.37462177307</v>
      </c>
      <c r="B50" t="inlineStr">
        <is>
          <t>Line Int</t>
        </is>
      </c>
      <c r="C50" t="inlineStr">
        <is>
          <t>HAV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53</v>
      </c>
      <c r="S50" t="n">
        <v>52</v>
      </c>
      <c r="T50" t="n">
        <v>37</v>
      </c>
      <c r="U50" t="n">
        <v>39</v>
      </c>
      <c r="V50" t="n">
        <v>34</v>
      </c>
      <c r="W50" t="n">
        <v>34</v>
      </c>
      <c r="X50" t="n">
        <v>0</v>
      </c>
      <c r="Y50" t="n">
        <v>0</v>
      </c>
      <c r="Z50" t="n">
        <v>53</v>
      </c>
    </row>
    <row r="51">
      <c r="A51" s="381" t="n">
        <v>45968.37462177307</v>
      </c>
      <c r="B51" t="inlineStr">
        <is>
          <t>Line Dom</t>
        </is>
      </c>
      <c r="C51" t="inlineStr">
        <is>
          <t>COU</t>
        </is>
      </c>
      <c r="D51" t="inlineStr">
        <is>
          <t>UA</t>
        </is>
      </c>
      <c r="E51" t="inlineStr">
        <is>
          <t>Express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15</v>
      </c>
      <c r="M51" t="n">
        <v>0</v>
      </c>
      <c r="N51" t="n">
        <v>12</v>
      </c>
      <c r="O51" t="n">
        <v>15</v>
      </c>
      <c r="P51" t="n">
        <v>12</v>
      </c>
      <c r="Q51" t="n">
        <v>12</v>
      </c>
      <c r="R51" t="n">
        <v>124</v>
      </c>
      <c r="S51" t="n">
        <v>124</v>
      </c>
      <c r="T51" t="n">
        <v>91</v>
      </c>
      <c r="U51" t="n">
        <v>108</v>
      </c>
      <c r="V51" t="n">
        <v>93</v>
      </c>
      <c r="W51" t="n">
        <v>93</v>
      </c>
      <c r="X51" t="n">
        <v>0</v>
      </c>
      <c r="Y51" t="n">
        <v>15</v>
      </c>
      <c r="Z51" t="n">
        <v>126</v>
      </c>
    </row>
    <row r="52">
      <c r="A52" s="381" t="n">
        <v>45968.37462177307</v>
      </c>
      <c r="B52" t="inlineStr">
        <is>
          <t>Line Int</t>
        </is>
      </c>
      <c r="C52" t="inlineStr">
        <is>
          <t>YWG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n">
        <v>0</v>
      </c>
      <c r="N52" t="n">
        <v>5</v>
      </c>
      <c r="O52" t="n">
        <v>7</v>
      </c>
      <c r="P52" t="n">
        <v>10</v>
      </c>
      <c r="Q52" t="n">
        <v>10</v>
      </c>
      <c r="R52" t="n">
        <v>774</v>
      </c>
      <c r="S52" t="n">
        <v>770</v>
      </c>
      <c r="T52" t="n">
        <v>486</v>
      </c>
      <c r="U52" t="n">
        <v>634</v>
      </c>
      <c r="V52" t="n">
        <v>632</v>
      </c>
      <c r="W52" t="n">
        <v>632</v>
      </c>
      <c r="X52" t="n">
        <v>0</v>
      </c>
      <c r="Y52" t="n">
        <v>10</v>
      </c>
      <c r="Z52" t="n">
        <v>775</v>
      </c>
    </row>
    <row r="53">
      <c r="A53" s="381" t="n">
        <v>45968.37462177307</v>
      </c>
      <c r="B53" t="inlineStr">
        <is>
          <t>Line Dom</t>
        </is>
      </c>
      <c r="C53" t="inlineStr">
        <is>
          <t>GUC</t>
        </is>
      </c>
      <c r="D53" t="inlineStr">
        <is>
          <t>UA</t>
        </is>
      </c>
      <c r="E53" t="inlineStr">
        <is>
          <t>Express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4</v>
      </c>
      <c r="O53" t="n">
        <v>9</v>
      </c>
      <c r="P53" t="n">
        <v>9</v>
      </c>
      <c r="Q53" t="n">
        <v>9</v>
      </c>
      <c r="R53" t="n">
        <v>968</v>
      </c>
      <c r="S53" t="n">
        <v>963</v>
      </c>
      <c r="T53" t="n">
        <v>631</v>
      </c>
      <c r="U53" t="n">
        <v>771</v>
      </c>
      <c r="V53" t="n">
        <v>690</v>
      </c>
      <c r="W53" t="n">
        <v>690</v>
      </c>
      <c r="X53" t="n">
        <v>0</v>
      </c>
      <c r="Y53" t="n">
        <v>10</v>
      </c>
      <c r="Z53" t="n">
        <v>968</v>
      </c>
    </row>
    <row r="54">
      <c r="A54" s="381" t="n">
        <v>45968.37462177307</v>
      </c>
      <c r="B54" t="inlineStr">
        <is>
          <t>Line Dom</t>
        </is>
      </c>
      <c r="C54" t="inlineStr">
        <is>
          <t>BTV</t>
        </is>
      </c>
      <c r="D54" t="inlineStr">
        <is>
          <t>UA</t>
        </is>
      </c>
      <c r="E54" t="inlineStr">
        <is>
          <t>Express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</v>
      </c>
      <c r="M54" t="n">
        <v>1</v>
      </c>
      <c r="N54" t="n">
        <v>14</v>
      </c>
      <c r="O54" t="n">
        <v>18</v>
      </c>
      <c r="P54" t="n">
        <v>18</v>
      </c>
      <c r="Q54" t="n">
        <v>18</v>
      </c>
      <c r="R54" t="n">
        <v>1949</v>
      </c>
      <c r="S54" t="n">
        <v>1892</v>
      </c>
      <c r="T54" t="n">
        <v>1255</v>
      </c>
      <c r="U54" t="n">
        <v>1514</v>
      </c>
      <c r="V54" t="n">
        <v>1363</v>
      </c>
      <c r="W54" t="n">
        <v>1363</v>
      </c>
      <c r="X54" t="n">
        <v>0</v>
      </c>
      <c r="Y54" t="n">
        <v>29</v>
      </c>
      <c r="Z54" t="n">
        <v>1953</v>
      </c>
    </row>
    <row r="55">
      <c r="A55" s="381" t="n">
        <v>45968.37462177307</v>
      </c>
      <c r="B55" t="inlineStr">
        <is>
          <t>Line Int</t>
        </is>
      </c>
      <c r="C55" t="inlineStr">
        <is>
          <t>YUL</t>
        </is>
      </c>
      <c r="D55" t="inlineStr">
        <is>
          <t>UA</t>
        </is>
      </c>
      <c r="E55" t="inlineStr">
        <is>
          <t>Express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30</v>
      </c>
      <c r="M55" t="n">
        <v>1</v>
      </c>
      <c r="N55" t="n">
        <v>20</v>
      </c>
      <c r="O55" t="n">
        <v>23</v>
      </c>
      <c r="P55" t="n">
        <v>21</v>
      </c>
      <c r="Q55" t="n">
        <v>21</v>
      </c>
      <c r="R55" t="n">
        <v>2033</v>
      </c>
      <c r="S55" t="n">
        <v>1986</v>
      </c>
      <c r="T55" t="n">
        <v>1293</v>
      </c>
      <c r="U55" t="n">
        <v>1594</v>
      </c>
      <c r="V55" t="n">
        <v>1611</v>
      </c>
      <c r="W55" t="n">
        <v>1611</v>
      </c>
      <c r="X55" t="n">
        <v>0</v>
      </c>
      <c r="Y55" t="n">
        <v>30</v>
      </c>
      <c r="Z55" t="n">
        <v>2034</v>
      </c>
    </row>
    <row r="56">
      <c r="A56" s="381" t="n">
        <v>45968.37462177307</v>
      </c>
      <c r="B56" t="inlineStr">
        <is>
          <t>Line Dom</t>
        </is>
      </c>
      <c r="C56" t="inlineStr">
        <is>
          <t>JAC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0</v>
      </c>
      <c r="N56" t="n">
        <v>8</v>
      </c>
      <c r="O56" t="n">
        <v>9</v>
      </c>
      <c r="P56" t="n">
        <v>9</v>
      </c>
      <c r="Q56" t="n">
        <v>9</v>
      </c>
      <c r="R56" t="n">
        <v>553</v>
      </c>
      <c r="S56" t="n">
        <v>551</v>
      </c>
      <c r="T56" t="n">
        <v>396</v>
      </c>
      <c r="U56" t="n">
        <v>469</v>
      </c>
      <c r="V56" t="n">
        <v>405</v>
      </c>
      <c r="W56" t="n">
        <v>405</v>
      </c>
      <c r="X56" t="n">
        <v>0</v>
      </c>
      <c r="Y56" t="n">
        <v>10</v>
      </c>
      <c r="Z56" t="n">
        <v>554</v>
      </c>
    </row>
    <row r="57">
      <c r="A57" s="381" t="n">
        <v>45968.37462177307</v>
      </c>
      <c r="B57" t="inlineStr">
        <is>
          <t>Line Dom</t>
        </is>
      </c>
      <c r="C57" t="inlineStr">
        <is>
          <t>AVP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</v>
      </c>
      <c r="M57" t="n">
        <v>0</v>
      </c>
      <c r="N57" t="n">
        <v>11</v>
      </c>
      <c r="O57" t="n">
        <v>18</v>
      </c>
      <c r="P57" t="n">
        <v>22</v>
      </c>
      <c r="Q57" t="n">
        <v>22</v>
      </c>
      <c r="R57" t="n">
        <v>1341</v>
      </c>
      <c r="S57" t="n">
        <v>1328</v>
      </c>
      <c r="T57" t="n">
        <v>801</v>
      </c>
      <c r="U57" t="n">
        <v>1000</v>
      </c>
      <c r="V57" t="n">
        <v>1021</v>
      </c>
      <c r="W57" t="n">
        <v>1021</v>
      </c>
      <c r="X57" t="n">
        <v>0</v>
      </c>
      <c r="Y57" t="n">
        <v>24</v>
      </c>
      <c r="Z57" t="n">
        <v>1341</v>
      </c>
    </row>
    <row r="58">
      <c r="A58" s="381" t="n">
        <v>45968.37462177307</v>
      </c>
      <c r="B58" t="inlineStr">
        <is>
          <t>Line Int</t>
        </is>
      </c>
      <c r="C58" t="inlineStr">
        <is>
          <t>MLM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</v>
      </c>
      <c r="M58" t="n">
        <v>0</v>
      </c>
      <c r="N58" t="n">
        <v>5</v>
      </c>
      <c r="O58" t="n">
        <v>5</v>
      </c>
      <c r="P58" t="n">
        <v>5</v>
      </c>
      <c r="Q58" t="n">
        <v>5</v>
      </c>
      <c r="R58" t="n">
        <v>314</v>
      </c>
      <c r="S58" t="n">
        <v>310</v>
      </c>
      <c r="T58" t="n">
        <v>163</v>
      </c>
      <c r="U58" t="n">
        <v>223</v>
      </c>
      <c r="V58" t="n">
        <v>268</v>
      </c>
      <c r="W58" t="n">
        <v>268</v>
      </c>
      <c r="X58" t="n">
        <v>0</v>
      </c>
      <c r="Y58" t="n">
        <v>5</v>
      </c>
      <c r="Z58" t="n">
        <v>314</v>
      </c>
    </row>
    <row r="59">
      <c r="A59" s="381" t="n">
        <v>45968.37462177307</v>
      </c>
      <c r="B59" t="inlineStr">
        <is>
          <t>Line Dom</t>
        </is>
      </c>
      <c r="C59" t="inlineStr">
        <is>
          <t>BNA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51</v>
      </c>
      <c r="M59" t="n">
        <v>2</v>
      </c>
      <c r="N59" t="n">
        <v>27</v>
      </c>
      <c r="O59" t="n">
        <v>39</v>
      </c>
      <c r="P59" t="n">
        <v>32</v>
      </c>
      <c r="Q59" t="n">
        <v>32</v>
      </c>
      <c r="R59" t="n">
        <v>1998</v>
      </c>
      <c r="S59" t="n">
        <v>1965</v>
      </c>
      <c r="T59" t="n">
        <v>1192</v>
      </c>
      <c r="U59" t="n">
        <v>1497</v>
      </c>
      <c r="V59" t="n">
        <v>1370</v>
      </c>
      <c r="W59" t="n">
        <v>1371</v>
      </c>
      <c r="X59" t="n">
        <v>0</v>
      </c>
      <c r="Y59" t="n">
        <v>51</v>
      </c>
      <c r="Z59" t="n">
        <v>1997</v>
      </c>
    </row>
    <row r="60">
      <c r="A60" s="381" t="n">
        <v>45968.37462177307</v>
      </c>
      <c r="B60" t="inlineStr">
        <is>
          <t>Line Dom</t>
        </is>
      </c>
      <c r="C60" t="inlineStr">
        <is>
          <t>WYS</t>
        </is>
      </c>
      <c r="D60" t="inlineStr">
        <is>
          <t>UA</t>
        </is>
      </c>
      <c r="E60" t="inlineStr">
        <is>
          <t>Express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188</v>
      </c>
      <c r="S60" t="n">
        <v>186</v>
      </c>
      <c r="T60" t="n">
        <v>123</v>
      </c>
      <c r="U60" t="n">
        <v>146</v>
      </c>
      <c r="V60" t="n">
        <v>117</v>
      </c>
      <c r="W60" t="n">
        <v>117</v>
      </c>
      <c r="X60" t="n">
        <v>0</v>
      </c>
      <c r="Y60" t="n">
        <v>0</v>
      </c>
      <c r="Z60" t="n">
        <v>188</v>
      </c>
    </row>
    <row r="61">
      <c r="A61" s="381" t="n">
        <v>45968.37462177307</v>
      </c>
      <c r="B61" t="inlineStr">
        <is>
          <t>Line Dom</t>
        </is>
      </c>
      <c r="C61" t="inlineStr">
        <is>
          <t>GTF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5</v>
      </c>
      <c r="O61" t="n">
        <v>5</v>
      </c>
      <c r="P61" t="n">
        <v>2</v>
      </c>
      <c r="Q61" t="n">
        <v>2</v>
      </c>
      <c r="R61" t="n">
        <v>298</v>
      </c>
      <c r="S61" t="n">
        <v>298</v>
      </c>
      <c r="T61" t="n">
        <v>188</v>
      </c>
      <c r="U61" t="n">
        <v>237</v>
      </c>
      <c r="V61" t="n">
        <v>242</v>
      </c>
      <c r="W61" t="n">
        <v>242</v>
      </c>
      <c r="X61" t="n">
        <v>0</v>
      </c>
      <c r="Y61" t="n">
        <v>5</v>
      </c>
      <c r="Z61" t="n">
        <v>299</v>
      </c>
    </row>
    <row r="62">
      <c r="A62" s="381" t="n">
        <v>45968.37462177307</v>
      </c>
      <c r="B62" t="inlineStr">
        <is>
          <t>Line Dom</t>
        </is>
      </c>
      <c r="C62" t="inlineStr">
        <is>
          <t>ALB</t>
        </is>
      </c>
      <c r="D62" t="inlineStr">
        <is>
          <t>UA</t>
        </is>
      </c>
      <c r="E62" t="inlineStr">
        <is>
          <t>Express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34</v>
      </c>
      <c r="M62" t="n">
        <v>0</v>
      </c>
      <c r="N62" t="n">
        <v>24</v>
      </c>
      <c r="O62" t="n">
        <v>29</v>
      </c>
      <c r="P62" t="n">
        <v>26</v>
      </c>
      <c r="Q62" t="n">
        <v>26</v>
      </c>
      <c r="R62" t="n">
        <v>1831</v>
      </c>
      <c r="S62" t="n">
        <v>1797</v>
      </c>
      <c r="T62" t="n">
        <v>1111</v>
      </c>
      <c r="U62" t="n">
        <v>1384</v>
      </c>
      <c r="V62" t="n">
        <v>1209</v>
      </c>
      <c r="W62" t="n">
        <v>1209</v>
      </c>
      <c r="X62" t="n">
        <v>0</v>
      </c>
      <c r="Y62" t="n">
        <v>34</v>
      </c>
      <c r="Z62" t="n">
        <v>1830</v>
      </c>
    </row>
    <row r="63">
      <c r="A63" s="381" t="n">
        <v>45968.37462177307</v>
      </c>
      <c r="B63" t="inlineStr">
        <is>
          <t>Line Dom</t>
        </is>
      </c>
      <c r="C63" t="inlineStr">
        <is>
          <t>SMF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29</v>
      </c>
      <c r="M63" t="n">
        <v>0</v>
      </c>
      <c r="N63" t="n">
        <v>17</v>
      </c>
      <c r="O63" t="n">
        <v>21</v>
      </c>
      <c r="P63" t="n">
        <v>19</v>
      </c>
      <c r="Q63" t="n">
        <v>19</v>
      </c>
      <c r="R63" t="n">
        <v>1872</v>
      </c>
      <c r="S63" t="n">
        <v>1864</v>
      </c>
      <c r="T63" t="n">
        <v>1287</v>
      </c>
      <c r="U63" t="n">
        <v>1613</v>
      </c>
      <c r="V63" t="n">
        <v>1526</v>
      </c>
      <c r="W63" t="n">
        <v>1526</v>
      </c>
      <c r="X63" t="n">
        <v>0</v>
      </c>
      <c r="Y63" t="n">
        <v>29</v>
      </c>
      <c r="Z63" t="n">
        <v>1872</v>
      </c>
    </row>
    <row r="64">
      <c r="A64" s="381" t="n">
        <v>45968.37462177307</v>
      </c>
      <c r="B64" t="inlineStr">
        <is>
          <t>Line Dom</t>
        </is>
      </c>
      <c r="C64" t="inlineStr">
        <is>
          <t>LEX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</v>
      </c>
      <c r="M64" t="n">
        <v>0</v>
      </c>
      <c r="N64" t="n">
        <v>11</v>
      </c>
      <c r="O64" t="n">
        <v>18</v>
      </c>
      <c r="P64" t="n">
        <v>16</v>
      </c>
      <c r="Q64" t="n">
        <v>16</v>
      </c>
      <c r="R64" t="n">
        <v>1509</v>
      </c>
      <c r="S64" t="n">
        <v>1496</v>
      </c>
      <c r="T64" t="n">
        <v>884</v>
      </c>
      <c r="U64" t="n">
        <v>1122</v>
      </c>
      <c r="V64" t="n">
        <v>1083</v>
      </c>
      <c r="W64" t="n">
        <v>1083</v>
      </c>
      <c r="X64" t="n">
        <v>0</v>
      </c>
      <c r="Y64" t="n">
        <v>25</v>
      </c>
      <c r="Z64" t="n">
        <v>1510</v>
      </c>
    </row>
    <row r="65">
      <c r="A65" s="381" t="n">
        <v>45968.37462177307</v>
      </c>
      <c r="B65" t="inlineStr">
        <is>
          <t>Line Dom</t>
        </is>
      </c>
      <c r="C65" t="inlineStr">
        <is>
          <t>BZN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9</v>
      </c>
      <c r="O65" t="n">
        <v>10</v>
      </c>
      <c r="P65" t="n">
        <v>8</v>
      </c>
      <c r="Q65" t="n">
        <v>8</v>
      </c>
      <c r="R65" t="n">
        <v>811</v>
      </c>
      <c r="S65" t="n">
        <v>805</v>
      </c>
      <c r="T65" t="n">
        <v>568</v>
      </c>
      <c r="U65" t="n">
        <v>683</v>
      </c>
      <c r="V65" t="n">
        <v>627</v>
      </c>
      <c r="W65" t="n">
        <v>627</v>
      </c>
      <c r="X65" t="n">
        <v>0</v>
      </c>
      <c r="Y65" t="n">
        <v>10</v>
      </c>
      <c r="Z65" t="n">
        <v>810</v>
      </c>
    </row>
    <row r="66">
      <c r="A66" s="381" t="n">
        <v>45968.37462177307</v>
      </c>
      <c r="B66" t="inlineStr">
        <is>
          <t>Line Dom</t>
        </is>
      </c>
      <c r="C66" t="inlineStr">
        <is>
          <t>MSO</t>
        </is>
      </c>
      <c r="D66" t="inlineStr">
        <is>
          <t>UA</t>
        </is>
      </c>
      <c r="E66" t="inlineStr">
        <is>
          <t>Express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n">
        <v>0</v>
      </c>
      <c r="N66" t="n">
        <v>5</v>
      </c>
      <c r="O66" t="n">
        <v>5</v>
      </c>
      <c r="P66" t="n">
        <v>5</v>
      </c>
      <c r="Q66" t="n">
        <v>5</v>
      </c>
      <c r="R66" t="n">
        <v>562</v>
      </c>
      <c r="S66" t="n">
        <v>558</v>
      </c>
      <c r="T66" t="n">
        <v>355</v>
      </c>
      <c r="U66" t="n">
        <v>466</v>
      </c>
      <c r="V66" t="n">
        <v>371</v>
      </c>
      <c r="W66" t="n">
        <v>371</v>
      </c>
      <c r="X66" t="n">
        <v>0</v>
      </c>
      <c r="Y66" t="n">
        <v>5</v>
      </c>
      <c r="Z66" t="n">
        <v>562</v>
      </c>
    </row>
    <row r="67">
      <c r="A67" s="381" t="n">
        <v>45968.37462177307</v>
      </c>
      <c r="B67" t="inlineStr">
        <is>
          <t>Line Dom</t>
        </is>
      </c>
      <c r="C67" t="inlineStr">
        <is>
          <t>AMA</t>
        </is>
      </c>
      <c r="D67" t="inlineStr">
        <is>
          <t>UA</t>
        </is>
      </c>
      <c r="E67" t="inlineStr">
        <is>
          <t>Express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</v>
      </c>
      <c r="M67" t="n">
        <v>0</v>
      </c>
      <c r="N67" t="n">
        <v>22</v>
      </c>
      <c r="O67" t="n">
        <v>26</v>
      </c>
      <c r="P67" t="n">
        <v>22</v>
      </c>
      <c r="Q67" t="n">
        <v>22</v>
      </c>
      <c r="R67" t="n">
        <v>1473</v>
      </c>
      <c r="S67" t="n">
        <v>1447</v>
      </c>
      <c r="T67" t="n">
        <v>936</v>
      </c>
      <c r="U67" t="n">
        <v>1096</v>
      </c>
      <c r="V67" t="n">
        <v>1056</v>
      </c>
      <c r="W67" t="n">
        <v>1056</v>
      </c>
      <c r="X67" t="n">
        <v>0</v>
      </c>
      <c r="Y67" t="n">
        <v>26</v>
      </c>
      <c r="Z67" t="n">
        <v>1475</v>
      </c>
    </row>
    <row r="68">
      <c r="A68" s="381" t="n">
        <v>45968.37462177307</v>
      </c>
      <c r="B68" t="inlineStr">
        <is>
          <t>Line Dom</t>
        </is>
      </c>
      <c r="C68" t="inlineStr">
        <is>
          <t>VCT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0</v>
      </c>
      <c r="N68" t="n">
        <v>7</v>
      </c>
      <c r="O68" t="n">
        <v>8</v>
      </c>
      <c r="P68" t="n">
        <v>8</v>
      </c>
      <c r="Q68" t="n">
        <v>8</v>
      </c>
      <c r="R68" t="n">
        <v>493</v>
      </c>
      <c r="S68" t="n">
        <v>471</v>
      </c>
      <c r="T68" t="n">
        <v>330</v>
      </c>
      <c r="U68" t="n">
        <v>367</v>
      </c>
      <c r="V68" t="n">
        <v>352</v>
      </c>
      <c r="W68" t="n">
        <v>352</v>
      </c>
      <c r="X68" t="n">
        <v>0</v>
      </c>
      <c r="Y68" t="n">
        <v>8</v>
      </c>
      <c r="Z68" t="n">
        <v>493</v>
      </c>
    </row>
    <row r="69">
      <c r="A69" s="381" t="n">
        <v>45968.37462177307</v>
      </c>
      <c r="B69" t="inlineStr">
        <is>
          <t>Line Dom</t>
        </is>
      </c>
      <c r="C69" t="inlineStr">
        <is>
          <t>SYR</t>
        </is>
      </c>
      <c r="D69" t="inlineStr">
        <is>
          <t>UA</t>
        </is>
      </c>
      <c r="E69" t="inlineStr">
        <is>
          <t>Express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32</v>
      </c>
      <c r="M69" t="n">
        <v>0</v>
      </c>
      <c r="N69" t="n">
        <v>24</v>
      </c>
      <c r="O69" t="n">
        <v>26</v>
      </c>
      <c r="P69" t="n">
        <v>25</v>
      </c>
      <c r="Q69" t="n">
        <v>25</v>
      </c>
      <c r="R69" t="n">
        <v>2174</v>
      </c>
      <c r="S69" t="n">
        <v>2117</v>
      </c>
      <c r="T69" t="n">
        <v>1375</v>
      </c>
      <c r="U69" t="n">
        <v>1661</v>
      </c>
      <c r="V69" t="n">
        <v>1580</v>
      </c>
      <c r="W69" t="n">
        <v>1580</v>
      </c>
      <c r="X69" t="n">
        <v>0</v>
      </c>
      <c r="Y69" t="n">
        <v>32</v>
      </c>
      <c r="Z69" t="n">
        <v>2168</v>
      </c>
    </row>
    <row r="70">
      <c r="A70" s="381" t="n">
        <v>45968.37462177307</v>
      </c>
      <c r="B70" t="inlineStr">
        <is>
          <t>Line Int</t>
        </is>
      </c>
      <c r="C70" t="inlineStr">
        <is>
          <t>ACA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46</v>
      </c>
      <c r="S70" t="n">
        <v>46</v>
      </c>
      <c r="T70" t="n">
        <v>29</v>
      </c>
      <c r="U70" t="n">
        <v>42</v>
      </c>
      <c r="V70" t="n">
        <v>41</v>
      </c>
      <c r="W70" t="n">
        <v>41</v>
      </c>
      <c r="X70" t="n">
        <v>0</v>
      </c>
      <c r="Y70" t="n">
        <v>2</v>
      </c>
      <c r="Z70" t="n">
        <v>46</v>
      </c>
    </row>
    <row r="71">
      <c r="A71" s="381" t="n">
        <v>45968.37462177307</v>
      </c>
      <c r="B71" t="inlineStr">
        <is>
          <t>Line Dom</t>
        </is>
      </c>
      <c r="C71" t="inlineStr">
        <is>
          <t>MSP</t>
        </is>
      </c>
      <c r="D71" t="inlineStr">
        <is>
          <t>UA</t>
        </is>
      </c>
      <c r="E71" t="inlineStr">
        <is>
          <t>Express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</v>
      </c>
      <c r="M71" t="n">
        <v>0</v>
      </c>
      <c r="N71" t="n">
        <v>16</v>
      </c>
      <c r="O71" t="n">
        <v>18</v>
      </c>
      <c r="P71" t="n">
        <v>18</v>
      </c>
      <c r="Q71" t="n">
        <v>18</v>
      </c>
      <c r="R71" t="n">
        <v>1723</v>
      </c>
      <c r="S71" t="n">
        <v>1703</v>
      </c>
      <c r="T71" t="n">
        <v>1222</v>
      </c>
      <c r="U71" t="n">
        <v>1439</v>
      </c>
      <c r="V71" t="n">
        <v>1334</v>
      </c>
      <c r="W71" t="n">
        <v>1334</v>
      </c>
      <c r="X71" t="n">
        <v>0</v>
      </c>
      <c r="Y71" t="n">
        <v>23</v>
      </c>
      <c r="Z71" t="n">
        <v>1725</v>
      </c>
    </row>
    <row r="72">
      <c r="A72" s="381" t="n">
        <v>45968.37462177307</v>
      </c>
      <c r="B72" t="inlineStr">
        <is>
          <t>Line Dom</t>
        </is>
      </c>
      <c r="C72" t="inlineStr">
        <is>
          <t>MKE</t>
        </is>
      </c>
      <c r="D72" t="inlineStr">
        <is>
          <t>UA</t>
        </is>
      </c>
      <c r="E72" t="inlineStr">
        <is>
          <t>Express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69</v>
      </c>
      <c r="M72" t="n">
        <v>1</v>
      </c>
      <c r="N72" t="n">
        <v>48</v>
      </c>
      <c r="O72" t="n">
        <v>63</v>
      </c>
      <c r="P72" t="n">
        <v>51</v>
      </c>
      <c r="Q72" t="n">
        <v>51</v>
      </c>
      <c r="R72" t="n">
        <v>4025</v>
      </c>
      <c r="S72" t="n">
        <v>3952</v>
      </c>
      <c r="T72" t="n">
        <v>2362</v>
      </c>
      <c r="U72" t="n">
        <v>2952</v>
      </c>
      <c r="V72" t="n">
        <v>2702</v>
      </c>
      <c r="W72" t="n">
        <v>2702</v>
      </c>
      <c r="X72" t="n">
        <v>0</v>
      </c>
      <c r="Y72" t="n">
        <v>69</v>
      </c>
      <c r="Z72" t="n">
        <v>4025</v>
      </c>
    </row>
    <row r="73">
      <c r="A73" s="381" t="n">
        <v>45968.37462177307</v>
      </c>
      <c r="B73" t="inlineStr">
        <is>
          <t>Line Dom</t>
        </is>
      </c>
      <c r="C73" t="inlineStr">
        <is>
          <t>SBN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44</v>
      </c>
      <c r="M73" t="n">
        <v>0</v>
      </c>
      <c r="N73" t="n">
        <v>22</v>
      </c>
      <c r="O73" t="n">
        <v>31</v>
      </c>
      <c r="P73" t="n">
        <v>32</v>
      </c>
      <c r="Q73" t="n">
        <v>32</v>
      </c>
      <c r="R73" t="n">
        <v>2241</v>
      </c>
      <c r="S73" t="n">
        <v>2212</v>
      </c>
      <c r="T73" t="n">
        <v>1177</v>
      </c>
      <c r="U73" t="n">
        <v>1551</v>
      </c>
      <c r="V73" t="n">
        <v>1536</v>
      </c>
      <c r="W73" t="n">
        <v>1536</v>
      </c>
      <c r="X73" t="n">
        <v>0</v>
      </c>
      <c r="Y73" t="n">
        <v>44</v>
      </c>
      <c r="Z73" t="n">
        <v>2241</v>
      </c>
    </row>
    <row r="74">
      <c r="A74" s="381" t="n">
        <v>45968.37462177307</v>
      </c>
      <c r="B74" t="inlineStr">
        <is>
          <t>Line Dom</t>
        </is>
      </c>
      <c r="C74" t="inlineStr">
        <is>
          <t>MEI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6</v>
      </c>
      <c r="O74" t="n">
        <v>6</v>
      </c>
      <c r="P74" t="n">
        <v>8</v>
      </c>
      <c r="Q74" t="n">
        <v>8</v>
      </c>
      <c r="R74" t="n">
        <v>530</v>
      </c>
      <c r="S74" t="n">
        <v>521</v>
      </c>
      <c r="T74" t="n">
        <v>332</v>
      </c>
      <c r="U74" t="n">
        <v>388</v>
      </c>
      <c r="V74" t="n">
        <v>407</v>
      </c>
      <c r="W74" t="n">
        <v>407</v>
      </c>
      <c r="X74" t="n">
        <v>0</v>
      </c>
      <c r="Y74" t="n">
        <v>8</v>
      </c>
      <c r="Z74" t="n">
        <v>530</v>
      </c>
    </row>
    <row r="75">
      <c r="A75" s="381" t="n">
        <v>45968.37462177307</v>
      </c>
      <c r="B75" t="inlineStr">
        <is>
          <t>Line Dom</t>
        </is>
      </c>
      <c r="C75" t="inlineStr">
        <is>
          <t>RKS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10</v>
      </c>
      <c r="O75" t="n">
        <v>10</v>
      </c>
      <c r="P75" t="n">
        <v>10</v>
      </c>
      <c r="Q75" t="n">
        <v>10</v>
      </c>
      <c r="R75" t="n">
        <v>618</v>
      </c>
      <c r="S75" t="n">
        <v>614</v>
      </c>
      <c r="T75" t="n">
        <v>363</v>
      </c>
      <c r="U75" t="n">
        <v>443</v>
      </c>
      <c r="V75" t="n">
        <v>456</v>
      </c>
      <c r="W75" t="n">
        <v>456</v>
      </c>
      <c r="X75" t="n">
        <v>0</v>
      </c>
      <c r="Y75" t="n">
        <v>10</v>
      </c>
      <c r="Z75" t="n">
        <v>618</v>
      </c>
    </row>
    <row r="76">
      <c r="A76" s="381" t="n">
        <v>45968.37462177307</v>
      </c>
      <c r="B76" t="inlineStr">
        <is>
          <t>Line Dom</t>
        </is>
      </c>
      <c r="C76" t="inlineStr">
        <is>
          <t>SAV</t>
        </is>
      </c>
      <c r="D76" t="inlineStr">
        <is>
          <t>UA</t>
        </is>
      </c>
      <c r="E76" t="inlineStr">
        <is>
          <t>Express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29</v>
      </c>
      <c r="M76" t="n">
        <v>0</v>
      </c>
      <c r="N76" t="n">
        <v>24</v>
      </c>
      <c r="O76" t="n">
        <v>26</v>
      </c>
      <c r="P76" t="n">
        <v>27</v>
      </c>
      <c r="Q76" t="n">
        <v>27</v>
      </c>
      <c r="R76" t="n">
        <v>2299</v>
      </c>
      <c r="S76" t="n">
        <v>2251</v>
      </c>
      <c r="T76" t="n">
        <v>1541</v>
      </c>
      <c r="U76" t="n">
        <v>1794</v>
      </c>
      <c r="V76" t="n">
        <v>1788</v>
      </c>
      <c r="W76" t="n">
        <v>1788</v>
      </c>
      <c r="X76" t="n">
        <v>0</v>
      </c>
      <c r="Y76" t="n">
        <v>29</v>
      </c>
      <c r="Z76" t="n">
        <v>2298</v>
      </c>
    </row>
    <row r="77">
      <c r="A77" s="381" t="n">
        <v>45968.37462177307</v>
      </c>
      <c r="B77" t="inlineStr">
        <is>
          <t>Line Dom</t>
        </is>
      </c>
      <c r="C77" t="inlineStr">
        <is>
          <t>MCW</t>
        </is>
      </c>
      <c r="D77" t="inlineStr">
        <is>
          <t>UA</t>
        </is>
      </c>
      <c r="E77" t="inlineStr">
        <is>
          <t>Express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0</v>
      </c>
      <c r="N77" t="n">
        <v>6</v>
      </c>
      <c r="O77" t="n">
        <v>7</v>
      </c>
      <c r="P77" t="n">
        <v>8</v>
      </c>
      <c r="Q77" t="n">
        <v>8</v>
      </c>
      <c r="R77" t="n">
        <v>530</v>
      </c>
      <c r="S77" t="n">
        <v>516</v>
      </c>
      <c r="T77" t="n">
        <v>331</v>
      </c>
      <c r="U77" t="n">
        <v>393</v>
      </c>
      <c r="V77" t="n">
        <v>387</v>
      </c>
      <c r="W77" t="n">
        <v>387</v>
      </c>
      <c r="X77" t="n">
        <v>0</v>
      </c>
      <c r="Y77" t="n">
        <v>8</v>
      </c>
      <c r="Z77" t="n">
        <v>530</v>
      </c>
    </row>
    <row r="78">
      <c r="A78" s="381" t="n">
        <v>45968.37462177307</v>
      </c>
      <c r="B78" t="inlineStr">
        <is>
          <t>Line Dom</t>
        </is>
      </c>
      <c r="C78" t="inlineStr">
        <is>
          <t>LCH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13</v>
      </c>
      <c r="M78" t="n">
        <v>0</v>
      </c>
      <c r="N78" t="n">
        <v>7</v>
      </c>
      <c r="O78" t="n">
        <v>10</v>
      </c>
      <c r="P78" t="n">
        <v>11</v>
      </c>
      <c r="Q78" t="n">
        <v>11</v>
      </c>
      <c r="R78" t="n">
        <v>765</v>
      </c>
      <c r="S78" t="n">
        <v>748</v>
      </c>
      <c r="T78" t="n">
        <v>528</v>
      </c>
      <c r="U78" t="n">
        <v>605</v>
      </c>
      <c r="V78" t="n">
        <v>584</v>
      </c>
      <c r="W78" t="n">
        <v>584</v>
      </c>
      <c r="X78" t="n">
        <v>0</v>
      </c>
      <c r="Y78" t="n">
        <v>13</v>
      </c>
      <c r="Z78" t="n">
        <v>765</v>
      </c>
    </row>
    <row r="79">
      <c r="A79" s="381" t="n">
        <v>45968.37462177307</v>
      </c>
      <c r="B79" t="inlineStr">
        <is>
          <t>Line Dom</t>
        </is>
      </c>
      <c r="C79" t="inlineStr">
        <is>
          <t>HOB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n">
        <v>0</v>
      </c>
      <c r="N79" t="n">
        <v>7</v>
      </c>
      <c r="O79" t="n">
        <v>8</v>
      </c>
      <c r="P79" t="n">
        <v>10</v>
      </c>
      <c r="Q79" t="n">
        <v>10</v>
      </c>
      <c r="R79" t="n">
        <v>618</v>
      </c>
      <c r="S79" t="n">
        <v>606</v>
      </c>
      <c r="T79" t="n">
        <v>318</v>
      </c>
      <c r="U79" t="n">
        <v>376</v>
      </c>
      <c r="V79" t="n">
        <v>424</v>
      </c>
      <c r="W79" t="n">
        <v>424</v>
      </c>
      <c r="X79" t="n">
        <v>0</v>
      </c>
      <c r="Y79" t="n">
        <v>10</v>
      </c>
      <c r="Z79" t="n">
        <v>618</v>
      </c>
    </row>
    <row r="80">
      <c r="A80" s="381" t="n">
        <v>45968.37462177307</v>
      </c>
      <c r="B80" t="inlineStr">
        <is>
          <t>Line Dom</t>
        </is>
      </c>
      <c r="C80" t="inlineStr">
        <is>
          <t>SBA</t>
        </is>
      </c>
      <c r="D80" t="inlineStr">
        <is>
          <t>UA</t>
        </is>
      </c>
      <c r="E80" t="inlineStr">
        <is>
          <t>Express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19</v>
      </c>
      <c r="M80" t="n">
        <v>0</v>
      </c>
      <c r="N80" t="n">
        <v>13</v>
      </c>
      <c r="O80" t="n">
        <v>14</v>
      </c>
      <c r="P80" t="n">
        <v>13</v>
      </c>
      <c r="Q80" t="n">
        <v>13</v>
      </c>
      <c r="R80" t="n">
        <v>1165</v>
      </c>
      <c r="S80" t="n">
        <v>1156</v>
      </c>
      <c r="T80" t="n">
        <v>840</v>
      </c>
      <c r="U80" t="n">
        <v>994</v>
      </c>
      <c r="V80" t="n">
        <v>947</v>
      </c>
      <c r="W80" t="n">
        <v>947</v>
      </c>
      <c r="X80" t="n">
        <v>0</v>
      </c>
      <c r="Y80" t="n">
        <v>19</v>
      </c>
      <c r="Z80" t="n">
        <v>1165</v>
      </c>
    </row>
    <row r="81">
      <c r="A81" s="381" t="n">
        <v>45968.37462177307</v>
      </c>
      <c r="B81" t="inlineStr">
        <is>
          <t>Line Dom</t>
        </is>
      </c>
      <c r="C81" t="inlineStr">
        <is>
          <t>MSN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28</v>
      </c>
      <c r="M81" t="n">
        <v>0</v>
      </c>
      <c r="N81" t="n">
        <v>15</v>
      </c>
      <c r="O81" t="n">
        <v>25</v>
      </c>
      <c r="P81" t="n">
        <v>25</v>
      </c>
      <c r="Q81" t="n">
        <v>25</v>
      </c>
      <c r="R81" t="n">
        <v>1954</v>
      </c>
      <c r="S81" t="n">
        <v>1938</v>
      </c>
      <c r="T81" t="n">
        <v>1272</v>
      </c>
      <c r="U81" t="n">
        <v>1514</v>
      </c>
      <c r="V81" t="n">
        <v>1434</v>
      </c>
      <c r="W81" t="n">
        <v>1434</v>
      </c>
      <c r="X81" t="n">
        <v>0</v>
      </c>
      <c r="Y81" t="n">
        <v>28</v>
      </c>
      <c r="Z81" t="n">
        <v>1949</v>
      </c>
    </row>
    <row r="82">
      <c r="A82" s="381" t="n">
        <v>45968.37462177307</v>
      </c>
      <c r="B82" t="inlineStr">
        <is>
          <t>Line Dom</t>
        </is>
      </c>
      <c r="C82" t="inlineStr">
        <is>
          <t>PSP</t>
        </is>
      </c>
      <c r="D82" t="inlineStr">
        <is>
          <t>UA</t>
        </is>
      </c>
      <c r="E82" t="inlineStr">
        <is>
          <t>Express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43</v>
      </c>
      <c r="M82" t="n">
        <v>0</v>
      </c>
      <c r="N82" t="n">
        <v>26</v>
      </c>
      <c r="O82" t="n">
        <v>33</v>
      </c>
      <c r="P82" t="n">
        <v>27</v>
      </c>
      <c r="Q82" t="n">
        <v>27</v>
      </c>
      <c r="R82" t="n">
        <v>1776</v>
      </c>
      <c r="S82" t="n">
        <v>1772</v>
      </c>
      <c r="T82" t="n">
        <v>1178</v>
      </c>
      <c r="U82" t="n">
        <v>1472</v>
      </c>
      <c r="V82" t="n">
        <v>1377</v>
      </c>
      <c r="W82" t="n">
        <v>1377</v>
      </c>
      <c r="X82" t="n">
        <v>0</v>
      </c>
      <c r="Y82" t="n">
        <v>43</v>
      </c>
      <c r="Z82" t="n">
        <v>1776</v>
      </c>
    </row>
    <row r="83">
      <c r="A83" s="381" t="n">
        <v>45968.37462177307</v>
      </c>
      <c r="B83" t="inlineStr">
        <is>
          <t>Line Dom</t>
        </is>
      </c>
      <c r="C83" t="inlineStr">
        <is>
          <t>FOD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0</v>
      </c>
      <c r="N83" t="n">
        <v>7</v>
      </c>
      <c r="O83" t="n">
        <v>7</v>
      </c>
      <c r="P83" t="n">
        <v>7</v>
      </c>
      <c r="Q83" t="n">
        <v>7</v>
      </c>
      <c r="R83" t="n">
        <v>530</v>
      </c>
      <c r="S83" t="n">
        <v>518</v>
      </c>
      <c r="T83" t="n">
        <v>387</v>
      </c>
      <c r="U83" t="n">
        <v>423</v>
      </c>
      <c r="V83" t="n">
        <v>414</v>
      </c>
      <c r="W83" t="n">
        <v>414</v>
      </c>
      <c r="X83" t="n">
        <v>0</v>
      </c>
      <c r="Y83" t="n">
        <v>8</v>
      </c>
      <c r="Z83" t="n">
        <v>530</v>
      </c>
    </row>
    <row r="84">
      <c r="A84" s="381" t="n">
        <v>45968.37462177307</v>
      </c>
      <c r="B84" t="inlineStr">
        <is>
          <t>Line Dom</t>
        </is>
      </c>
      <c r="C84" t="inlineStr">
        <is>
          <t>DRO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20</v>
      </c>
      <c r="M84" t="n">
        <v>0</v>
      </c>
      <c r="N84" t="n">
        <v>16</v>
      </c>
      <c r="O84" t="n">
        <v>20</v>
      </c>
      <c r="P84" t="n">
        <v>17</v>
      </c>
      <c r="Q84" t="n">
        <v>17</v>
      </c>
      <c r="R84" t="n">
        <v>1296</v>
      </c>
      <c r="S84" t="n">
        <v>1283</v>
      </c>
      <c r="T84" t="n">
        <v>843</v>
      </c>
      <c r="U84" t="n">
        <v>996</v>
      </c>
      <c r="V84" t="n">
        <v>836</v>
      </c>
      <c r="W84" t="n">
        <v>836</v>
      </c>
      <c r="X84" t="n">
        <v>0</v>
      </c>
      <c r="Y84" t="n">
        <v>20</v>
      </c>
      <c r="Z84" t="n">
        <v>1296</v>
      </c>
    </row>
    <row r="85">
      <c r="A85" s="381" t="n">
        <v>45968.37462177307</v>
      </c>
      <c r="B85" t="inlineStr">
        <is>
          <t>Line Dom</t>
        </is>
      </c>
      <c r="C85" t="inlineStr">
        <is>
          <t>GCC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</v>
      </c>
      <c r="M85" t="n">
        <v>0</v>
      </c>
      <c r="N85" t="n">
        <v>9</v>
      </c>
      <c r="O85" t="n">
        <v>9</v>
      </c>
      <c r="P85" t="n">
        <v>8</v>
      </c>
      <c r="Q85" t="n">
        <v>8</v>
      </c>
      <c r="R85" t="n">
        <v>618</v>
      </c>
      <c r="S85" t="n">
        <v>605</v>
      </c>
      <c r="T85" t="n">
        <v>387</v>
      </c>
      <c r="U85" t="n">
        <v>472</v>
      </c>
      <c r="V85" t="n">
        <v>448</v>
      </c>
      <c r="W85" t="n">
        <v>448</v>
      </c>
      <c r="X85" t="n">
        <v>0</v>
      </c>
      <c r="Y85" t="n">
        <v>10</v>
      </c>
      <c r="Z85" t="n">
        <v>618</v>
      </c>
    </row>
    <row r="86">
      <c r="A86" s="381" t="n">
        <v>45968.37462177307</v>
      </c>
      <c r="B86" t="inlineStr">
        <is>
          <t>Line Int</t>
        </is>
      </c>
      <c r="C86" t="inlineStr">
        <is>
          <t>YYZ</t>
        </is>
      </c>
      <c r="D86" t="inlineStr">
        <is>
          <t>UA</t>
        </is>
      </c>
      <c r="E86" t="inlineStr">
        <is>
          <t>Express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62</v>
      </c>
      <c r="M86" t="n">
        <v>1</v>
      </c>
      <c r="N86" t="n">
        <v>25</v>
      </c>
      <c r="O86" t="n">
        <v>35</v>
      </c>
      <c r="P86" t="n">
        <v>41</v>
      </c>
      <c r="Q86" t="n">
        <v>41</v>
      </c>
      <c r="R86" t="n">
        <v>4163</v>
      </c>
      <c r="S86" t="n">
        <v>4027</v>
      </c>
      <c r="T86" t="n">
        <v>2679</v>
      </c>
      <c r="U86" t="n">
        <v>3242</v>
      </c>
      <c r="V86" t="n">
        <v>3205</v>
      </c>
      <c r="W86" t="n">
        <v>3205</v>
      </c>
      <c r="X86" t="n">
        <v>0</v>
      </c>
      <c r="Y86" t="n">
        <v>62</v>
      </c>
      <c r="Z86" t="n">
        <v>4160</v>
      </c>
    </row>
    <row r="87">
      <c r="A87" s="381" t="n">
        <v>45968.37462177307</v>
      </c>
      <c r="B87" t="inlineStr">
        <is>
          <t>Line Dom</t>
        </is>
      </c>
      <c r="C87" t="inlineStr">
        <is>
          <t>HHH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234</v>
      </c>
      <c r="S87" t="n">
        <v>223</v>
      </c>
      <c r="T87" t="n">
        <v>158</v>
      </c>
      <c r="U87" t="n">
        <v>188</v>
      </c>
      <c r="V87" t="n">
        <v>149</v>
      </c>
      <c r="W87" t="n">
        <v>149</v>
      </c>
      <c r="X87" t="n">
        <v>0</v>
      </c>
      <c r="Y87" t="n">
        <v>0</v>
      </c>
      <c r="Z87" t="n">
        <v>234</v>
      </c>
    </row>
    <row r="88">
      <c r="A88" s="381" t="n">
        <v>45968.37462177307</v>
      </c>
      <c r="B88" t="inlineStr">
        <is>
          <t>Line Dom</t>
        </is>
      </c>
      <c r="C88" t="inlineStr">
        <is>
          <t>RHI</t>
        </is>
      </c>
      <c r="D88" t="inlineStr">
        <is>
          <t>UA</t>
        </is>
      </c>
      <c r="E88" t="inlineStr">
        <is>
          <t>Express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201</v>
      </c>
      <c r="S88" t="n">
        <v>194</v>
      </c>
      <c r="T88" t="n">
        <v>107</v>
      </c>
      <c r="U88" t="n">
        <v>140</v>
      </c>
      <c r="V88" t="n">
        <v>132</v>
      </c>
      <c r="W88" t="n">
        <v>132</v>
      </c>
      <c r="X88" t="n">
        <v>0</v>
      </c>
      <c r="Y88" t="n">
        <v>0</v>
      </c>
      <c r="Z88" t="n">
        <v>201</v>
      </c>
    </row>
    <row r="89">
      <c r="A89" s="381" t="n">
        <v>45968.37462177307</v>
      </c>
      <c r="B89" t="inlineStr">
        <is>
          <t>Line Dom</t>
        </is>
      </c>
      <c r="C89" t="inlineStr">
        <is>
          <t>BRO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19</v>
      </c>
      <c r="M89" t="n">
        <v>0</v>
      </c>
      <c r="N89" t="n">
        <v>13</v>
      </c>
      <c r="O89" t="n">
        <v>18</v>
      </c>
      <c r="P89" t="n">
        <v>17</v>
      </c>
      <c r="Q89" t="n">
        <v>17</v>
      </c>
      <c r="R89" t="n">
        <v>1353</v>
      </c>
      <c r="S89" t="n">
        <v>1317</v>
      </c>
      <c r="T89" t="n">
        <v>983</v>
      </c>
      <c r="U89" t="n">
        <v>1105</v>
      </c>
      <c r="V89" t="n">
        <v>1131</v>
      </c>
      <c r="W89" t="n">
        <v>1131</v>
      </c>
      <c r="X89" t="n">
        <v>0</v>
      </c>
      <c r="Y89" t="n">
        <v>19</v>
      </c>
      <c r="Z89" t="n">
        <v>1353</v>
      </c>
    </row>
    <row r="90">
      <c r="A90" s="381" t="n">
        <v>45968.37462177307</v>
      </c>
      <c r="B90" t="inlineStr">
        <is>
          <t>Line Dom</t>
        </is>
      </c>
      <c r="C90" t="inlineStr">
        <is>
          <t>CPR</t>
        </is>
      </c>
      <c r="D90" t="inlineStr">
        <is>
          <t>UA</t>
        </is>
      </c>
      <c r="E90" t="inlineStr">
        <is>
          <t>Express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35</v>
      </c>
      <c r="M90" t="n">
        <v>0</v>
      </c>
      <c r="N90" t="n">
        <v>30</v>
      </c>
      <c r="O90" t="n">
        <v>34</v>
      </c>
      <c r="P90" t="n">
        <v>33</v>
      </c>
      <c r="Q90" t="n">
        <v>33</v>
      </c>
      <c r="R90" t="n">
        <v>2009</v>
      </c>
      <c r="S90" t="n">
        <v>1992</v>
      </c>
      <c r="T90" t="n">
        <v>1158</v>
      </c>
      <c r="U90" t="n">
        <v>1454</v>
      </c>
      <c r="V90" t="n">
        <v>1363</v>
      </c>
      <c r="W90" t="n">
        <v>1363</v>
      </c>
      <c r="X90" t="n">
        <v>0</v>
      </c>
      <c r="Y90" t="n">
        <v>35</v>
      </c>
      <c r="Z90" t="n">
        <v>2010</v>
      </c>
    </row>
    <row r="91">
      <c r="A91" s="381" t="n">
        <v>45968.37462177307</v>
      </c>
      <c r="B91" t="inlineStr">
        <is>
          <t>Line Dom</t>
        </is>
      </c>
      <c r="C91" t="inlineStr">
        <is>
          <t>SHV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27</v>
      </c>
      <c r="M91" t="n">
        <v>0</v>
      </c>
      <c r="N91" t="n">
        <v>18</v>
      </c>
      <c r="O91" t="n">
        <v>23</v>
      </c>
      <c r="P91" t="n">
        <v>19</v>
      </c>
      <c r="Q91" t="n">
        <v>19</v>
      </c>
      <c r="R91" t="n">
        <v>1743</v>
      </c>
      <c r="S91" t="n">
        <v>1711</v>
      </c>
      <c r="T91" t="n">
        <v>1115</v>
      </c>
      <c r="U91" t="n">
        <v>1297</v>
      </c>
      <c r="V91" t="n">
        <v>1228</v>
      </c>
      <c r="W91" t="n">
        <v>1228</v>
      </c>
      <c r="X91" t="n">
        <v>0</v>
      </c>
      <c r="Y91" t="n">
        <v>27</v>
      </c>
      <c r="Z91" t="n">
        <v>1743</v>
      </c>
    </row>
    <row r="92">
      <c r="A92" s="381" t="n">
        <v>45968.37462177307</v>
      </c>
      <c r="B92" t="inlineStr">
        <is>
          <t>Line Int</t>
        </is>
      </c>
      <c r="C92" t="inlineStr">
        <is>
          <t>ZLO</t>
        </is>
      </c>
      <c r="D92" t="inlineStr">
        <is>
          <t>UA</t>
        </is>
      </c>
      <c r="E92" t="inlineStr">
        <is>
          <t>Express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27</v>
      </c>
      <c r="S92" t="n">
        <v>27</v>
      </c>
      <c r="T92" t="n">
        <v>21</v>
      </c>
      <c r="U92" t="n">
        <v>23</v>
      </c>
      <c r="V92" t="n">
        <v>25</v>
      </c>
      <c r="W92" t="n">
        <v>25</v>
      </c>
      <c r="X92" t="n">
        <v>0</v>
      </c>
      <c r="Y92" t="n">
        <v>1</v>
      </c>
      <c r="Z92" t="n">
        <v>27</v>
      </c>
    </row>
    <row r="93">
      <c r="A93" s="381" t="n">
        <v>45968.37462177307</v>
      </c>
      <c r="B93" t="inlineStr">
        <is>
          <t>Line Dom</t>
        </is>
      </c>
      <c r="C93" t="inlineStr">
        <is>
          <t>AUS</t>
        </is>
      </c>
      <c r="D93" t="inlineStr">
        <is>
          <t>UA</t>
        </is>
      </c>
      <c r="E93" t="inlineStr">
        <is>
          <t>Express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</v>
      </c>
      <c r="M93" t="n">
        <v>0</v>
      </c>
      <c r="N93" t="n">
        <v>6</v>
      </c>
      <c r="O93" t="n">
        <v>8</v>
      </c>
      <c r="P93" t="n">
        <v>8</v>
      </c>
      <c r="Q93" t="n">
        <v>8</v>
      </c>
      <c r="R93" t="n">
        <v>889</v>
      </c>
      <c r="S93" t="n">
        <v>880</v>
      </c>
      <c r="T93" t="n">
        <v>613</v>
      </c>
      <c r="U93" t="n">
        <v>752</v>
      </c>
      <c r="V93" t="n">
        <v>633</v>
      </c>
      <c r="W93" t="n">
        <v>633</v>
      </c>
      <c r="X93" t="n">
        <v>0</v>
      </c>
      <c r="Y93" t="n">
        <v>9</v>
      </c>
      <c r="Z93" t="n">
        <v>887</v>
      </c>
    </row>
    <row r="94">
      <c r="A94" s="381" t="n">
        <v>45968.37462177307</v>
      </c>
      <c r="B94" t="inlineStr">
        <is>
          <t>Line Int</t>
        </is>
      </c>
      <c r="C94" t="inlineStr">
        <is>
          <t>YHZ</t>
        </is>
      </c>
      <c r="D94" t="inlineStr">
        <is>
          <t>UA</t>
        </is>
      </c>
      <c r="E94" t="inlineStr">
        <is>
          <t>Express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</v>
      </c>
      <c r="M94" t="n">
        <v>1</v>
      </c>
      <c r="N94" t="n">
        <v>3</v>
      </c>
      <c r="O94" t="n">
        <v>4</v>
      </c>
      <c r="P94" t="n">
        <v>6</v>
      </c>
      <c r="Q94" t="n">
        <v>6</v>
      </c>
      <c r="R94" t="n">
        <v>464</v>
      </c>
      <c r="S94" t="n">
        <v>444</v>
      </c>
      <c r="T94" t="n">
        <v>298</v>
      </c>
      <c r="U94" t="n">
        <v>349</v>
      </c>
      <c r="V94" t="n">
        <v>315</v>
      </c>
      <c r="W94" t="n">
        <v>315</v>
      </c>
      <c r="X94" t="n">
        <v>0</v>
      </c>
      <c r="Y94" t="n">
        <v>10</v>
      </c>
      <c r="Z94" t="n">
        <v>465</v>
      </c>
    </row>
    <row r="95">
      <c r="A95" s="381" t="n">
        <v>45968.37462177307</v>
      </c>
      <c r="B95" t="inlineStr">
        <is>
          <t>Line Dom</t>
        </is>
      </c>
      <c r="C95" t="inlineStr">
        <is>
          <t>MCI</t>
        </is>
      </c>
      <c r="D95" t="inlineStr">
        <is>
          <t>UA</t>
        </is>
      </c>
      <c r="E95" t="inlineStr">
        <is>
          <t>Express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52</v>
      </c>
      <c r="M95" t="n">
        <v>1</v>
      </c>
      <c r="N95" t="n">
        <v>29</v>
      </c>
      <c r="O95" t="n">
        <v>41</v>
      </c>
      <c r="P95" t="n">
        <v>41</v>
      </c>
      <c r="Q95" t="n">
        <v>41</v>
      </c>
      <c r="R95" t="n">
        <v>2758</v>
      </c>
      <c r="S95" t="n">
        <v>2696</v>
      </c>
      <c r="T95" t="n">
        <v>1704</v>
      </c>
      <c r="U95" t="n">
        <v>2191</v>
      </c>
      <c r="V95" t="n">
        <v>2165</v>
      </c>
      <c r="W95" t="n">
        <v>2165</v>
      </c>
      <c r="X95" t="n">
        <v>0</v>
      </c>
      <c r="Y95" t="n">
        <v>52</v>
      </c>
      <c r="Z95" t="n">
        <v>2755</v>
      </c>
    </row>
    <row r="96">
      <c r="A96" s="381" t="n">
        <v>45968.37462177307</v>
      </c>
      <c r="B96" t="inlineStr">
        <is>
          <t>Line Dom</t>
        </is>
      </c>
      <c r="C96" t="inlineStr">
        <is>
          <t>PBI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259</v>
      </c>
      <c r="S96" t="n">
        <v>259</v>
      </c>
      <c r="T96" t="n">
        <v>174</v>
      </c>
      <c r="U96" t="n">
        <v>211</v>
      </c>
      <c r="V96" t="n">
        <v>187</v>
      </c>
      <c r="W96" t="n">
        <v>187</v>
      </c>
      <c r="X96" t="n">
        <v>0</v>
      </c>
      <c r="Y96" t="n">
        <v>0</v>
      </c>
      <c r="Z96" t="n">
        <v>258</v>
      </c>
    </row>
    <row r="97">
      <c r="A97" s="381" t="n">
        <v>45968.37462177307</v>
      </c>
      <c r="B97" t="inlineStr">
        <is>
          <t>Line Dom</t>
        </is>
      </c>
      <c r="C97" t="inlineStr">
        <is>
          <t>MFR</t>
        </is>
      </c>
      <c r="D97" t="inlineStr">
        <is>
          <t>UA</t>
        </is>
      </c>
      <c r="E97" t="inlineStr">
        <is>
          <t>Express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14</v>
      </c>
      <c r="M97" t="n">
        <v>0</v>
      </c>
      <c r="N97" t="n">
        <v>7</v>
      </c>
      <c r="O97" t="n">
        <v>10</v>
      </c>
      <c r="P97" t="n">
        <v>8</v>
      </c>
      <c r="Q97" t="n">
        <v>8</v>
      </c>
      <c r="R97" t="n">
        <v>504</v>
      </c>
      <c r="S97" t="n">
        <v>501</v>
      </c>
      <c r="T97" t="n">
        <v>330</v>
      </c>
      <c r="U97" t="n">
        <v>417</v>
      </c>
      <c r="V97" t="n">
        <v>352</v>
      </c>
      <c r="W97" t="n">
        <v>352</v>
      </c>
      <c r="X97" t="n">
        <v>0</v>
      </c>
      <c r="Y97" t="n">
        <v>14</v>
      </c>
      <c r="Z97" t="n">
        <v>503</v>
      </c>
    </row>
    <row r="98">
      <c r="A98" s="381" t="n">
        <v>45968.37462177307</v>
      </c>
      <c r="B98" t="inlineStr">
        <is>
          <t>Line Dom</t>
        </is>
      </c>
      <c r="C98" t="inlineStr">
        <is>
          <t>LBF</t>
        </is>
      </c>
      <c r="D98" t="inlineStr">
        <is>
          <t>UA</t>
        </is>
      </c>
      <c r="E98" t="inlineStr">
        <is>
          <t>Express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</v>
      </c>
      <c r="M98" t="n">
        <v>0</v>
      </c>
      <c r="N98" t="n">
        <v>4</v>
      </c>
      <c r="O98" t="n">
        <v>6</v>
      </c>
      <c r="P98" t="n">
        <v>7</v>
      </c>
      <c r="Q98" t="n">
        <v>7</v>
      </c>
      <c r="R98" t="n">
        <v>529</v>
      </c>
      <c r="S98" t="n">
        <v>516</v>
      </c>
      <c r="T98" t="n">
        <v>302</v>
      </c>
      <c r="U98" t="n">
        <v>398</v>
      </c>
      <c r="V98" t="n">
        <v>389</v>
      </c>
      <c r="W98" t="n">
        <v>389</v>
      </c>
      <c r="X98" t="n">
        <v>0</v>
      </c>
      <c r="Y98" t="n">
        <v>8</v>
      </c>
      <c r="Z98" t="n">
        <v>529</v>
      </c>
    </row>
    <row r="99">
      <c r="A99" s="381" t="n">
        <v>45968.37462177307</v>
      </c>
      <c r="B99" t="inlineStr">
        <is>
          <t>Line Dom</t>
        </is>
      </c>
      <c r="C99" t="inlineStr">
        <is>
          <t>CLE</t>
        </is>
      </c>
      <c r="D99" t="inlineStr">
        <is>
          <t>UA</t>
        </is>
      </c>
      <c r="E99" t="inlineStr">
        <is>
          <t>Express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33</v>
      </c>
      <c r="M99" t="n">
        <v>0</v>
      </c>
      <c r="N99" t="n">
        <v>20</v>
      </c>
      <c r="O99" t="n">
        <v>26</v>
      </c>
      <c r="P99" t="n">
        <v>28</v>
      </c>
      <c r="Q99" t="n">
        <v>28</v>
      </c>
      <c r="R99" t="n">
        <v>1746</v>
      </c>
      <c r="S99" t="n">
        <v>1693</v>
      </c>
      <c r="T99" t="n">
        <v>1190</v>
      </c>
      <c r="U99" t="n">
        <v>1435</v>
      </c>
      <c r="V99" t="n">
        <v>1255</v>
      </c>
      <c r="W99" t="n">
        <v>1256</v>
      </c>
      <c r="X99" t="n">
        <v>0</v>
      </c>
      <c r="Y99" t="n">
        <v>33</v>
      </c>
      <c r="Z99" t="n">
        <v>1751</v>
      </c>
    </row>
    <row r="100">
      <c r="A100" s="381" t="n">
        <v>45968.37462177307</v>
      </c>
      <c r="B100" t="inlineStr">
        <is>
          <t>Line Dom</t>
        </is>
      </c>
      <c r="C100" t="inlineStr">
        <is>
          <t>BIL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15</v>
      </c>
      <c r="M100" t="n">
        <v>0</v>
      </c>
      <c r="N100" t="n">
        <v>11</v>
      </c>
      <c r="O100" t="n">
        <v>11</v>
      </c>
      <c r="P100" t="n">
        <v>11</v>
      </c>
      <c r="Q100" t="n">
        <v>11</v>
      </c>
      <c r="R100" t="n">
        <v>1106</v>
      </c>
      <c r="S100" t="n">
        <v>1093</v>
      </c>
      <c r="T100" t="n">
        <v>617</v>
      </c>
      <c r="U100" t="n">
        <v>838</v>
      </c>
      <c r="V100" t="n">
        <v>823</v>
      </c>
      <c r="W100" t="n">
        <v>823</v>
      </c>
      <c r="X100" t="n">
        <v>0</v>
      </c>
      <c r="Y100" t="n">
        <v>15</v>
      </c>
      <c r="Z100" t="n">
        <v>1107</v>
      </c>
    </row>
    <row r="101">
      <c r="A101" s="381" t="n">
        <v>45968.37462177307</v>
      </c>
      <c r="B101" t="inlineStr">
        <is>
          <t>Line Dom</t>
        </is>
      </c>
      <c r="C101" t="inlineStr">
        <is>
          <t>DIK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</v>
      </c>
      <c r="M101" t="n">
        <v>0</v>
      </c>
      <c r="N101" t="n">
        <v>10</v>
      </c>
      <c r="O101" t="n">
        <v>10</v>
      </c>
      <c r="P101" t="n">
        <v>8</v>
      </c>
      <c r="Q101" t="n">
        <v>8</v>
      </c>
      <c r="R101" t="n">
        <v>579</v>
      </c>
      <c r="S101" t="n">
        <v>568</v>
      </c>
      <c r="T101" t="n">
        <v>324</v>
      </c>
      <c r="U101" t="n">
        <v>394</v>
      </c>
      <c r="V101" t="n">
        <v>428</v>
      </c>
      <c r="W101" t="n">
        <v>428</v>
      </c>
      <c r="X101" t="n">
        <v>0</v>
      </c>
      <c r="Y101" t="n">
        <v>10</v>
      </c>
      <c r="Z101" t="n">
        <v>579</v>
      </c>
    </row>
    <row r="102">
      <c r="A102" s="381" t="n">
        <v>45968.37462177307</v>
      </c>
      <c r="B102" t="inlineStr">
        <is>
          <t>Line Int</t>
        </is>
      </c>
      <c r="C102" t="inlineStr">
        <is>
          <t>YQR</t>
        </is>
      </c>
      <c r="D102" t="inlineStr">
        <is>
          <t>UA</t>
        </is>
      </c>
      <c r="E102" t="inlineStr">
        <is>
          <t>Express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5</v>
      </c>
      <c r="M102" t="n">
        <v>0</v>
      </c>
      <c r="N102" t="n">
        <v>5</v>
      </c>
      <c r="O102" t="n">
        <v>5</v>
      </c>
      <c r="P102" t="n">
        <v>5</v>
      </c>
      <c r="Q102" t="n">
        <v>5</v>
      </c>
      <c r="R102" t="n">
        <v>174</v>
      </c>
      <c r="S102" t="n">
        <v>173</v>
      </c>
      <c r="T102" t="n">
        <v>84</v>
      </c>
      <c r="U102" t="n">
        <v>99</v>
      </c>
      <c r="V102" t="n">
        <v>123</v>
      </c>
      <c r="W102" t="n">
        <v>123</v>
      </c>
      <c r="X102" t="n">
        <v>0</v>
      </c>
      <c r="Y102" t="n">
        <v>5</v>
      </c>
      <c r="Z102" t="n">
        <v>175</v>
      </c>
    </row>
    <row r="103">
      <c r="A103" s="381" t="n">
        <v>45968.37462177307</v>
      </c>
      <c r="B103" t="inlineStr">
        <is>
          <t>Line Dom</t>
        </is>
      </c>
      <c r="C103" t="inlineStr">
        <is>
          <t>BFF</t>
        </is>
      </c>
      <c r="D103" t="inlineStr">
        <is>
          <t>UA</t>
        </is>
      </c>
      <c r="E103" t="inlineStr">
        <is>
          <t>Express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8</v>
      </c>
      <c r="M103" t="n">
        <v>0</v>
      </c>
      <c r="N103" t="n">
        <v>6</v>
      </c>
      <c r="O103" t="n">
        <v>7</v>
      </c>
      <c r="P103" t="n">
        <v>8</v>
      </c>
      <c r="Q103" t="n">
        <v>8</v>
      </c>
      <c r="R103" t="n">
        <v>529</v>
      </c>
      <c r="S103" t="n">
        <v>515</v>
      </c>
      <c r="T103" t="n">
        <v>311</v>
      </c>
      <c r="U103" t="n">
        <v>398</v>
      </c>
      <c r="V103" t="n">
        <v>361</v>
      </c>
      <c r="W103" t="n">
        <v>361</v>
      </c>
      <c r="X103" t="n">
        <v>0</v>
      </c>
      <c r="Y103" t="n">
        <v>8</v>
      </c>
      <c r="Z103" t="n">
        <v>529</v>
      </c>
    </row>
    <row r="104">
      <c r="A104" s="381" t="n">
        <v>45968.37462177307</v>
      </c>
      <c r="B104" t="inlineStr">
        <is>
          <t>Line Dom</t>
        </is>
      </c>
      <c r="C104" t="inlineStr">
        <is>
          <t>BTM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0</v>
      </c>
      <c r="N104" t="n">
        <v>5</v>
      </c>
      <c r="O104" t="n">
        <v>5</v>
      </c>
      <c r="P104" t="n">
        <v>5</v>
      </c>
      <c r="Q104" t="n">
        <v>5</v>
      </c>
      <c r="R104" t="n">
        <v>306</v>
      </c>
      <c r="S104" t="n">
        <v>304</v>
      </c>
      <c r="T104" t="n">
        <v>175</v>
      </c>
      <c r="U104" t="n">
        <v>204</v>
      </c>
      <c r="V104" t="n">
        <v>233</v>
      </c>
      <c r="W104" t="n">
        <v>233</v>
      </c>
      <c r="X104" t="n">
        <v>0</v>
      </c>
      <c r="Y104" t="n">
        <v>5</v>
      </c>
      <c r="Z104" t="n">
        <v>307</v>
      </c>
    </row>
    <row r="105">
      <c r="A105" s="381" t="n">
        <v>45968.37462177307</v>
      </c>
      <c r="B105" t="inlineStr">
        <is>
          <t>Line Dom</t>
        </is>
      </c>
      <c r="C105" t="inlineStr">
        <is>
          <t>FAT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47</v>
      </c>
      <c r="M105" t="n">
        <v>0</v>
      </c>
      <c r="N105" t="n">
        <v>30</v>
      </c>
      <c r="O105" t="n">
        <v>40</v>
      </c>
      <c r="P105" t="n">
        <v>35</v>
      </c>
      <c r="Q105" t="n">
        <v>35</v>
      </c>
      <c r="R105" t="n">
        <v>2671</v>
      </c>
      <c r="S105" t="n">
        <v>2667</v>
      </c>
      <c r="T105" t="n">
        <v>1855</v>
      </c>
      <c r="U105" t="n">
        <v>2265</v>
      </c>
      <c r="V105" t="n">
        <v>2093</v>
      </c>
      <c r="W105" t="n">
        <v>2094</v>
      </c>
      <c r="X105" t="n">
        <v>0</v>
      </c>
      <c r="Y105" t="n">
        <v>47</v>
      </c>
      <c r="Z105" t="n">
        <v>2672</v>
      </c>
    </row>
    <row r="106">
      <c r="A106" s="381" t="n">
        <v>45968.37462177307</v>
      </c>
      <c r="B106" t="inlineStr">
        <is>
          <t>Line Dom</t>
        </is>
      </c>
      <c r="C106" t="inlineStr">
        <is>
          <t>SUN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</v>
      </c>
      <c r="M106" t="n">
        <v>0</v>
      </c>
      <c r="N106" t="n">
        <v>4</v>
      </c>
      <c r="O106" t="n">
        <v>5</v>
      </c>
      <c r="P106" t="n">
        <v>5</v>
      </c>
      <c r="Q106" t="n">
        <v>5</v>
      </c>
      <c r="R106" t="n">
        <v>1180</v>
      </c>
      <c r="S106" t="n">
        <v>1170</v>
      </c>
      <c r="T106" t="n">
        <v>807</v>
      </c>
      <c r="U106" t="n">
        <v>968</v>
      </c>
      <c r="V106" t="n">
        <v>909</v>
      </c>
      <c r="W106" t="n">
        <v>909</v>
      </c>
      <c r="X106" t="n">
        <v>0</v>
      </c>
      <c r="Y106" t="n">
        <v>5</v>
      </c>
      <c r="Z106" t="n">
        <v>1179</v>
      </c>
    </row>
    <row r="107">
      <c r="A107" s="381" t="n">
        <v>45968.37462177307</v>
      </c>
      <c r="B107" t="inlineStr">
        <is>
          <t>Line Int</t>
        </is>
      </c>
      <c r="C107" t="inlineStr">
        <is>
          <t>ZIH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1</v>
      </c>
      <c r="P107" t="n">
        <v>2</v>
      </c>
      <c r="Q107" t="n">
        <v>2</v>
      </c>
      <c r="R107" t="n">
        <v>121</v>
      </c>
      <c r="S107" t="n">
        <v>119</v>
      </c>
      <c r="T107" t="n">
        <v>63</v>
      </c>
      <c r="U107" t="n">
        <v>87</v>
      </c>
      <c r="V107" t="n">
        <v>92</v>
      </c>
      <c r="W107" t="n">
        <v>92</v>
      </c>
      <c r="X107" t="n">
        <v>0</v>
      </c>
      <c r="Y107" t="n">
        <v>2</v>
      </c>
      <c r="Z107" t="n">
        <v>121</v>
      </c>
    </row>
    <row r="108">
      <c r="A108" s="381" t="n">
        <v>45968.37462177307</v>
      </c>
      <c r="B108" t="inlineStr">
        <is>
          <t>Line Dom</t>
        </is>
      </c>
      <c r="C108" t="inlineStr">
        <is>
          <t>JLN</t>
        </is>
      </c>
      <c r="D108" t="inlineStr">
        <is>
          <t>UA</t>
        </is>
      </c>
      <c r="E108" t="inlineStr">
        <is>
          <t>Express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</v>
      </c>
      <c r="M108" t="n">
        <v>0</v>
      </c>
      <c r="N108" t="n">
        <v>7</v>
      </c>
      <c r="O108" t="n">
        <v>8</v>
      </c>
      <c r="P108" t="n">
        <v>9</v>
      </c>
      <c r="Q108" t="n">
        <v>9</v>
      </c>
      <c r="R108" t="n">
        <v>617</v>
      </c>
      <c r="S108" t="n">
        <v>599</v>
      </c>
      <c r="T108" t="n">
        <v>364</v>
      </c>
      <c r="U108" t="n">
        <v>440</v>
      </c>
      <c r="V108" t="n">
        <v>424</v>
      </c>
      <c r="W108" t="n">
        <v>424</v>
      </c>
      <c r="X108" t="n">
        <v>0</v>
      </c>
      <c r="Y108" t="n">
        <v>10</v>
      </c>
      <c r="Z108" t="n">
        <v>617</v>
      </c>
    </row>
    <row r="109">
      <c r="A109" s="381" t="n">
        <v>45968.37462177307</v>
      </c>
      <c r="B109" t="inlineStr">
        <is>
          <t>Line Dom</t>
        </is>
      </c>
      <c r="C109" t="inlineStr">
        <is>
          <t>LAR</t>
        </is>
      </c>
      <c r="D109" t="inlineStr">
        <is>
          <t>UA</t>
        </is>
      </c>
      <c r="E109" t="inlineStr">
        <is>
          <t>Express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8</v>
      </c>
      <c r="M109" t="n">
        <v>0</v>
      </c>
      <c r="N109" t="n">
        <v>7</v>
      </c>
      <c r="O109" t="n">
        <v>8</v>
      </c>
      <c r="P109" t="n">
        <v>5</v>
      </c>
      <c r="Q109" t="n">
        <v>5</v>
      </c>
      <c r="R109" t="n">
        <v>530</v>
      </c>
      <c r="S109" t="n">
        <v>508</v>
      </c>
      <c r="T109" t="n">
        <v>301</v>
      </c>
      <c r="U109" t="n">
        <v>391</v>
      </c>
      <c r="V109" t="n">
        <v>368</v>
      </c>
      <c r="W109" t="n">
        <v>369</v>
      </c>
      <c r="X109" t="n">
        <v>0</v>
      </c>
      <c r="Y109" t="n">
        <v>8</v>
      </c>
      <c r="Z109" t="n">
        <v>530</v>
      </c>
    </row>
    <row r="110">
      <c r="A110" s="381" t="n">
        <v>45968.37462177307</v>
      </c>
      <c r="B110" t="inlineStr">
        <is>
          <t>Line Dom</t>
        </is>
      </c>
      <c r="C110" t="inlineStr">
        <is>
          <t>HYS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8</v>
      </c>
      <c r="M110" t="n">
        <v>0</v>
      </c>
      <c r="N110" t="n">
        <v>7</v>
      </c>
      <c r="O110" t="n">
        <v>8</v>
      </c>
      <c r="P110" t="n">
        <v>7</v>
      </c>
      <c r="Q110" t="n">
        <v>7</v>
      </c>
      <c r="R110" t="n">
        <v>530</v>
      </c>
      <c r="S110" t="n">
        <v>513</v>
      </c>
      <c r="T110" t="n">
        <v>326</v>
      </c>
      <c r="U110" t="n">
        <v>386</v>
      </c>
      <c r="V110" t="n">
        <v>388</v>
      </c>
      <c r="W110" t="n">
        <v>388</v>
      </c>
      <c r="X110" t="n">
        <v>0</v>
      </c>
      <c r="Y110" t="n">
        <v>8</v>
      </c>
      <c r="Z110" t="n">
        <v>530</v>
      </c>
    </row>
    <row r="111">
      <c r="A111" s="381" t="n">
        <v>45968.37462177307</v>
      </c>
      <c r="B111" t="inlineStr">
        <is>
          <t>Line Dom</t>
        </is>
      </c>
      <c r="C111" t="inlineStr">
        <is>
          <t>SEA</t>
        </is>
      </c>
      <c r="D111" t="inlineStr">
        <is>
          <t>UA</t>
        </is>
      </c>
      <c r="E111" t="inlineStr">
        <is>
          <t>Express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11</v>
      </c>
      <c r="M111" t="n">
        <v>0</v>
      </c>
      <c r="N111" t="n">
        <v>10</v>
      </c>
      <c r="O111" t="n">
        <v>11</v>
      </c>
      <c r="P111" t="n">
        <v>10</v>
      </c>
      <c r="Q111" t="n">
        <v>10</v>
      </c>
      <c r="R111" t="n">
        <v>198</v>
      </c>
      <c r="S111" t="n">
        <v>198</v>
      </c>
      <c r="T111" t="n">
        <v>137</v>
      </c>
      <c r="U111" t="n">
        <v>167</v>
      </c>
      <c r="V111" t="n">
        <v>141</v>
      </c>
      <c r="W111" t="n">
        <v>141</v>
      </c>
      <c r="X111" t="n">
        <v>0</v>
      </c>
      <c r="Y111" t="n">
        <v>11</v>
      </c>
      <c r="Z111" t="n">
        <v>198</v>
      </c>
    </row>
    <row r="112">
      <c r="A112" s="381" t="n">
        <v>45968.37462177307</v>
      </c>
      <c r="B112" t="inlineStr">
        <is>
          <t>Line Dom</t>
        </is>
      </c>
      <c r="C112" t="inlineStr">
        <is>
          <t>HSV</t>
        </is>
      </c>
      <c r="D112" t="inlineStr">
        <is>
          <t>UA</t>
        </is>
      </c>
      <c r="E112" t="inlineStr">
        <is>
          <t>Express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63</v>
      </c>
      <c r="M112" t="n">
        <v>0</v>
      </c>
      <c r="N112" t="n">
        <v>41</v>
      </c>
      <c r="O112" t="n">
        <v>50</v>
      </c>
      <c r="P112" t="n">
        <v>49</v>
      </c>
      <c r="Q112" t="n">
        <v>49</v>
      </c>
      <c r="R112" t="n">
        <v>3427</v>
      </c>
      <c r="S112" t="n">
        <v>3386</v>
      </c>
      <c r="T112" t="n">
        <v>2065</v>
      </c>
      <c r="U112" t="n">
        <v>2552</v>
      </c>
      <c r="V112" t="n">
        <v>2513</v>
      </c>
      <c r="W112" t="n">
        <v>2513</v>
      </c>
      <c r="X112" t="n">
        <v>0</v>
      </c>
      <c r="Y112" t="n">
        <v>63</v>
      </c>
      <c r="Z112" t="n">
        <v>3428</v>
      </c>
    </row>
    <row r="113">
      <c r="A113" s="381" t="n">
        <v>45968.37462177307</v>
      </c>
      <c r="B113" t="inlineStr">
        <is>
          <t>Line Dom</t>
        </is>
      </c>
      <c r="C113" t="inlineStr">
        <is>
          <t>MGW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</v>
      </c>
      <c r="M113" t="n">
        <v>0</v>
      </c>
      <c r="N113" t="n">
        <v>7</v>
      </c>
      <c r="O113" t="n">
        <v>9</v>
      </c>
      <c r="P113" t="n">
        <v>9</v>
      </c>
      <c r="Q113" t="n">
        <v>9</v>
      </c>
      <c r="R113" t="n">
        <v>618</v>
      </c>
      <c r="S113" t="n">
        <v>597</v>
      </c>
      <c r="T113" t="n">
        <v>371</v>
      </c>
      <c r="U113" t="n">
        <v>434</v>
      </c>
      <c r="V113" t="n">
        <v>456</v>
      </c>
      <c r="W113" t="n">
        <v>456</v>
      </c>
      <c r="X113" t="n">
        <v>0</v>
      </c>
      <c r="Y113" t="n">
        <v>10</v>
      </c>
      <c r="Z113" t="n">
        <v>618</v>
      </c>
    </row>
    <row r="114">
      <c r="A114" s="381" t="n">
        <v>45968.37462177307</v>
      </c>
      <c r="B114" t="inlineStr">
        <is>
          <t>Line Dom</t>
        </is>
      </c>
      <c r="C114" t="inlineStr">
        <is>
          <t>EYW</t>
        </is>
      </c>
      <c r="D114" t="inlineStr">
        <is>
          <t>UA</t>
        </is>
      </c>
      <c r="E114" t="inlineStr">
        <is>
          <t>Express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1</v>
      </c>
      <c r="O114" t="n">
        <v>3</v>
      </c>
      <c r="P114" t="n">
        <v>3</v>
      </c>
      <c r="Q114" t="n">
        <v>3</v>
      </c>
      <c r="R114" t="n">
        <v>206</v>
      </c>
      <c r="S114" t="n">
        <v>203</v>
      </c>
      <c r="T114" t="n">
        <v>128</v>
      </c>
      <c r="U114" t="n">
        <v>165</v>
      </c>
      <c r="V114" t="n">
        <v>138</v>
      </c>
      <c r="W114" t="n">
        <v>138</v>
      </c>
      <c r="X114" t="n">
        <v>0</v>
      </c>
      <c r="Y114" t="n">
        <v>5</v>
      </c>
      <c r="Z114" t="n">
        <v>206</v>
      </c>
    </row>
    <row r="115">
      <c r="A115" s="381" t="n">
        <v>45968.37462177307</v>
      </c>
      <c r="B115" t="inlineStr">
        <is>
          <t>Line Dom</t>
        </is>
      </c>
      <c r="C115" t="inlineStr">
        <is>
          <t>PHL</t>
        </is>
      </c>
      <c r="D115" t="inlineStr">
        <is>
          <t>UA</t>
        </is>
      </c>
      <c r="E115" t="inlineStr">
        <is>
          <t>Express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15</v>
      </c>
      <c r="M115" t="n">
        <v>0</v>
      </c>
      <c r="N115" t="n">
        <v>12</v>
      </c>
      <c r="O115" t="n">
        <v>13</v>
      </c>
      <c r="P115" t="n">
        <v>13</v>
      </c>
      <c r="Q115" t="n">
        <v>13</v>
      </c>
      <c r="R115" t="n">
        <v>1146</v>
      </c>
      <c r="S115" t="n">
        <v>1122</v>
      </c>
      <c r="T115" t="n">
        <v>694</v>
      </c>
      <c r="U115" t="n">
        <v>832</v>
      </c>
      <c r="V115" t="n">
        <v>822</v>
      </c>
      <c r="W115" t="n">
        <v>822</v>
      </c>
      <c r="X115" t="n">
        <v>0</v>
      </c>
      <c r="Y115" t="n">
        <v>15</v>
      </c>
      <c r="Z115" t="n">
        <v>1145</v>
      </c>
    </row>
    <row r="116">
      <c r="A116" s="381" t="n">
        <v>45968.37462177307</v>
      </c>
      <c r="B116" t="inlineStr">
        <is>
          <t>Line Dom</t>
        </is>
      </c>
      <c r="C116" t="inlineStr">
        <is>
          <t>PLN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253</v>
      </c>
      <c r="S116" t="n">
        <v>251</v>
      </c>
      <c r="T116" t="n">
        <v>137</v>
      </c>
      <c r="U116" t="n">
        <v>182</v>
      </c>
      <c r="V116" t="n">
        <v>159</v>
      </c>
      <c r="W116" t="n">
        <v>159</v>
      </c>
      <c r="X116" t="n">
        <v>0</v>
      </c>
      <c r="Y116" t="n">
        <v>0</v>
      </c>
      <c r="Z116" t="n">
        <v>253</v>
      </c>
    </row>
    <row r="117">
      <c r="A117" s="381" t="n">
        <v>45968.37462177307</v>
      </c>
      <c r="B117" t="inlineStr">
        <is>
          <t>Line Dom</t>
        </is>
      </c>
      <c r="C117" t="inlineStr">
        <is>
          <t>HRL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20</v>
      </c>
      <c r="M117" t="n">
        <v>0</v>
      </c>
      <c r="N117" t="n">
        <v>14</v>
      </c>
      <c r="O117" t="n">
        <v>18</v>
      </c>
      <c r="P117" t="n">
        <v>18</v>
      </c>
      <c r="Q117" t="n">
        <v>18</v>
      </c>
      <c r="R117" t="n">
        <v>1273</v>
      </c>
      <c r="S117" t="n">
        <v>1236</v>
      </c>
      <c r="T117" t="n">
        <v>854</v>
      </c>
      <c r="U117" t="n">
        <v>999</v>
      </c>
      <c r="V117" t="n">
        <v>1002</v>
      </c>
      <c r="W117" t="n">
        <v>1002</v>
      </c>
      <c r="X117" t="n">
        <v>0</v>
      </c>
      <c r="Y117" t="n">
        <v>20</v>
      </c>
      <c r="Z117" t="n">
        <v>1273</v>
      </c>
    </row>
    <row r="118">
      <c r="A118" s="381" t="n">
        <v>45968.37462177307</v>
      </c>
      <c r="B118" t="inlineStr">
        <is>
          <t>Line Dom</t>
        </is>
      </c>
      <c r="C118" t="inlineStr">
        <is>
          <t>TUL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53</v>
      </c>
      <c r="M118" t="n">
        <v>0</v>
      </c>
      <c r="N118" t="n">
        <v>38</v>
      </c>
      <c r="O118" t="n">
        <v>44</v>
      </c>
      <c r="P118" t="n">
        <v>44</v>
      </c>
      <c r="Q118" t="n">
        <v>44</v>
      </c>
      <c r="R118" t="n">
        <v>3404</v>
      </c>
      <c r="S118" t="n">
        <v>3353</v>
      </c>
      <c r="T118" t="n">
        <v>2139</v>
      </c>
      <c r="U118" t="n">
        <v>2586</v>
      </c>
      <c r="V118" t="n">
        <v>2554</v>
      </c>
      <c r="W118" t="n">
        <v>2554</v>
      </c>
      <c r="X118" t="n">
        <v>0</v>
      </c>
      <c r="Y118" t="n">
        <v>53</v>
      </c>
      <c r="Z118" t="n">
        <v>3403</v>
      </c>
    </row>
    <row r="119">
      <c r="A119" s="381" t="n">
        <v>45968.37462177307</v>
      </c>
      <c r="B119" t="inlineStr">
        <is>
          <t>Line Dom</t>
        </is>
      </c>
      <c r="C119" t="inlineStr">
        <is>
          <t>LAS</t>
        </is>
      </c>
      <c r="D119" t="inlineStr">
        <is>
          <t>UA</t>
        </is>
      </c>
      <c r="E119" t="inlineStr">
        <is>
          <t>Express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52</v>
      </c>
      <c r="S119" t="n">
        <v>52</v>
      </c>
      <c r="T119" t="n">
        <v>32</v>
      </c>
      <c r="U119" t="n">
        <v>48</v>
      </c>
      <c r="V119" t="n">
        <v>39</v>
      </c>
      <c r="W119" t="n">
        <v>39</v>
      </c>
      <c r="X119" t="n">
        <v>0</v>
      </c>
      <c r="Y119" t="n">
        <v>1</v>
      </c>
      <c r="Z119" t="n">
        <v>52</v>
      </c>
    </row>
    <row r="120">
      <c r="A120" s="381" t="n">
        <v>45968.37462177307</v>
      </c>
      <c r="B120" t="inlineStr">
        <is>
          <t>Line Dom</t>
        </is>
      </c>
      <c r="C120" t="inlineStr">
        <is>
          <t>PWM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36</v>
      </c>
      <c r="M120" t="n">
        <v>1</v>
      </c>
      <c r="N120" t="n">
        <v>25</v>
      </c>
      <c r="O120" t="n">
        <v>29</v>
      </c>
      <c r="P120" t="n">
        <v>26</v>
      </c>
      <c r="Q120" t="n">
        <v>26</v>
      </c>
      <c r="R120" t="n">
        <v>2126</v>
      </c>
      <c r="S120" t="n">
        <v>2062</v>
      </c>
      <c r="T120" t="n">
        <v>1477</v>
      </c>
      <c r="U120" t="n">
        <v>1732</v>
      </c>
      <c r="V120" t="n">
        <v>1680</v>
      </c>
      <c r="W120" t="n">
        <v>1680</v>
      </c>
      <c r="X120" t="n">
        <v>0</v>
      </c>
      <c r="Y120" t="n">
        <v>36</v>
      </c>
      <c r="Z120" t="n">
        <v>2127</v>
      </c>
    </row>
    <row r="121">
      <c r="A121" s="381" t="n">
        <v>45968.37462177307</v>
      </c>
      <c r="B121" t="inlineStr">
        <is>
          <t>Line Dom</t>
        </is>
      </c>
      <c r="C121" t="inlineStr">
        <is>
          <t>FAR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27</v>
      </c>
      <c r="M121" t="n">
        <v>0</v>
      </c>
      <c r="N121" t="n">
        <v>11</v>
      </c>
      <c r="O121" t="n">
        <v>19</v>
      </c>
      <c r="P121" t="n">
        <v>24</v>
      </c>
      <c r="Q121" t="n">
        <v>24</v>
      </c>
      <c r="R121" t="n">
        <v>1882</v>
      </c>
      <c r="S121" t="n">
        <v>1871</v>
      </c>
      <c r="T121" t="n">
        <v>1034</v>
      </c>
      <c r="U121" t="n">
        <v>1346</v>
      </c>
      <c r="V121" t="n">
        <v>1204</v>
      </c>
      <c r="W121" t="n">
        <v>1204</v>
      </c>
      <c r="X121" t="n">
        <v>0</v>
      </c>
      <c r="Y121" t="n">
        <v>27</v>
      </c>
      <c r="Z121" t="n">
        <v>1883</v>
      </c>
    </row>
    <row r="122">
      <c r="A122" s="381" t="n">
        <v>45968.37462177307</v>
      </c>
      <c r="B122" t="inlineStr">
        <is>
          <t>Line Dom</t>
        </is>
      </c>
      <c r="C122" t="inlineStr">
        <is>
          <t>LBL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7</v>
      </c>
      <c r="O122" t="n">
        <v>7</v>
      </c>
      <c r="P122" t="n">
        <v>8</v>
      </c>
      <c r="Q122" t="n">
        <v>8</v>
      </c>
      <c r="R122" t="n">
        <v>530</v>
      </c>
      <c r="S122" t="n">
        <v>514</v>
      </c>
      <c r="T122" t="n">
        <v>345</v>
      </c>
      <c r="U122" t="n">
        <v>405</v>
      </c>
      <c r="V122" t="n">
        <v>390</v>
      </c>
      <c r="W122" t="n">
        <v>390</v>
      </c>
      <c r="X122" t="n">
        <v>0</v>
      </c>
      <c r="Y122" t="n">
        <v>8</v>
      </c>
      <c r="Z122" t="n">
        <v>531</v>
      </c>
    </row>
    <row r="123">
      <c r="A123" s="381" t="n">
        <v>45968.37462177307</v>
      </c>
      <c r="B123" t="inlineStr">
        <is>
          <t>Line Dom</t>
        </is>
      </c>
      <c r="C123" t="inlineStr">
        <is>
          <t>JST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</v>
      </c>
      <c r="M123" t="n">
        <v>0</v>
      </c>
      <c r="N123" t="n">
        <v>7</v>
      </c>
      <c r="O123" t="n">
        <v>8</v>
      </c>
      <c r="P123" t="n">
        <v>10</v>
      </c>
      <c r="Q123" t="n">
        <v>10</v>
      </c>
      <c r="R123" t="n">
        <v>618</v>
      </c>
      <c r="S123" t="n">
        <v>606</v>
      </c>
      <c r="T123" t="n">
        <v>357</v>
      </c>
      <c r="U123" t="n">
        <v>441</v>
      </c>
      <c r="V123" t="n">
        <v>474</v>
      </c>
      <c r="W123" t="n">
        <v>474</v>
      </c>
      <c r="X123" t="n">
        <v>0</v>
      </c>
      <c r="Y123" t="n">
        <v>10</v>
      </c>
      <c r="Z123" t="n">
        <v>618</v>
      </c>
    </row>
    <row r="124">
      <c r="A124" s="381" t="n">
        <v>45968.37462177307</v>
      </c>
      <c r="B124" t="inlineStr">
        <is>
          <t>Line Dom</t>
        </is>
      </c>
      <c r="C124" t="inlineStr">
        <is>
          <t>IDA</t>
        </is>
      </c>
      <c r="D124" t="inlineStr">
        <is>
          <t>UA</t>
        </is>
      </c>
      <c r="E124" t="inlineStr">
        <is>
          <t>Express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</v>
      </c>
      <c r="M124" t="n">
        <v>0</v>
      </c>
      <c r="N124" t="n">
        <v>17</v>
      </c>
      <c r="O124" t="n">
        <v>20</v>
      </c>
      <c r="P124" t="n">
        <v>20</v>
      </c>
      <c r="Q124" t="n">
        <v>20</v>
      </c>
      <c r="R124" t="n">
        <v>1485</v>
      </c>
      <c r="S124" t="n">
        <v>1466</v>
      </c>
      <c r="T124" t="n">
        <v>851</v>
      </c>
      <c r="U124" t="n">
        <v>1101</v>
      </c>
      <c r="V124" t="n">
        <v>1039</v>
      </c>
      <c r="W124" t="n">
        <v>1039</v>
      </c>
      <c r="X124" t="n">
        <v>0</v>
      </c>
      <c r="Y124" t="n">
        <v>23</v>
      </c>
      <c r="Z124" t="n">
        <v>1486</v>
      </c>
    </row>
    <row r="125">
      <c r="A125" s="381" t="n">
        <v>45968.37462177307</v>
      </c>
      <c r="B125" t="inlineStr">
        <is>
          <t>Line Dom</t>
        </is>
      </c>
      <c r="C125" t="inlineStr">
        <is>
          <t>MYR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519</v>
      </c>
      <c r="S125" t="n">
        <v>488</v>
      </c>
      <c r="T125" t="n">
        <v>339</v>
      </c>
      <c r="U125" t="n">
        <v>407</v>
      </c>
      <c r="V125" t="n">
        <v>343</v>
      </c>
      <c r="W125" t="n">
        <v>343</v>
      </c>
      <c r="X125" t="n">
        <v>0</v>
      </c>
      <c r="Y125" t="n">
        <v>1</v>
      </c>
      <c r="Z125" t="n">
        <v>519</v>
      </c>
    </row>
    <row r="126">
      <c r="A126" s="381" t="n">
        <v>45968.37462177307</v>
      </c>
      <c r="B126" t="inlineStr">
        <is>
          <t>Line Dom</t>
        </is>
      </c>
      <c r="C126" t="inlineStr">
        <is>
          <t>TYS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n">
        <v>0</v>
      </c>
      <c r="N126" t="n">
        <v>32</v>
      </c>
      <c r="O126" t="n">
        <v>54</v>
      </c>
      <c r="P126" t="n">
        <v>47</v>
      </c>
      <c r="Q126" t="n">
        <v>47</v>
      </c>
      <c r="R126" t="n">
        <v>3662</v>
      </c>
      <c r="S126" t="n">
        <v>3603</v>
      </c>
      <c r="T126" t="n">
        <v>2297</v>
      </c>
      <c r="U126" t="n">
        <v>2804</v>
      </c>
      <c r="V126" t="n">
        <v>2872</v>
      </c>
      <c r="W126" t="n">
        <v>2872</v>
      </c>
      <c r="X126" t="n">
        <v>0</v>
      </c>
      <c r="Y126" t="n">
        <v>70</v>
      </c>
      <c r="Z126" t="n">
        <v>3663</v>
      </c>
    </row>
    <row r="127">
      <c r="A127" s="381" t="n">
        <v>45968.37462177307</v>
      </c>
      <c r="B127" t="inlineStr">
        <is>
          <t>Line Int</t>
        </is>
      </c>
      <c r="C127" t="inlineStr">
        <is>
          <t>YQB</t>
        </is>
      </c>
      <c r="D127" t="inlineStr">
        <is>
          <t>UA</t>
        </is>
      </c>
      <c r="E127" t="inlineStr">
        <is>
          <t>Express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20</v>
      </c>
      <c r="M127" t="n">
        <v>1</v>
      </c>
      <c r="N127" t="n">
        <v>10</v>
      </c>
      <c r="O127" t="n">
        <v>14</v>
      </c>
      <c r="P127" t="n">
        <v>15</v>
      </c>
      <c r="Q127" t="n">
        <v>15</v>
      </c>
      <c r="R127" t="n">
        <v>972</v>
      </c>
      <c r="S127" t="n">
        <v>938</v>
      </c>
      <c r="T127" t="n">
        <v>636</v>
      </c>
      <c r="U127" t="n">
        <v>752</v>
      </c>
      <c r="V127" t="n">
        <v>708</v>
      </c>
      <c r="W127" t="n">
        <v>708</v>
      </c>
      <c r="X127" t="n">
        <v>0</v>
      </c>
      <c r="Y127" t="n">
        <v>20</v>
      </c>
      <c r="Z127" t="n">
        <v>972</v>
      </c>
    </row>
    <row r="128">
      <c r="A128" s="381" t="n">
        <v>45968.37462177307</v>
      </c>
      <c r="B128" t="inlineStr">
        <is>
          <t>Line Dom</t>
        </is>
      </c>
      <c r="C128" t="inlineStr">
        <is>
          <t>BIH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258</v>
      </c>
      <c r="S128" t="n">
        <v>257</v>
      </c>
      <c r="T128" t="n">
        <v>152</v>
      </c>
      <c r="U128" t="n">
        <v>196</v>
      </c>
      <c r="V128" t="n">
        <v>180</v>
      </c>
      <c r="W128" t="n">
        <v>180</v>
      </c>
      <c r="X128" t="n">
        <v>0</v>
      </c>
      <c r="Y128" t="n">
        <v>0</v>
      </c>
      <c r="Z128" t="n">
        <v>258</v>
      </c>
    </row>
    <row r="129">
      <c r="A129" s="381" t="n">
        <v>45968.37462177307</v>
      </c>
      <c r="B129" t="inlineStr">
        <is>
          <t>Line Dom</t>
        </is>
      </c>
      <c r="C129" t="inlineStr">
        <is>
          <t>SNA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20</v>
      </c>
      <c r="M129" t="n">
        <v>0</v>
      </c>
      <c r="N129" t="n">
        <v>12</v>
      </c>
      <c r="O129" t="n">
        <v>15</v>
      </c>
      <c r="P129" t="n">
        <v>13</v>
      </c>
      <c r="Q129" t="n">
        <v>13</v>
      </c>
      <c r="R129" t="n">
        <v>945</v>
      </c>
      <c r="S129" t="n">
        <v>942</v>
      </c>
      <c r="T129" t="n">
        <v>685</v>
      </c>
      <c r="U129" t="n">
        <v>814</v>
      </c>
      <c r="V129" t="n">
        <v>706</v>
      </c>
      <c r="W129" t="n">
        <v>707</v>
      </c>
      <c r="X129" t="n">
        <v>0</v>
      </c>
      <c r="Y129" t="n">
        <v>20</v>
      </c>
      <c r="Z129" t="n">
        <v>945</v>
      </c>
    </row>
    <row r="130">
      <c r="A130" s="381" t="n">
        <v>45968.37462177307</v>
      </c>
      <c r="B130" t="inlineStr">
        <is>
          <t>Line Dom</t>
        </is>
      </c>
      <c r="C130" t="inlineStr">
        <is>
          <t>LFT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33</v>
      </c>
      <c r="M130" t="n">
        <v>0</v>
      </c>
      <c r="N130" t="n">
        <v>25</v>
      </c>
      <c r="O130" t="n">
        <v>28</v>
      </c>
      <c r="P130" t="n">
        <v>28</v>
      </c>
      <c r="Q130" t="n">
        <v>28</v>
      </c>
      <c r="R130" t="n">
        <v>1697</v>
      </c>
      <c r="S130" t="n">
        <v>1660</v>
      </c>
      <c r="T130" t="n">
        <v>1158</v>
      </c>
      <c r="U130" t="n">
        <v>1350</v>
      </c>
      <c r="V130" t="n">
        <v>1302</v>
      </c>
      <c r="W130" t="n">
        <v>1302</v>
      </c>
      <c r="X130" t="n">
        <v>0</v>
      </c>
      <c r="Y130" t="n">
        <v>33</v>
      </c>
      <c r="Z130" t="n">
        <v>1698</v>
      </c>
    </row>
    <row r="131">
      <c r="A131" s="381" t="n">
        <v>45968.37462177307</v>
      </c>
      <c r="B131" t="inlineStr">
        <is>
          <t>Line Dom</t>
        </is>
      </c>
      <c r="C131" t="inlineStr">
        <is>
          <t>MOT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14</v>
      </c>
      <c r="M131" t="n">
        <v>0</v>
      </c>
      <c r="N131" t="n">
        <v>12</v>
      </c>
      <c r="O131" t="n">
        <v>14</v>
      </c>
      <c r="P131" t="n">
        <v>12</v>
      </c>
      <c r="Q131" t="n">
        <v>12</v>
      </c>
      <c r="R131" t="n">
        <v>1040</v>
      </c>
      <c r="S131" t="n">
        <v>1029</v>
      </c>
      <c r="T131" t="n">
        <v>638</v>
      </c>
      <c r="U131" t="n">
        <v>778</v>
      </c>
      <c r="V131" t="n">
        <v>723</v>
      </c>
      <c r="W131" t="n">
        <v>724</v>
      </c>
      <c r="X131" t="n">
        <v>0</v>
      </c>
      <c r="Y131" t="n">
        <v>14</v>
      </c>
      <c r="Z131" t="n">
        <v>1040</v>
      </c>
    </row>
    <row r="132">
      <c r="A132" s="381" t="n">
        <v>45968.37462177307</v>
      </c>
      <c r="B132" t="inlineStr">
        <is>
          <t>Line Dom</t>
        </is>
      </c>
      <c r="C132" t="inlineStr">
        <is>
          <t>MFE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28</v>
      </c>
      <c r="M132" t="n">
        <v>0</v>
      </c>
      <c r="N132" t="n">
        <v>19</v>
      </c>
      <c r="O132" t="n">
        <v>25</v>
      </c>
      <c r="P132" t="n">
        <v>24</v>
      </c>
      <c r="Q132" t="n">
        <v>24</v>
      </c>
      <c r="R132" t="n">
        <v>1647</v>
      </c>
      <c r="S132" t="n">
        <v>1618</v>
      </c>
      <c r="T132" t="n">
        <v>1157</v>
      </c>
      <c r="U132" t="n">
        <v>1339</v>
      </c>
      <c r="V132" t="n">
        <v>1332</v>
      </c>
      <c r="W132" t="n">
        <v>1332</v>
      </c>
      <c r="X132" t="n">
        <v>0</v>
      </c>
      <c r="Y132" t="n">
        <v>28</v>
      </c>
      <c r="Z132" t="n">
        <v>1647</v>
      </c>
    </row>
    <row r="133">
      <c r="A133" s="381" t="n">
        <v>45968.37462177307</v>
      </c>
      <c r="B133" t="inlineStr">
        <is>
          <t>Line Dom</t>
        </is>
      </c>
      <c r="C133" t="inlineStr">
        <is>
          <t>COS</t>
        </is>
      </c>
      <c r="D133" t="inlineStr">
        <is>
          <t>UA</t>
        </is>
      </c>
      <c r="E133" t="inlineStr">
        <is>
          <t>Express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64</v>
      </c>
      <c r="M133" t="n">
        <v>0</v>
      </c>
      <c r="N133" t="n">
        <v>51</v>
      </c>
      <c r="O133" t="n">
        <v>59</v>
      </c>
      <c r="P133" t="n">
        <v>54</v>
      </c>
      <c r="Q133" t="n">
        <v>54</v>
      </c>
      <c r="R133" t="n">
        <v>3864</v>
      </c>
      <c r="S133" t="n">
        <v>3821</v>
      </c>
      <c r="T133" t="n">
        <v>2231</v>
      </c>
      <c r="U133" t="n">
        <v>2756</v>
      </c>
      <c r="V133" t="n">
        <v>2727</v>
      </c>
      <c r="W133" t="n">
        <v>2727</v>
      </c>
      <c r="X133" t="n">
        <v>0</v>
      </c>
      <c r="Y133" t="n">
        <v>64</v>
      </c>
      <c r="Z133" t="n">
        <v>3864</v>
      </c>
    </row>
    <row r="134">
      <c r="A134" s="381" t="n">
        <v>45968.37462177307</v>
      </c>
      <c r="B134" t="inlineStr">
        <is>
          <t>Line Dom</t>
        </is>
      </c>
      <c r="C134" t="inlineStr">
        <is>
          <t>TUS</t>
        </is>
      </c>
      <c r="D134" t="inlineStr">
        <is>
          <t>UA</t>
        </is>
      </c>
      <c r="E134" t="inlineStr">
        <is>
          <t>Express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49</v>
      </c>
      <c r="M134" t="n">
        <v>0</v>
      </c>
      <c r="N134" t="n">
        <v>33</v>
      </c>
      <c r="O134" t="n">
        <v>42</v>
      </c>
      <c r="P134" t="n">
        <v>40</v>
      </c>
      <c r="Q134" t="n">
        <v>40</v>
      </c>
      <c r="R134" t="n">
        <v>1998</v>
      </c>
      <c r="S134" t="n">
        <v>1988</v>
      </c>
      <c r="T134" t="n">
        <v>1374</v>
      </c>
      <c r="U134" t="n">
        <v>1659</v>
      </c>
      <c r="V134" t="n">
        <v>1526</v>
      </c>
      <c r="W134" t="n">
        <v>1526</v>
      </c>
      <c r="X134" t="n">
        <v>0</v>
      </c>
      <c r="Y134" t="n">
        <v>49</v>
      </c>
      <c r="Z134" t="n">
        <v>2001</v>
      </c>
    </row>
    <row r="135">
      <c r="A135" s="381" t="n">
        <v>45968.37462177307</v>
      </c>
      <c r="B135" t="inlineStr">
        <is>
          <t>Line Dom</t>
        </is>
      </c>
      <c r="C135" t="inlineStr">
        <is>
          <t>PRC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15</v>
      </c>
      <c r="M135" t="n">
        <v>0</v>
      </c>
      <c r="N135" t="n">
        <v>12</v>
      </c>
      <c r="O135" t="n">
        <v>15</v>
      </c>
      <c r="P135" t="n">
        <v>14</v>
      </c>
      <c r="Q135" t="n">
        <v>14</v>
      </c>
      <c r="R135" t="n">
        <v>629</v>
      </c>
      <c r="S135" t="n">
        <v>622</v>
      </c>
      <c r="T135" t="n">
        <v>389</v>
      </c>
      <c r="U135" t="n">
        <v>457</v>
      </c>
      <c r="V135" t="n">
        <v>433</v>
      </c>
      <c r="W135" t="n">
        <v>433</v>
      </c>
      <c r="X135" t="n">
        <v>0</v>
      </c>
      <c r="Y135" t="n">
        <v>15</v>
      </c>
      <c r="Z135" t="n">
        <v>629</v>
      </c>
    </row>
    <row r="136">
      <c r="A136" s="381" t="n">
        <v>45968.37462177307</v>
      </c>
      <c r="B136" t="inlineStr">
        <is>
          <t>Line Dom</t>
        </is>
      </c>
      <c r="C136" t="inlineStr">
        <is>
          <t>BUR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10</v>
      </c>
      <c r="M136" t="n">
        <v>0</v>
      </c>
      <c r="N136" t="n">
        <v>6</v>
      </c>
      <c r="O136" t="n">
        <v>7</v>
      </c>
      <c r="P136" t="n">
        <v>7</v>
      </c>
      <c r="Q136" t="n">
        <v>7</v>
      </c>
      <c r="R136" t="n">
        <v>801</v>
      </c>
      <c r="S136" t="n">
        <v>791</v>
      </c>
      <c r="T136" t="n">
        <v>584</v>
      </c>
      <c r="U136" t="n">
        <v>700</v>
      </c>
      <c r="V136" t="n">
        <v>628</v>
      </c>
      <c r="W136" t="n">
        <v>628</v>
      </c>
      <c r="X136" t="n">
        <v>0</v>
      </c>
      <c r="Y136" t="n">
        <v>10</v>
      </c>
      <c r="Z136" t="n">
        <v>801</v>
      </c>
    </row>
    <row r="137">
      <c r="A137" s="381" t="n">
        <v>45968.37462177307</v>
      </c>
      <c r="B137" t="inlineStr">
        <is>
          <t>Line Dom</t>
        </is>
      </c>
      <c r="C137" t="inlineStr">
        <is>
          <t>GPT</t>
        </is>
      </c>
      <c r="D137" t="inlineStr">
        <is>
          <t>UA</t>
        </is>
      </c>
      <c r="E137" t="inlineStr">
        <is>
          <t>Express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17</v>
      </c>
      <c r="M137" t="n">
        <v>0</v>
      </c>
      <c r="N137" t="n">
        <v>13</v>
      </c>
      <c r="O137" t="n">
        <v>17</v>
      </c>
      <c r="P137" t="n">
        <v>14</v>
      </c>
      <c r="Q137" t="n">
        <v>14</v>
      </c>
      <c r="R137" t="n">
        <v>946</v>
      </c>
      <c r="S137" t="n">
        <v>927</v>
      </c>
      <c r="T137" t="n">
        <v>681</v>
      </c>
      <c r="U137" t="n">
        <v>774</v>
      </c>
      <c r="V137" t="n">
        <v>745</v>
      </c>
      <c r="W137" t="n">
        <v>745</v>
      </c>
      <c r="X137" t="n">
        <v>0</v>
      </c>
      <c r="Y137" t="n">
        <v>17</v>
      </c>
      <c r="Z137" t="n">
        <v>946</v>
      </c>
    </row>
    <row r="138">
      <c r="A138" s="381" t="n">
        <v>45968.37462177307</v>
      </c>
      <c r="B138" t="inlineStr">
        <is>
          <t>Line Dom</t>
        </is>
      </c>
      <c r="C138" t="inlineStr">
        <is>
          <t>DFW</t>
        </is>
      </c>
      <c r="D138" t="inlineStr">
        <is>
          <t>UA</t>
        </is>
      </c>
      <c r="E138" t="inlineStr">
        <is>
          <t>Express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</v>
      </c>
      <c r="M138" t="n">
        <v>0</v>
      </c>
      <c r="N138" t="n">
        <v>4</v>
      </c>
      <c r="O138" t="n">
        <v>6</v>
      </c>
      <c r="P138" t="n">
        <v>5</v>
      </c>
      <c r="Q138" t="n">
        <v>5</v>
      </c>
      <c r="R138" t="n">
        <v>711</v>
      </c>
      <c r="S138" t="n">
        <v>689</v>
      </c>
      <c r="T138" t="n">
        <v>443</v>
      </c>
      <c r="U138" t="n">
        <v>535</v>
      </c>
      <c r="V138" t="n">
        <v>485</v>
      </c>
      <c r="W138" t="n">
        <v>485</v>
      </c>
      <c r="X138" t="n">
        <v>0</v>
      </c>
      <c r="Y138" t="n">
        <v>7</v>
      </c>
      <c r="Z138" t="n">
        <v>709</v>
      </c>
    </row>
    <row r="139">
      <c r="A139" s="381" t="n">
        <v>45968.37462177307</v>
      </c>
      <c r="B139" t="inlineStr">
        <is>
          <t>Line Dom</t>
        </is>
      </c>
      <c r="C139" t="inlineStr">
        <is>
          <t>BIS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19</v>
      </c>
      <c r="M139" t="n">
        <v>0</v>
      </c>
      <c r="N139" t="n">
        <v>16</v>
      </c>
      <c r="O139" t="n">
        <v>18</v>
      </c>
      <c r="P139" t="n">
        <v>16</v>
      </c>
      <c r="Q139" t="n">
        <v>16</v>
      </c>
      <c r="R139" t="n">
        <v>1346</v>
      </c>
      <c r="S139" t="n">
        <v>1334</v>
      </c>
      <c r="T139" t="n">
        <v>767</v>
      </c>
      <c r="U139" t="n">
        <v>963</v>
      </c>
      <c r="V139" t="n">
        <v>868</v>
      </c>
      <c r="W139" t="n">
        <v>868</v>
      </c>
      <c r="X139" t="n">
        <v>0</v>
      </c>
      <c r="Y139" t="n">
        <v>19</v>
      </c>
      <c r="Z139" t="n">
        <v>1346</v>
      </c>
    </row>
    <row r="140">
      <c r="A140" s="381" t="n">
        <v>45968.37462177307</v>
      </c>
      <c r="B140" t="inlineStr">
        <is>
          <t>Line Dom</t>
        </is>
      </c>
      <c r="C140" t="inlineStr">
        <is>
          <t>ELP</t>
        </is>
      </c>
      <c r="D140" t="inlineStr">
        <is>
          <t>UA</t>
        </is>
      </c>
      <c r="E140" t="inlineStr">
        <is>
          <t>Express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32</v>
      </c>
      <c r="M140" t="n">
        <v>0</v>
      </c>
      <c r="N140" t="n">
        <v>26</v>
      </c>
      <c r="O140" t="n">
        <v>28</v>
      </c>
      <c r="P140" t="n">
        <v>28</v>
      </c>
      <c r="Q140" t="n">
        <v>28</v>
      </c>
      <c r="R140" t="n">
        <v>2190</v>
      </c>
      <c r="S140" t="n">
        <v>2154</v>
      </c>
      <c r="T140" t="n">
        <v>1390</v>
      </c>
      <c r="U140" t="n">
        <v>1683</v>
      </c>
      <c r="V140" t="n">
        <v>1698</v>
      </c>
      <c r="W140" t="n">
        <v>1698</v>
      </c>
      <c r="X140" t="n">
        <v>0</v>
      </c>
      <c r="Y140" t="n">
        <v>32</v>
      </c>
      <c r="Z140" t="n">
        <v>2190</v>
      </c>
    </row>
    <row r="141">
      <c r="A141" s="381" t="n">
        <v>45968.37462177307</v>
      </c>
      <c r="B141" t="inlineStr">
        <is>
          <t>Line Dom</t>
        </is>
      </c>
      <c r="C141" t="inlineStr">
        <is>
          <t>SAT</t>
        </is>
      </c>
      <c r="D141" t="inlineStr">
        <is>
          <t>UA</t>
        </is>
      </c>
      <c r="E141" t="inlineStr">
        <is>
          <t>Express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17</v>
      </c>
      <c r="M141" t="n">
        <v>0</v>
      </c>
      <c r="N141" t="n">
        <v>13</v>
      </c>
      <c r="O141" t="n">
        <v>15</v>
      </c>
      <c r="P141" t="n">
        <v>15</v>
      </c>
      <c r="Q141" t="n">
        <v>15</v>
      </c>
      <c r="R141" t="n">
        <v>1040</v>
      </c>
      <c r="S141" t="n">
        <v>1026</v>
      </c>
      <c r="T141" t="n">
        <v>677</v>
      </c>
      <c r="U141" t="n">
        <v>814</v>
      </c>
      <c r="V141" t="n">
        <v>794</v>
      </c>
      <c r="W141" t="n">
        <v>794</v>
      </c>
      <c r="X141" t="n">
        <v>0</v>
      </c>
      <c r="Y141" t="n">
        <v>17</v>
      </c>
      <c r="Z141" t="n">
        <v>1041</v>
      </c>
    </row>
    <row r="142">
      <c r="A142" s="381" t="n">
        <v>45968.37462177307</v>
      </c>
      <c r="B142" t="inlineStr">
        <is>
          <t>Line Dom</t>
        </is>
      </c>
      <c r="C142" t="inlineStr">
        <is>
          <t>RNO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29</v>
      </c>
      <c r="M142" t="n">
        <v>3</v>
      </c>
      <c r="N142" t="n">
        <v>20</v>
      </c>
      <c r="O142" t="n">
        <v>22</v>
      </c>
      <c r="P142" t="n">
        <v>22</v>
      </c>
      <c r="Q142" t="n">
        <v>22</v>
      </c>
      <c r="R142" t="n">
        <v>1682</v>
      </c>
      <c r="S142" t="n">
        <v>1661</v>
      </c>
      <c r="T142" t="n">
        <v>1243</v>
      </c>
      <c r="U142" t="n">
        <v>1451</v>
      </c>
      <c r="V142" t="n">
        <v>1340</v>
      </c>
      <c r="W142" t="n">
        <v>1340</v>
      </c>
      <c r="X142" t="n">
        <v>0</v>
      </c>
      <c r="Y142" t="n">
        <v>29</v>
      </c>
      <c r="Z142" t="n">
        <v>1681</v>
      </c>
    </row>
    <row r="143">
      <c r="A143" s="381" t="n">
        <v>45968.37462177307</v>
      </c>
      <c r="B143" t="inlineStr">
        <is>
          <t>Line Int</t>
        </is>
      </c>
      <c r="C143" t="inlineStr">
        <is>
          <t>YVR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77</v>
      </c>
      <c r="S143" t="n">
        <v>77</v>
      </c>
      <c r="T143" t="n">
        <v>63</v>
      </c>
      <c r="U143" t="n">
        <v>69</v>
      </c>
      <c r="V143" t="n">
        <v>60</v>
      </c>
      <c r="W143" t="n">
        <v>60</v>
      </c>
      <c r="X143" t="n">
        <v>0</v>
      </c>
      <c r="Y143" t="n">
        <v>0</v>
      </c>
      <c r="Z143" t="n">
        <v>77</v>
      </c>
    </row>
    <row r="144">
      <c r="A144" s="381" t="n">
        <v>45968.37462177307</v>
      </c>
      <c r="B144" t="inlineStr">
        <is>
          <t>Line Dom</t>
        </is>
      </c>
      <c r="C144" t="inlineStr">
        <is>
          <t>RIC</t>
        </is>
      </c>
      <c r="D144" t="inlineStr">
        <is>
          <t>UA</t>
        </is>
      </c>
      <c r="E144" t="inlineStr">
        <is>
          <t>Express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66</v>
      </c>
      <c r="M144" t="n">
        <v>1</v>
      </c>
      <c r="N144" t="n">
        <v>29</v>
      </c>
      <c r="O144" t="n">
        <v>41</v>
      </c>
      <c r="P144" t="n">
        <v>42</v>
      </c>
      <c r="Q144" t="n">
        <v>42</v>
      </c>
      <c r="R144" t="n">
        <v>3680</v>
      </c>
      <c r="S144" t="n">
        <v>3581</v>
      </c>
      <c r="T144" t="n">
        <v>2217</v>
      </c>
      <c r="U144" t="n">
        <v>2684</v>
      </c>
      <c r="V144" t="n">
        <v>2599</v>
      </c>
      <c r="W144" t="n">
        <v>2599</v>
      </c>
      <c r="X144" t="n">
        <v>0</v>
      </c>
      <c r="Y144" t="n">
        <v>66</v>
      </c>
      <c r="Z144" t="n">
        <v>3678</v>
      </c>
    </row>
    <row r="145">
      <c r="A145" s="381" t="n">
        <v>45968.37462177307</v>
      </c>
      <c r="B145" t="inlineStr">
        <is>
          <t>Line Dom</t>
        </is>
      </c>
      <c r="C145" t="inlineStr">
        <is>
          <t>FNT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15</v>
      </c>
      <c r="M145" t="n">
        <v>0</v>
      </c>
      <c r="N145" t="n">
        <v>10</v>
      </c>
      <c r="O145" t="n">
        <v>12</v>
      </c>
      <c r="P145" t="n">
        <v>13</v>
      </c>
      <c r="Q145" t="n">
        <v>13</v>
      </c>
      <c r="R145" t="n">
        <v>838</v>
      </c>
      <c r="S145" t="n">
        <v>828</v>
      </c>
      <c r="T145" t="n">
        <v>472</v>
      </c>
      <c r="U145" t="n">
        <v>593</v>
      </c>
      <c r="V145" t="n">
        <v>547</v>
      </c>
      <c r="W145" t="n">
        <v>547</v>
      </c>
      <c r="X145" t="n">
        <v>0</v>
      </c>
      <c r="Y145" t="n">
        <v>15</v>
      </c>
      <c r="Z145" t="n">
        <v>838</v>
      </c>
    </row>
    <row r="146">
      <c r="A146" s="381" t="n">
        <v>45968.37462177307</v>
      </c>
      <c r="B146" t="inlineStr">
        <is>
          <t>Line Dom</t>
        </is>
      </c>
      <c r="C146" t="inlineStr">
        <is>
          <t>CMH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n">
        <v>2</v>
      </c>
      <c r="N146" t="n">
        <v>46</v>
      </c>
      <c r="O146" t="n">
        <v>56</v>
      </c>
      <c r="P146" t="n">
        <v>50</v>
      </c>
      <c r="Q146" t="n">
        <v>50</v>
      </c>
      <c r="R146" t="n">
        <v>4080</v>
      </c>
      <c r="S146" t="n">
        <v>3990</v>
      </c>
      <c r="T146" t="n">
        <v>2642</v>
      </c>
      <c r="U146" t="n">
        <v>3197</v>
      </c>
      <c r="V146" t="n">
        <v>2890</v>
      </c>
      <c r="W146" t="n">
        <v>2892</v>
      </c>
      <c r="X146" t="n">
        <v>0</v>
      </c>
      <c r="Y146" t="n">
        <v>70</v>
      </c>
      <c r="Z146" t="n">
        <v>4089</v>
      </c>
    </row>
    <row r="147">
      <c r="A147" s="381" t="n">
        <v>45968.37462177307</v>
      </c>
      <c r="B147" t="inlineStr">
        <is>
          <t>Line Dom</t>
        </is>
      </c>
      <c r="C147" t="inlineStr">
        <is>
          <t>ECP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18</v>
      </c>
      <c r="M147" t="n">
        <v>0</v>
      </c>
      <c r="N147" t="n">
        <v>13</v>
      </c>
      <c r="O147" t="n">
        <v>17</v>
      </c>
      <c r="P147" t="n">
        <v>13</v>
      </c>
      <c r="Q147" t="n">
        <v>13</v>
      </c>
      <c r="R147" t="n">
        <v>1377</v>
      </c>
      <c r="S147" t="n">
        <v>1351</v>
      </c>
      <c r="T147" t="n">
        <v>879</v>
      </c>
      <c r="U147" t="n">
        <v>1049</v>
      </c>
      <c r="V147" t="n">
        <v>982</v>
      </c>
      <c r="W147" t="n">
        <v>982</v>
      </c>
      <c r="X147" t="n">
        <v>0</v>
      </c>
      <c r="Y147" t="n">
        <v>18</v>
      </c>
      <c r="Z147" t="n">
        <v>1377</v>
      </c>
    </row>
    <row r="148">
      <c r="A148" s="381" t="n">
        <v>45968.37462177307</v>
      </c>
      <c r="B148" t="inlineStr">
        <is>
          <t>Line Dom</t>
        </is>
      </c>
      <c r="C148" t="inlineStr">
        <is>
          <t>XNA</t>
        </is>
      </c>
      <c r="D148" t="inlineStr">
        <is>
          <t>UA</t>
        </is>
      </c>
      <c r="E148" t="inlineStr">
        <is>
          <t>Express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52</v>
      </c>
      <c r="M148" t="n">
        <v>0</v>
      </c>
      <c r="N148" t="n">
        <v>38</v>
      </c>
      <c r="O148" t="n">
        <v>43</v>
      </c>
      <c r="P148" t="n">
        <v>42</v>
      </c>
      <c r="Q148" t="n">
        <v>42</v>
      </c>
      <c r="R148" t="n">
        <v>2798</v>
      </c>
      <c r="S148" t="n">
        <v>2766</v>
      </c>
      <c r="T148" t="n">
        <v>1869</v>
      </c>
      <c r="U148" t="n">
        <v>2203</v>
      </c>
      <c r="V148" t="n">
        <v>2116</v>
      </c>
      <c r="W148" t="n">
        <v>2117</v>
      </c>
      <c r="X148" t="n">
        <v>0</v>
      </c>
      <c r="Y148" t="n">
        <v>52</v>
      </c>
      <c r="Z148" t="n">
        <v>2799</v>
      </c>
    </row>
    <row r="149">
      <c r="A149" s="381" t="n">
        <v>45968.37462177307</v>
      </c>
      <c r="B149" t="inlineStr">
        <is>
          <t>Line Dom</t>
        </is>
      </c>
      <c r="C149" t="inlineStr">
        <is>
          <t>DDC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8</v>
      </c>
      <c r="M149" t="n">
        <v>0</v>
      </c>
      <c r="N149" t="n">
        <v>8</v>
      </c>
      <c r="O149" t="n">
        <v>8</v>
      </c>
      <c r="P149" t="n">
        <v>8</v>
      </c>
      <c r="Q149" t="n">
        <v>8</v>
      </c>
      <c r="R149" t="n">
        <v>530</v>
      </c>
      <c r="S149" t="n">
        <v>514</v>
      </c>
      <c r="T149" t="n">
        <v>330</v>
      </c>
      <c r="U149" t="n">
        <v>399</v>
      </c>
      <c r="V149" t="n">
        <v>366</v>
      </c>
      <c r="W149" t="n">
        <v>366</v>
      </c>
      <c r="X149" t="n">
        <v>0</v>
      </c>
      <c r="Y149" t="n">
        <v>8</v>
      </c>
      <c r="Z149" t="n">
        <v>530</v>
      </c>
    </row>
    <row r="150">
      <c r="A150" s="381" t="n">
        <v>45968.37462177307</v>
      </c>
      <c r="B150" t="inlineStr">
        <is>
          <t>Line Dom</t>
        </is>
      </c>
      <c r="C150" t="inlineStr">
        <is>
          <t>DVL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</v>
      </c>
      <c r="M150" t="n">
        <v>0</v>
      </c>
      <c r="N150" t="n">
        <v>8</v>
      </c>
      <c r="O150" t="n">
        <v>8</v>
      </c>
      <c r="P150" t="n">
        <v>7</v>
      </c>
      <c r="Q150" t="n">
        <v>7</v>
      </c>
      <c r="R150" t="n">
        <v>555</v>
      </c>
      <c r="S150" t="n">
        <v>549</v>
      </c>
      <c r="T150" t="n">
        <v>398</v>
      </c>
      <c r="U150" t="n">
        <v>462</v>
      </c>
      <c r="V150" t="n">
        <v>376</v>
      </c>
      <c r="W150" t="n">
        <v>376</v>
      </c>
      <c r="X150" t="n">
        <v>0</v>
      </c>
      <c r="Y150" t="n">
        <v>8</v>
      </c>
      <c r="Z150" t="n">
        <v>556</v>
      </c>
    </row>
    <row r="151">
      <c r="A151" s="381" t="n">
        <v>45968.37462177307</v>
      </c>
      <c r="B151" t="inlineStr">
        <is>
          <t>Line Dom</t>
        </is>
      </c>
      <c r="C151" t="inlineStr">
        <is>
          <t>MBS</t>
        </is>
      </c>
      <c r="D151" t="inlineStr">
        <is>
          <t>UA</t>
        </is>
      </c>
      <c r="E151" t="inlineStr">
        <is>
          <t>Express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15</v>
      </c>
      <c r="M151" t="n">
        <v>0</v>
      </c>
      <c r="N151" t="n">
        <v>10</v>
      </c>
      <c r="O151" t="n">
        <v>13</v>
      </c>
      <c r="P151" t="n">
        <v>14</v>
      </c>
      <c r="Q151" t="n">
        <v>14</v>
      </c>
      <c r="R151" t="n">
        <v>920</v>
      </c>
      <c r="S151" t="n">
        <v>907</v>
      </c>
      <c r="T151" t="n">
        <v>536</v>
      </c>
      <c r="U151" t="n">
        <v>656</v>
      </c>
      <c r="V151" t="n">
        <v>593</v>
      </c>
      <c r="W151" t="n">
        <v>593</v>
      </c>
      <c r="X151" t="n">
        <v>0</v>
      </c>
      <c r="Y151" t="n">
        <v>15</v>
      </c>
      <c r="Z151" t="n">
        <v>920</v>
      </c>
    </row>
    <row r="152">
      <c r="A152" s="381" t="n">
        <v>45968.37462177307</v>
      </c>
      <c r="B152" t="inlineStr">
        <is>
          <t>Line Dom</t>
        </is>
      </c>
      <c r="C152" t="inlineStr">
        <is>
          <t>DAY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32</v>
      </c>
      <c r="M152" t="n">
        <v>0</v>
      </c>
      <c r="N152" t="n">
        <v>21</v>
      </c>
      <c r="O152" t="n">
        <v>26</v>
      </c>
      <c r="P152" t="n">
        <v>26</v>
      </c>
      <c r="Q152" t="n">
        <v>26</v>
      </c>
      <c r="R152" t="n">
        <v>2398</v>
      </c>
      <c r="S152" t="n">
        <v>2363</v>
      </c>
      <c r="T152" t="n">
        <v>1512</v>
      </c>
      <c r="U152" t="n">
        <v>1822</v>
      </c>
      <c r="V152" t="n">
        <v>1804</v>
      </c>
      <c r="W152" t="n">
        <v>1804</v>
      </c>
      <c r="X152" t="n">
        <v>0</v>
      </c>
      <c r="Y152" t="n">
        <v>32</v>
      </c>
      <c r="Z152" t="n">
        <v>2396</v>
      </c>
    </row>
    <row r="153">
      <c r="A153" s="381" t="n">
        <v>45968.37462177307</v>
      </c>
      <c r="B153" t="inlineStr">
        <is>
          <t>Line Dom</t>
        </is>
      </c>
      <c r="C153" t="inlineStr">
        <is>
          <t>BHM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0</v>
      </c>
      <c r="N153" t="n">
        <v>29</v>
      </c>
      <c r="O153" t="n">
        <v>38</v>
      </c>
      <c r="P153" t="n">
        <v>37</v>
      </c>
      <c r="Q153" t="n">
        <v>37</v>
      </c>
      <c r="R153" t="n">
        <v>2780</v>
      </c>
      <c r="S153" t="n">
        <v>2735</v>
      </c>
      <c r="T153" t="n">
        <v>1780</v>
      </c>
      <c r="U153" t="n">
        <v>2110</v>
      </c>
      <c r="V153" t="n">
        <v>2066</v>
      </c>
      <c r="W153" t="n">
        <v>2066</v>
      </c>
      <c r="X153" t="n">
        <v>0</v>
      </c>
      <c r="Y153" t="n">
        <v>48</v>
      </c>
      <c r="Z153" t="n">
        <v>2782</v>
      </c>
    </row>
    <row r="154">
      <c r="A154" s="381" t="n">
        <v>45968.37462177307</v>
      </c>
      <c r="B154" t="inlineStr">
        <is>
          <t>Line Dom</t>
        </is>
      </c>
      <c r="C154" t="inlineStr">
        <is>
          <t>ATY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5</v>
      </c>
      <c r="O154" t="n">
        <v>5</v>
      </c>
      <c r="P154" t="n">
        <v>5</v>
      </c>
      <c r="Q154" t="n">
        <v>5</v>
      </c>
      <c r="R154" t="n">
        <v>97</v>
      </c>
      <c r="S154" t="n">
        <v>97</v>
      </c>
      <c r="T154" t="n">
        <v>62</v>
      </c>
      <c r="U154" t="n">
        <v>78</v>
      </c>
      <c r="V154" t="n">
        <v>67</v>
      </c>
      <c r="W154" t="n">
        <v>67</v>
      </c>
      <c r="X154" t="n">
        <v>0</v>
      </c>
      <c r="Y154" t="n">
        <v>5</v>
      </c>
      <c r="Z154" t="n">
        <v>97</v>
      </c>
    </row>
    <row r="155">
      <c r="A155" s="381" t="n">
        <v>45968.37462177307</v>
      </c>
      <c r="B155" t="inlineStr">
        <is>
          <t>Line Dom</t>
        </is>
      </c>
      <c r="C155" t="inlineStr">
        <is>
          <t>DTW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62</v>
      </c>
      <c r="M155" t="n">
        <v>2</v>
      </c>
      <c r="N155" t="n">
        <v>33</v>
      </c>
      <c r="O155" t="n">
        <v>44</v>
      </c>
      <c r="P155" t="n">
        <v>41</v>
      </c>
      <c r="Q155" t="n">
        <v>41</v>
      </c>
      <c r="R155" t="n">
        <v>3738</v>
      </c>
      <c r="S155" t="n">
        <v>3647</v>
      </c>
      <c r="T155" t="n">
        <v>2455</v>
      </c>
      <c r="U155" t="n">
        <v>2930</v>
      </c>
      <c r="V155" t="n">
        <v>2779</v>
      </c>
      <c r="W155" t="n">
        <v>2779</v>
      </c>
      <c r="X155" t="n">
        <v>0</v>
      </c>
      <c r="Y155" t="n">
        <v>63</v>
      </c>
      <c r="Z155" t="n">
        <v>3739</v>
      </c>
    </row>
    <row r="156">
      <c r="A156" s="381" t="n">
        <v>45968.37462177307</v>
      </c>
      <c r="B156" t="inlineStr">
        <is>
          <t>Line Dom</t>
        </is>
      </c>
      <c r="C156" t="inlineStr">
        <is>
          <t>SAF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17</v>
      </c>
      <c r="M156" t="n">
        <v>0</v>
      </c>
      <c r="N156" t="n">
        <v>13</v>
      </c>
      <c r="O156" t="n">
        <v>17</v>
      </c>
      <c r="P156" t="n">
        <v>17</v>
      </c>
      <c r="Q156" t="n">
        <v>17</v>
      </c>
      <c r="R156" t="n">
        <v>1195</v>
      </c>
      <c r="S156" t="n">
        <v>1191</v>
      </c>
      <c r="T156" t="n">
        <v>768</v>
      </c>
      <c r="U156" t="n">
        <v>932</v>
      </c>
      <c r="V156" t="n">
        <v>886</v>
      </c>
      <c r="W156" t="n">
        <v>886</v>
      </c>
      <c r="X156" t="n">
        <v>0</v>
      </c>
      <c r="Y156" t="n">
        <v>17</v>
      </c>
      <c r="Z156" t="n">
        <v>1195</v>
      </c>
    </row>
    <row r="157">
      <c r="A157" s="381" t="n">
        <v>45968.37462177307</v>
      </c>
      <c r="B157" t="inlineStr">
        <is>
          <t>Line Dom</t>
        </is>
      </c>
      <c r="C157" t="inlineStr">
        <is>
          <t>GSO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33</v>
      </c>
      <c r="M157" t="n">
        <v>1</v>
      </c>
      <c r="N157" t="n">
        <v>17</v>
      </c>
      <c r="O157" t="n">
        <v>23</v>
      </c>
      <c r="P157" t="n">
        <v>25</v>
      </c>
      <c r="Q157" t="n">
        <v>25</v>
      </c>
      <c r="R157" t="n">
        <v>2413</v>
      </c>
      <c r="S157" t="n">
        <v>2363</v>
      </c>
      <c r="T157" t="n">
        <v>1405</v>
      </c>
      <c r="U157" t="n">
        <v>1727</v>
      </c>
      <c r="V157" t="n">
        <v>1721</v>
      </c>
      <c r="W157" t="n">
        <v>1721</v>
      </c>
      <c r="X157" t="n">
        <v>0</v>
      </c>
      <c r="Y157" t="n">
        <v>33</v>
      </c>
      <c r="Z157" t="n">
        <v>2413</v>
      </c>
    </row>
    <row r="158">
      <c r="A158" s="381" t="n">
        <v>45968.37462177307</v>
      </c>
      <c r="B158" t="inlineStr">
        <is>
          <t>Line Dom</t>
        </is>
      </c>
      <c r="C158" t="inlineStr">
        <is>
          <t>SGU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20</v>
      </c>
      <c r="M158" t="n">
        <v>0</v>
      </c>
      <c r="N158" t="n">
        <v>18</v>
      </c>
      <c r="O158" t="n">
        <v>20</v>
      </c>
      <c r="P158" t="n">
        <v>18</v>
      </c>
      <c r="Q158" t="n">
        <v>18</v>
      </c>
      <c r="R158" t="n">
        <v>1197</v>
      </c>
      <c r="S158" t="n">
        <v>1197</v>
      </c>
      <c r="T158" t="n">
        <v>761</v>
      </c>
      <c r="U158" t="n">
        <v>949</v>
      </c>
      <c r="V158" t="n">
        <v>880</v>
      </c>
      <c r="W158" t="n">
        <v>880</v>
      </c>
      <c r="X158" t="n">
        <v>0</v>
      </c>
      <c r="Y158" t="n">
        <v>20</v>
      </c>
      <c r="Z158" t="n">
        <v>1197</v>
      </c>
    </row>
    <row r="159">
      <c r="A159" s="381" t="n">
        <v>45968.37462177307</v>
      </c>
      <c r="B159" t="inlineStr">
        <is>
          <t>Line Dom</t>
        </is>
      </c>
      <c r="C159" t="inlineStr">
        <is>
          <t>SLC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46</v>
      </c>
      <c r="M159" t="n">
        <v>0</v>
      </c>
      <c r="N159" t="n">
        <v>30</v>
      </c>
      <c r="O159" t="n">
        <v>35</v>
      </c>
      <c r="P159" t="n">
        <v>33</v>
      </c>
      <c r="Q159" t="n">
        <v>33</v>
      </c>
      <c r="R159" t="n">
        <v>2937</v>
      </c>
      <c r="S159" t="n">
        <v>2929</v>
      </c>
      <c r="T159" t="n">
        <v>1959</v>
      </c>
      <c r="U159" t="n">
        <v>2353</v>
      </c>
      <c r="V159" t="n">
        <v>2221</v>
      </c>
      <c r="W159" t="n">
        <v>2222</v>
      </c>
      <c r="X159" t="n">
        <v>0</v>
      </c>
      <c r="Y159" t="n">
        <v>45</v>
      </c>
      <c r="Z159" t="n">
        <v>2934</v>
      </c>
    </row>
    <row r="160">
      <c r="A160" s="381" t="n">
        <v>45968.37462177307</v>
      </c>
      <c r="B160" t="inlineStr">
        <is>
          <t>Line Dom</t>
        </is>
      </c>
      <c r="C160" t="inlineStr">
        <is>
          <t>ABQ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33</v>
      </c>
      <c r="M160" t="n">
        <v>0</v>
      </c>
      <c r="N160" t="n">
        <v>26</v>
      </c>
      <c r="O160" t="n">
        <v>31</v>
      </c>
      <c r="P160" t="n">
        <v>29</v>
      </c>
      <c r="Q160" t="n">
        <v>29</v>
      </c>
      <c r="R160" t="n">
        <v>2223</v>
      </c>
      <c r="S160" t="n">
        <v>2203</v>
      </c>
      <c r="T160" t="n">
        <v>1404</v>
      </c>
      <c r="U160" t="n">
        <v>1756</v>
      </c>
      <c r="V160" t="n">
        <v>1629</v>
      </c>
      <c r="W160" t="n">
        <v>1629</v>
      </c>
      <c r="X160" t="n">
        <v>0</v>
      </c>
      <c r="Y160" t="n">
        <v>33</v>
      </c>
      <c r="Z160" t="n">
        <v>2225</v>
      </c>
    </row>
    <row r="161">
      <c r="A161" s="381" t="n">
        <v>45968.37462177307</v>
      </c>
      <c r="B161" t="inlineStr">
        <is>
          <t>Line Dom</t>
        </is>
      </c>
      <c r="C161" t="inlineStr">
        <is>
          <t>SRQ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</v>
      </c>
      <c r="M161" t="n">
        <v>1</v>
      </c>
      <c r="N161" t="n">
        <v>3</v>
      </c>
      <c r="O161" t="n">
        <v>4</v>
      </c>
      <c r="P161" t="n">
        <v>1</v>
      </c>
      <c r="Q161" t="n">
        <v>1</v>
      </c>
      <c r="R161" t="n">
        <v>144</v>
      </c>
      <c r="S161" t="n">
        <v>136</v>
      </c>
      <c r="T161" t="n">
        <v>117</v>
      </c>
      <c r="U161" t="n">
        <v>130</v>
      </c>
      <c r="V161" t="n">
        <v>105</v>
      </c>
      <c r="W161" t="n">
        <v>105</v>
      </c>
      <c r="X161" t="n">
        <v>0</v>
      </c>
      <c r="Y161" t="n">
        <v>4</v>
      </c>
      <c r="Z161" t="n">
        <v>144</v>
      </c>
    </row>
    <row r="162">
      <c r="A162" s="381" t="n">
        <v>45968.37462177307</v>
      </c>
      <c r="B162" t="inlineStr">
        <is>
          <t>Line Dom</t>
        </is>
      </c>
      <c r="C162" t="inlineStr">
        <is>
          <t>GRB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30</v>
      </c>
      <c r="M162" t="n">
        <v>0</v>
      </c>
      <c r="N162" t="n">
        <v>17</v>
      </c>
      <c r="O162" t="n">
        <v>23</v>
      </c>
      <c r="P162" t="n">
        <v>28</v>
      </c>
      <c r="Q162" t="n">
        <v>28</v>
      </c>
      <c r="R162" t="n">
        <v>1702</v>
      </c>
      <c r="S162" t="n">
        <v>1690</v>
      </c>
      <c r="T162" t="n">
        <v>985</v>
      </c>
      <c r="U162" t="n">
        <v>1229</v>
      </c>
      <c r="V162" t="n">
        <v>1218</v>
      </c>
      <c r="W162" t="n">
        <v>1218</v>
      </c>
      <c r="X162" t="n">
        <v>0</v>
      </c>
      <c r="Y162" t="n">
        <v>30</v>
      </c>
      <c r="Z162" t="n">
        <v>1702</v>
      </c>
    </row>
    <row r="163">
      <c r="A163" s="381" t="n">
        <v>45968.37462177307</v>
      </c>
      <c r="B163" t="inlineStr">
        <is>
          <t>Line Dom</t>
        </is>
      </c>
      <c r="C163" t="inlineStr">
        <is>
          <t>IND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82</v>
      </c>
      <c r="M163" t="n">
        <v>1</v>
      </c>
      <c r="N163" t="n">
        <v>53</v>
      </c>
      <c r="O163" t="n">
        <v>67</v>
      </c>
      <c r="P163" t="n">
        <v>62</v>
      </c>
      <c r="Q163" t="n">
        <v>62</v>
      </c>
      <c r="R163" t="n">
        <v>5173</v>
      </c>
      <c r="S163" t="n">
        <v>5060</v>
      </c>
      <c r="T163" t="n">
        <v>3495</v>
      </c>
      <c r="U163" t="n">
        <v>4160</v>
      </c>
      <c r="V163" t="n">
        <v>4042</v>
      </c>
      <c r="W163" t="n">
        <v>4042</v>
      </c>
      <c r="X163" t="n">
        <v>0</v>
      </c>
      <c r="Y163" t="n">
        <v>82</v>
      </c>
      <c r="Z163" t="n">
        <v>5170</v>
      </c>
    </row>
    <row r="164">
      <c r="A164" s="381" t="n">
        <v>45968.37462177307</v>
      </c>
      <c r="B164" t="inlineStr">
        <is>
          <t>Line Dom</t>
        </is>
      </c>
      <c r="C164" t="inlineStr">
        <is>
          <t>PVD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22</v>
      </c>
      <c r="M164" t="n">
        <v>0</v>
      </c>
      <c r="N164" t="n">
        <v>11</v>
      </c>
      <c r="O164" t="n">
        <v>18</v>
      </c>
      <c r="P164" t="n">
        <v>17</v>
      </c>
      <c r="Q164" t="n">
        <v>17</v>
      </c>
      <c r="R164" t="n">
        <v>1500</v>
      </c>
      <c r="S164" t="n">
        <v>1475</v>
      </c>
      <c r="T164" t="n">
        <v>883</v>
      </c>
      <c r="U164" t="n">
        <v>1137</v>
      </c>
      <c r="V164" t="n">
        <v>1114</v>
      </c>
      <c r="W164" t="n">
        <v>1114</v>
      </c>
      <c r="X164" t="n">
        <v>0</v>
      </c>
      <c r="Y164" t="n">
        <v>22</v>
      </c>
      <c r="Z164" t="n">
        <v>1499</v>
      </c>
    </row>
    <row r="165">
      <c r="A165" s="381" t="n">
        <v>45968.37462177307</v>
      </c>
      <c r="B165" t="inlineStr">
        <is>
          <t>Line Dom</t>
        </is>
      </c>
      <c r="C165" t="inlineStr">
        <is>
          <t>SJC</t>
        </is>
      </c>
      <c r="D165" t="inlineStr">
        <is>
          <t>UA</t>
        </is>
      </c>
      <c r="E165" t="inlineStr">
        <is>
          <t>Express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53</v>
      </c>
      <c r="S165" t="n">
        <v>53</v>
      </c>
      <c r="T165" t="n">
        <v>44</v>
      </c>
      <c r="U165" t="n">
        <v>50</v>
      </c>
      <c r="V165" t="n">
        <v>48</v>
      </c>
      <c r="W165" t="n">
        <v>48</v>
      </c>
      <c r="X165" t="n">
        <v>0</v>
      </c>
      <c r="Y165" t="n">
        <v>0</v>
      </c>
      <c r="Z165" t="n">
        <v>53</v>
      </c>
    </row>
    <row r="166">
      <c r="A166" s="381" t="n">
        <v>45968.37462177307</v>
      </c>
      <c r="B166" t="inlineStr">
        <is>
          <t>Line Dom</t>
        </is>
      </c>
      <c r="C166" t="inlineStr">
        <is>
          <t>SUX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</v>
      </c>
      <c r="M166" t="n">
        <v>0</v>
      </c>
      <c r="N166" t="n">
        <v>9</v>
      </c>
      <c r="O166" t="n">
        <v>9</v>
      </c>
      <c r="P166" t="n">
        <v>10</v>
      </c>
      <c r="Q166" t="n">
        <v>10</v>
      </c>
      <c r="R166" t="n">
        <v>618</v>
      </c>
      <c r="S166" t="n">
        <v>609</v>
      </c>
      <c r="T166" t="n">
        <v>321</v>
      </c>
      <c r="U166" t="n">
        <v>418</v>
      </c>
      <c r="V166" t="n">
        <v>400</v>
      </c>
      <c r="W166" t="n">
        <v>400</v>
      </c>
      <c r="X166" t="n">
        <v>0</v>
      </c>
      <c r="Y166" t="n">
        <v>10</v>
      </c>
      <c r="Z166" t="n">
        <v>618</v>
      </c>
    </row>
    <row r="167">
      <c r="A167" s="381" t="n">
        <v>45968.37462177307</v>
      </c>
      <c r="B167" t="inlineStr">
        <is>
          <t>Line Int</t>
        </is>
      </c>
      <c r="C167" t="inlineStr">
        <is>
          <t>SLP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</v>
      </c>
      <c r="M167" t="n">
        <v>0</v>
      </c>
      <c r="N167" t="n">
        <v>8</v>
      </c>
      <c r="O167" t="n">
        <v>8</v>
      </c>
      <c r="P167" t="n">
        <v>7</v>
      </c>
      <c r="Q167" t="n">
        <v>7</v>
      </c>
      <c r="R167" t="n">
        <v>524</v>
      </c>
      <c r="S167" t="n">
        <v>520</v>
      </c>
      <c r="T167" t="n">
        <v>262</v>
      </c>
      <c r="U167" t="n">
        <v>374</v>
      </c>
      <c r="V167" t="n">
        <v>429</v>
      </c>
      <c r="W167" t="n">
        <v>429</v>
      </c>
      <c r="X167" t="n">
        <v>0</v>
      </c>
      <c r="Y167" t="n">
        <v>10</v>
      </c>
      <c r="Z167" t="n">
        <v>524</v>
      </c>
    </row>
    <row r="168">
      <c r="A168" s="381" t="n">
        <v>45968.37462177307</v>
      </c>
      <c r="B168" t="inlineStr">
        <is>
          <t>Line Dom</t>
        </is>
      </c>
      <c r="C168" t="inlineStr">
        <is>
          <t>SLN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15</v>
      </c>
      <c r="M168" t="n">
        <v>0</v>
      </c>
      <c r="N168" t="n">
        <v>11</v>
      </c>
      <c r="O168" t="n">
        <v>13</v>
      </c>
      <c r="P168" t="n">
        <v>15</v>
      </c>
      <c r="Q168" t="n">
        <v>15</v>
      </c>
      <c r="R168" t="n">
        <v>806</v>
      </c>
      <c r="S168" t="n">
        <v>793</v>
      </c>
      <c r="T168" t="n">
        <v>403</v>
      </c>
      <c r="U168" t="n">
        <v>527</v>
      </c>
      <c r="V168" t="n">
        <v>626</v>
      </c>
      <c r="W168" t="n">
        <v>626</v>
      </c>
      <c r="X168" t="n">
        <v>0</v>
      </c>
      <c r="Y168" t="n">
        <v>15</v>
      </c>
      <c r="Z168" t="n">
        <v>808</v>
      </c>
    </row>
    <row r="169">
      <c r="A169" s="381" t="n">
        <v>45968.37462177307</v>
      </c>
      <c r="B169" t="inlineStr">
        <is>
          <t>Line Dom</t>
        </is>
      </c>
      <c r="C169" t="inlineStr">
        <is>
          <t>CHO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37</v>
      </c>
      <c r="M169" t="n">
        <v>0</v>
      </c>
      <c r="N169" t="n">
        <v>28</v>
      </c>
      <c r="O169" t="n">
        <v>34</v>
      </c>
      <c r="P169" t="n">
        <v>34</v>
      </c>
      <c r="Q169" t="n">
        <v>34</v>
      </c>
      <c r="R169" t="n">
        <v>1739</v>
      </c>
      <c r="S169" t="n">
        <v>1710</v>
      </c>
      <c r="T169" t="n">
        <v>1015</v>
      </c>
      <c r="U169" t="n">
        <v>1309</v>
      </c>
      <c r="V169" t="n">
        <v>1278</v>
      </c>
      <c r="W169" t="n">
        <v>1278</v>
      </c>
      <c r="X169" t="n">
        <v>0</v>
      </c>
      <c r="Y169" t="n">
        <v>37</v>
      </c>
      <c r="Z169" t="n">
        <v>1740</v>
      </c>
    </row>
    <row r="170">
      <c r="A170" s="381" t="n">
        <v>45968.37462177307</v>
      </c>
      <c r="B170" t="inlineStr">
        <is>
          <t>Line Dom</t>
        </is>
      </c>
      <c r="C170" t="inlineStr">
        <is>
          <t>EGE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5</v>
      </c>
      <c r="M170" t="n">
        <v>0</v>
      </c>
      <c r="N170" t="n">
        <v>5</v>
      </c>
      <c r="O170" t="n">
        <v>5</v>
      </c>
      <c r="P170" t="n">
        <v>5</v>
      </c>
      <c r="Q170" t="n">
        <v>5</v>
      </c>
      <c r="R170" t="n">
        <v>799</v>
      </c>
      <c r="S170" t="n">
        <v>789</v>
      </c>
      <c r="T170" t="n">
        <v>538</v>
      </c>
      <c r="U170" t="n">
        <v>634</v>
      </c>
      <c r="V170" t="n">
        <v>524</v>
      </c>
      <c r="W170" t="n">
        <v>524</v>
      </c>
      <c r="X170" t="n">
        <v>0</v>
      </c>
      <c r="Y170" t="n">
        <v>5</v>
      </c>
      <c r="Z170" t="n">
        <v>798</v>
      </c>
    </row>
    <row r="171">
      <c r="A171" s="381" t="n">
        <v>45968.37462177307</v>
      </c>
      <c r="B171" t="inlineStr">
        <is>
          <t>Line Dom</t>
        </is>
      </c>
      <c r="C171" t="inlineStr">
        <is>
          <t>CHA</t>
        </is>
      </c>
      <c r="D171" t="inlineStr">
        <is>
          <t>UA</t>
        </is>
      </c>
      <c r="E171" t="inlineStr">
        <is>
          <t>Express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25</v>
      </c>
      <c r="M171" t="n">
        <v>0</v>
      </c>
      <c r="N171" t="n">
        <v>11</v>
      </c>
      <c r="O171" t="n">
        <v>17</v>
      </c>
      <c r="P171" t="n">
        <v>11</v>
      </c>
      <c r="Q171" t="n">
        <v>11</v>
      </c>
      <c r="R171" t="n">
        <v>1067</v>
      </c>
      <c r="S171" t="n">
        <v>1052</v>
      </c>
      <c r="T171" t="n">
        <v>631</v>
      </c>
      <c r="U171" t="n">
        <v>783</v>
      </c>
      <c r="V171" t="n">
        <v>685</v>
      </c>
      <c r="W171" t="n">
        <v>685</v>
      </c>
      <c r="X171" t="n">
        <v>0</v>
      </c>
      <c r="Y171" t="n">
        <v>25</v>
      </c>
      <c r="Z171" t="n">
        <v>1068</v>
      </c>
    </row>
    <row r="172">
      <c r="A172" s="381" t="n">
        <v>45968.37462177307</v>
      </c>
      <c r="B172" t="inlineStr">
        <is>
          <t>Line Dom</t>
        </is>
      </c>
      <c r="C172" t="inlineStr">
        <is>
          <t>JAX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10</v>
      </c>
      <c r="M172" t="n">
        <v>0</v>
      </c>
      <c r="N172" t="n">
        <v>10</v>
      </c>
      <c r="O172" t="n">
        <v>10</v>
      </c>
      <c r="P172" t="n">
        <v>9</v>
      </c>
      <c r="Q172" t="n">
        <v>9</v>
      </c>
      <c r="R172" t="n">
        <v>1392</v>
      </c>
      <c r="S172" t="n">
        <v>1364</v>
      </c>
      <c r="T172" t="n">
        <v>932</v>
      </c>
      <c r="U172" t="n">
        <v>1096</v>
      </c>
      <c r="V172" t="n">
        <v>1017</v>
      </c>
      <c r="W172" t="n">
        <v>1018</v>
      </c>
      <c r="X172" t="n">
        <v>0</v>
      </c>
      <c r="Y172" t="n">
        <v>10</v>
      </c>
      <c r="Z172" t="n">
        <v>1392</v>
      </c>
    </row>
    <row r="173">
      <c r="A173" s="381" t="n">
        <v>45968.37462177307</v>
      </c>
      <c r="B173" t="inlineStr">
        <is>
          <t>Line Dom</t>
        </is>
      </c>
      <c r="C173" t="inlineStr">
        <is>
          <t>RIW</t>
        </is>
      </c>
      <c r="D173" t="inlineStr">
        <is>
          <t>UA</t>
        </is>
      </c>
      <c r="E173" t="inlineStr">
        <is>
          <t>Express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</v>
      </c>
      <c r="M173" t="n">
        <v>0</v>
      </c>
      <c r="N173" t="n">
        <v>9</v>
      </c>
      <c r="O173" t="n">
        <v>10</v>
      </c>
      <c r="P173" t="n">
        <v>7</v>
      </c>
      <c r="Q173" t="n">
        <v>7</v>
      </c>
      <c r="R173" t="n">
        <v>618</v>
      </c>
      <c r="S173" t="n">
        <v>613</v>
      </c>
      <c r="T173" t="n">
        <v>398</v>
      </c>
      <c r="U173" t="n">
        <v>484</v>
      </c>
      <c r="V173" t="n">
        <v>483</v>
      </c>
      <c r="W173" t="n">
        <v>483</v>
      </c>
      <c r="X173" t="n">
        <v>0</v>
      </c>
      <c r="Y173" t="n">
        <v>10</v>
      </c>
      <c r="Z173" t="n">
        <v>618</v>
      </c>
    </row>
    <row r="174">
      <c r="A174" s="381" t="n">
        <v>45968.37462177307</v>
      </c>
      <c r="B174" t="inlineStr">
        <is>
          <t>Line Dom</t>
        </is>
      </c>
      <c r="C174" t="inlineStr">
        <is>
          <t>SCE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42</v>
      </c>
      <c r="M174" t="n">
        <v>1</v>
      </c>
      <c r="N174" t="n">
        <v>30</v>
      </c>
      <c r="O174" t="n">
        <v>34</v>
      </c>
      <c r="P174" t="n">
        <v>36</v>
      </c>
      <c r="Q174" t="n">
        <v>36</v>
      </c>
      <c r="R174" t="n">
        <v>1906</v>
      </c>
      <c r="S174" t="n">
        <v>1884</v>
      </c>
      <c r="T174" t="n">
        <v>1159</v>
      </c>
      <c r="U174" t="n">
        <v>1444</v>
      </c>
      <c r="V174" t="n">
        <v>1466</v>
      </c>
      <c r="W174" t="n">
        <v>1466</v>
      </c>
      <c r="X174" t="n">
        <v>0</v>
      </c>
      <c r="Y174" t="n">
        <v>42</v>
      </c>
      <c r="Z174" t="n">
        <v>1908</v>
      </c>
    </row>
    <row r="175">
      <c r="A175" s="381" t="n">
        <v>45968.37462177307</v>
      </c>
      <c r="B175" t="inlineStr">
        <is>
          <t>Line Int</t>
        </is>
      </c>
      <c r="C175" t="inlineStr">
        <is>
          <t>QRO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121</v>
      </c>
      <c r="S175" t="n">
        <v>120</v>
      </c>
      <c r="T175" t="n">
        <v>96</v>
      </c>
      <c r="U175" t="n">
        <v>111</v>
      </c>
      <c r="V175" t="n">
        <v>102</v>
      </c>
      <c r="W175" t="n">
        <v>102</v>
      </c>
      <c r="X175" t="n">
        <v>0</v>
      </c>
      <c r="Y175" t="n">
        <v>0</v>
      </c>
      <c r="Z175" t="n">
        <v>121</v>
      </c>
    </row>
    <row r="176">
      <c r="A176" s="381" t="n">
        <v>45968.37462177307</v>
      </c>
      <c r="B176" t="inlineStr">
        <is>
          <t>Line Dom</t>
        </is>
      </c>
      <c r="C176" t="inlineStr">
        <is>
          <t>BOS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162</v>
      </c>
      <c r="S176" t="n">
        <v>146</v>
      </c>
      <c r="T176" t="n">
        <v>98</v>
      </c>
      <c r="U176" t="n">
        <v>120</v>
      </c>
      <c r="V176" t="n">
        <v>88</v>
      </c>
      <c r="W176" t="n">
        <v>88</v>
      </c>
      <c r="X176" t="n">
        <v>0</v>
      </c>
      <c r="Y176" t="n">
        <v>1</v>
      </c>
      <c r="Z176" t="n">
        <v>163</v>
      </c>
    </row>
    <row r="177">
      <c r="A177" s="381" t="n">
        <v>45968.37462177307</v>
      </c>
      <c r="B177" t="inlineStr">
        <is>
          <t>Line Dom</t>
        </is>
      </c>
      <c r="C177" t="inlineStr">
        <is>
          <t>MDT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28</v>
      </c>
      <c r="M177" t="n">
        <v>0</v>
      </c>
      <c r="N177" t="n">
        <v>18</v>
      </c>
      <c r="O177" t="n">
        <v>21</v>
      </c>
      <c r="P177" t="n">
        <v>19</v>
      </c>
      <c r="Q177" t="n">
        <v>19</v>
      </c>
      <c r="R177" t="n">
        <v>1581</v>
      </c>
      <c r="S177" t="n">
        <v>1557</v>
      </c>
      <c r="T177" t="n">
        <v>920</v>
      </c>
      <c r="U177" t="n">
        <v>1199</v>
      </c>
      <c r="V177" t="n">
        <v>1136</v>
      </c>
      <c r="W177" t="n">
        <v>1136</v>
      </c>
      <c r="X177" t="n">
        <v>0</v>
      </c>
      <c r="Y177" t="n">
        <v>28</v>
      </c>
      <c r="Z177" t="n">
        <v>1582</v>
      </c>
    </row>
    <row r="178">
      <c r="A178" s="381" t="n">
        <v>45968.37462177307</v>
      </c>
      <c r="B178" t="inlineStr">
        <is>
          <t>Line Dom</t>
        </is>
      </c>
      <c r="C178" t="inlineStr">
        <is>
          <t>ASE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35</v>
      </c>
      <c r="M178" t="n">
        <v>0</v>
      </c>
      <c r="N178" t="n">
        <v>24</v>
      </c>
      <c r="O178" t="n">
        <v>31</v>
      </c>
      <c r="P178" t="n">
        <v>30</v>
      </c>
      <c r="Q178" t="n">
        <v>30</v>
      </c>
      <c r="R178" t="n">
        <v>4242</v>
      </c>
      <c r="S178" t="n">
        <v>4026</v>
      </c>
      <c r="T178" t="n">
        <v>2274</v>
      </c>
      <c r="U178" t="n">
        <v>2813</v>
      </c>
      <c r="V178" t="n">
        <v>2328</v>
      </c>
      <c r="W178" t="n">
        <v>2328</v>
      </c>
      <c r="X178" t="n">
        <v>0</v>
      </c>
      <c r="Y178" t="n">
        <v>35</v>
      </c>
      <c r="Z178" t="n">
        <v>4238</v>
      </c>
    </row>
    <row r="179">
      <c r="A179" s="381" t="n">
        <v>45968.37462177307</v>
      </c>
      <c r="B179" t="inlineStr">
        <is>
          <t>Line Dom</t>
        </is>
      </c>
      <c r="C179" t="inlineStr">
        <is>
          <t>PHX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11</v>
      </c>
      <c r="M179" t="n">
        <v>0</v>
      </c>
      <c r="N179" t="n">
        <v>7</v>
      </c>
      <c r="O179" t="n">
        <v>7</v>
      </c>
      <c r="P179" t="n">
        <v>10</v>
      </c>
      <c r="Q179" t="n">
        <v>10</v>
      </c>
      <c r="R179" t="n">
        <v>862</v>
      </c>
      <c r="S179" t="n">
        <v>855</v>
      </c>
      <c r="T179" t="n">
        <v>593</v>
      </c>
      <c r="U179" t="n">
        <v>741</v>
      </c>
      <c r="V179" t="n">
        <v>677</v>
      </c>
      <c r="W179" t="n">
        <v>677</v>
      </c>
      <c r="X179" t="n">
        <v>0</v>
      </c>
      <c r="Y179" t="n">
        <v>10</v>
      </c>
      <c r="Z179" t="n">
        <v>860</v>
      </c>
    </row>
    <row r="180">
      <c r="A180" s="381" t="n">
        <v>45968.37462177307</v>
      </c>
      <c r="B180" t="inlineStr">
        <is>
          <t>Line Dom</t>
        </is>
      </c>
      <c r="C180" t="inlineStr">
        <is>
          <t>RDU</t>
        </is>
      </c>
      <c r="D180" t="inlineStr">
        <is>
          <t>UA</t>
        </is>
      </c>
      <c r="E180" t="inlineStr">
        <is>
          <t>Express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</v>
      </c>
      <c r="M180" t="n">
        <v>0</v>
      </c>
      <c r="N180" t="n">
        <v>5</v>
      </c>
      <c r="O180" t="n">
        <v>7</v>
      </c>
      <c r="P180" t="n">
        <v>5</v>
      </c>
      <c r="Q180" t="n">
        <v>5</v>
      </c>
      <c r="R180" t="n">
        <v>1319</v>
      </c>
      <c r="S180" t="n">
        <v>1279</v>
      </c>
      <c r="T180" t="n">
        <v>890</v>
      </c>
      <c r="U180" t="n">
        <v>1048</v>
      </c>
      <c r="V180" t="n">
        <v>973</v>
      </c>
      <c r="W180" t="n">
        <v>974</v>
      </c>
      <c r="X180" t="n">
        <v>0</v>
      </c>
      <c r="Y180" t="n">
        <v>7</v>
      </c>
      <c r="Z180" t="n">
        <v>1319</v>
      </c>
    </row>
    <row r="181">
      <c r="A181" s="381" t="n">
        <v>45968.37462177307</v>
      </c>
      <c r="B181" t="inlineStr">
        <is>
          <t>Line Dom</t>
        </is>
      </c>
      <c r="C181" t="inlineStr">
        <is>
          <t>ABE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15</v>
      </c>
      <c r="M181" t="n">
        <v>0</v>
      </c>
      <c r="N181" t="n">
        <v>9</v>
      </c>
      <c r="O181" t="n">
        <v>11</v>
      </c>
      <c r="P181" t="n">
        <v>12</v>
      </c>
      <c r="Q181" t="n">
        <v>12</v>
      </c>
      <c r="R181" t="n">
        <v>697</v>
      </c>
      <c r="S181" t="n">
        <v>692</v>
      </c>
      <c r="T181" t="n">
        <v>455</v>
      </c>
      <c r="U181" t="n">
        <v>531</v>
      </c>
      <c r="V181" t="n">
        <v>496</v>
      </c>
      <c r="W181" t="n">
        <v>496</v>
      </c>
      <c r="X181" t="n">
        <v>0</v>
      </c>
      <c r="Y181" t="n">
        <v>15</v>
      </c>
      <c r="Z181" t="n">
        <v>697</v>
      </c>
    </row>
    <row r="182">
      <c r="A182" s="381" t="n">
        <v>45968.37462177307</v>
      </c>
      <c r="B182" t="inlineStr">
        <is>
          <t>Line Dom</t>
        </is>
      </c>
      <c r="C182" t="inlineStr">
        <is>
          <t>CVG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58</v>
      </c>
      <c r="M182" t="n">
        <v>2</v>
      </c>
      <c r="N182" t="n">
        <v>32</v>
      </c>
      <c r="O182" t="n">
        <v>48</v>
      </c>
      <c r="P182" t="n">
        <v>44</v>
      </c>
      <c r="Q182" t="n">
        <v>44</v>
      </c>
      <c r="R182" t="n">
        <v>3393</v>
      </c>
      <c r="S182" t="n">
        <v>3309</v>
      </c>
      <c r="T182" t="n">
        <v>2159</v>
      </c>
      <c r="U182" t="n">
        <v>2637</v>
      </c>
      <c r="V182" t="n">
        <v>2550</v>
      </c>
      <c r="W182" t="n">
        <v>2550</v>
      </c>
      <c r="X182" t="n">
        <v>0</v>
      </c>
      <c r="Y182" t="n">
        <v>58</v>
      </c>
      <c r="Z182" t="n">
        <v>3396</v>
      </c>
    </row>
    <row r="183">
      <c r="A183" s="381" t="n">
        <v>45968.37462177307</v>
      </c>
      <c r="B183" t="inlineStr">
        <is>
          <t>Line Dom</t>
        </is>
      </c>
      <c r="C183" t="inlineStr">
        <is>
          <t>FSD</t>
        </is>
      </c>
      <c r="D183" t="inlineStr">
        <is>
          <t>UA</t>
        </is>
      </c>
      <c r="E183" t="inlineStr">
        <is>
          <t>Express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27</v>
      </c>
      <c r="M183" t="n">
        <v>0</v>
      </c>
      <c r="N183" t="n">
        <v>20</v>
      </c>
      <c r="O183" t="n">
        <v>24</v>
      </c>
      <c r="P183" t="n">
        <v>23</v>
      </c>
      <c r="Q183" t="n">
        <v>23</v>
      </c>
      <c r="R183" t="n">
        <v>1989</v>
      </c>
      <c r="S183" t="n">
        <v>1969</v>
      </c>
      <c r="T183" t="n">
        <v>1274</v>
      </c>
      <c r="U183" t="n">
        <v>1559</v>
      </c>
      <c r="V183" t="n">
        <v>1390</v>
      </c>
      <c r="W183" t="n">
        <v>1390</v>
      </c>
      <c r="X183" t="n">
        <v>0</v>
      </c>
      <c r="Y183" t="n">
        <v>27</v>
      </c>
      <c r="Z183" t="n">
        <v>1988</v>
      </c>
    </row>
    <row r="184">
      <c r="A184" s="381" t="n">
        <v>45968.37462177307</v>
      </c>
      <c r="B184" t="inlineStr">
        <is>
          <t>Line Dom</t>
        </is>
      </c>
      <c r="C184" t="inlineStr">
        <is>
          <t>GEG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20</v>
      </c>
      <c r="M184" t="n">
        <v>0</v>
      </c>
      <c r="N184" t="n">
        <v>9</v>
      </c>
      <c r="O184" t="n">
        <v>14</v>
      </c>
      <c r="P184" t="n">
        <v>14</v>
      </c>
      <c r="Q184" t="n">
        <v>14</v>
      </c>
      <c r="R184" t="n">
        <v>1017</v>
      </c>
      <c r="S184" t="n">
        <v>1016</v>
      </c>
      <c r="T184" t="n">
        <v>654</v>
      </c>
      <c r="U184" t="n">
        <v>827</v>
      </c>
      <c r="V184" t="n">
        <v>843</v>
      </c>
      <c r="W184" t="n">
        <v>843</v>
      </c>
      <c r="X184" t="n">
        <v>0</v>
      </c>
      <c r="Y184" t="n">
        <v>20</v>
      </c>
      <c r="Z184" t="n">
        <v>1017</v>
      </c>
    </row>
    <row r="185">
      <c r="A185" s="381" t="n">
        <v>45968.37462177307</v>
      </c>
      <c r="B185" t="inlineStr">
        <is>
          <t>Line Dom</t>
        </is>
      </c>
      <c r="C185" t="inlineStr">
        <is>
          <t>LBB</t>
        </is>
      </c>
      <c r="D185" t="inlineStr">
        <is>
          <t>UA</t>
        </is>
      </c>
      <c r="E185" t="inlineStr">
        <is>
          <t>Express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32</v>
      </c>
      <c r="M185" t="n">
        <v>0</v>
      </c>
      <c r="N185" t="n">
        <v>23</v>
      </c>
      <c r="O185" t="n">
        <v>27</v>
      </c>
      <c r="P185" t="n">
        <v>24</v>
      </c>
      <c r="Q185" t="n">
        <v>24</v>
      </c>
      <c r="R185" t="n">
        <v>1717</v>
      </c>
      <c r="S185" t="n">
        <v>1693</v>
      </c>
      <c r="T185" t="n">
        <v>1103</v>
      </c>
      <c r="U185" t="n">
        <v>1271</v>
      </c>
      <c r="V185" t="n">
        <v>1281</v>
      </c>
      <c r="W185" t="n">
        <v>1281</v>
      </c>
      <c r="X185" t="n">
        <v>0</v>
      </c>
      <c r="Y185" t="n">
        <v>32</v>
      </c>
      <c r="Z185" t="n">
        <v>1718</v>
      </c>
    </row>
    <row r="186">
      <c r="A186" s="381" t="n">
        <v>45968.37462177307</v>
      </c>
      <c r="B186" t="inlineStr">
        <is>
          <t>Line Int</t>
        </is>
      </c>
      <c r="C186" t="inlineStr">
        <is>
          <t>OAX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9</v>
      </c>
      <c r="M186" t="n">
        <v>0</v>
      </c>
      <c r="N186" t="n">
        <v>6</v>
      </c>
      <c r="O186" t="n">
        <v>8</v>
      </c>
      <c r="P186" t="n">
        <v>8</v>
      </c>
      <c r="Q186" t="n">
        <v>8</v>
      </c>
      <c r="R186" t="n">
        <v>317</v>
      </c>
      <c r="S186" t="n">
        <v>314</v>
      </c>
      <c r="T186" t="n">
        <v>226</v>
      </c>
      <c r="U186" t="n">
        <v>262</v>
      </c>
      <c r="V186" t="n">
        <v>261</v>
      </c>
      <c r="W186" t="n">
        <v>261</v>
      </c>
      <c r="X186" t="n">
        <v>0</v>
      </c>
      <c r="Y186" t="n">
        <v>9</v>
      </c>
      <c r="Z186" t="n">
        <v>317</v>
      </c>
    </row>
    <row r="187">
      <c r="A187" s="381" t="n">
        <v>45968.37462177307</v>
      </c>
      <c r="B187" t="inlineStr">
        <is>
          <t>Line Dom</t>
        </is>
      </c>
      <c r="C187" t="inlineStr">
        <is>
          <t>ROC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42</v>
      </c>
      <c r="M187" t="n">
        <v>1</v>
      </c>
      <c r="N187" t="n">
        <v>22</v>
      </c>
      <c r="O187" t="n">
        <v>32</v>
      </c>
      <c r="P187" t="n">
        <v>29</v>
      </c>
      <c r="Q187" t="n">
        <v>29</v>
      </c>
      <c r="R187" t="n">
        <v>2355</v>
      </c>
      <c r="S187" t="n">
        <v>2297</v>
      </c>
      <c r="T187" t="n">
        <v>1461</v>
      </c>
      <c r="U187" t="n">
        <v>1830</v>
      </c>
      <c r="V187" t="n">
        <v>1704</v>
      </c>
      <c r="W187" t="n">
        <v>1704</v>
      </c>
      <c r="X187" t="n">
        <v>0</v>
      </c>
      <c r="Y187" t="n">
        <v>42</v>
      </c>
      <c r="Z187" t="n">
        <v>2350</v>
      </c>
    </row>
    <row r="188">
      <c r="A188" s="381" t="n">
        <v>45968.37462177307</v>
      </c>
      <c r="B188" t="inlineStr">
        <is>
          <t>Line Dom</t>
        </is>
      </c>
      <c r="C188" t="inlineStr">
        <is>
          <t>ICT</t>
        </is>
      </c>
      <c r="D188" t="inlineStr">
        <is>
          <t>UA</t>
        </is>
      </c>
      <c r="E188" t="inlineStr">
        <is>
          <t>Express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46</v>
      </c>
      <c r="M188" t="n">
        <v>0</v>
      </c>
      <c r="N188" t="n">
        <v>34</v>
      </c>
      <c r="O188" t="n">
        <v>39</v>
      </c>
      <c r="P188" t="n">
        <v>42</v>
      </c>
      <c r="Q188" t="n">
        <v>42</v>
      </c>
      <c r="R188" t="n">
        <v>2907</v>
      </c>
      <c r="S188" t="n">
        <v>2857</v>
      </c>
      <c r="T188" t="n">
        <v>1950</v>
      </c>
      <c r="U188" t="n">
        <v>2315</v>
      </c>
      <c r="V188" t="n">
        <v>2225</v>
      </c>
      <c r="W188" t="n">
        <v>2225</v>
      </c>
      <c r="X188" t="n">
        <v>0</v>
      </c>
      <c r="Y188" t="n">
        <v>46</v>
      </c>
      <c r="Z188" t="n">
        <v>2907</v>
      </c>
    </row>
    <row r="189">
      <c r="A189" s="381" t="n">
        <v>45968.37462177307</v>
      </c>
      <c r="B189" t="inlineStr">
        <is>
          <t>Line Dom</t>
        </is>
      </c>
      <c r="C189" t="inlineStr">
        <is>
          <t>MOB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31</v>
      </c>
      <c r="M189" t="n">
        <v>0</v>
      </c>
      <c r="N189" t="n">
        <v>15</v>
      </c>
      <c r="O189" t="n">
        <v>25</v>
      </c>
      <c r="P189" t="n">
        <v>23</v>
      </c>
      <c r="Q189" t="n">
        <v>23</v>
      </c>
      <c r="R189" t="n">
        <v>1837</v>
      </c>
      <c r="S189" t="n">
        <v>1796</v>
      </c>
      <c r="T189" t="n">
        <v>1195</v>
      </c>
      <c r="U189" t="n">
        <v>1408</v>
      </c>
      <c r="V189" t="n">
        <v>1440</v>
      </c>
      <c r="W189" t="n">
        <v>1440</v>
      </c>
      <c r="X189" t="n">
        <v>0</v>
      </c>
      <c r="Y189" t="n">
        <v>31</v>
      </c>
      <c r="Z189" t="n">
        <v>1838</v>
      </c>
    </row>
    <row r="190">
      <c r="A190" s="381" t="n">
        <v>45968.37462177307</v>
      </c>
      <c r="B190" t="inlineStr">
        <is>
          <t>Line Int</t>
        </is>
      </c>
      <c r="C190" t="inlineStr">
        <is>
          <t>MZT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45</v>
      </c>
      <c r="S190" t="n">
        <v>45</v>
      </c>
      <c r="T190" t="n">
        <v>29</v>
      </c>
      <c r="U190" t="n">
        <v>33</v>
      </c>
      <c r="V190" t="n">
        <v>37</v>
      </c>
      <c r="W190" t="n">
        <v>37</v>
      </c>
      <c r="X190" t="n">
        <v>0</v>
      </c>
      <c r="Y190" t="n">
        <v>0</v>
      </c>
      <c r="Z190" t="n">
        <v>45</v>
      </c>
    </row>
    <row r="191">
      <c r="A191" s="381" t="n">
        <v>45968.37462177307</v>
      </c>
      <c r="B191" t="inlineStr">
        <is>
          <t>Line Int</t>
        </is>
      </c>
      <c r="C191" t="inlineStr">
        <is>
          <t>PBC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n">
        <v>0</v>
      </c>
      <c r="N191" t="n">
        <v>4</v>
      </c>
      <c r="O191" t="n">
        <v>4</v>
      </c>
      <c r="P191" t="n">
        <v>4</v>
      </c>
      <c r="Q191" t="n">
        <v>4</v>
      </c>
      <c r="R191" t="n">
        <v>309</v>
      </c>
      <c r="S191" t="n">
        <v>297</v>
      </c>
      <c r="T191" t="n">
        <v>194</v>
      </c>
      <c r="U191" t="n">
        <v>239</v>
      </c>
      <c r="V191" t="n">
        <v>257</v>
      </c>
      <c r="W191" t="n">
        <v>257</v>
      </c>
      <c r="X191" t="n">
        <v>0</v>
      </c>
      <c r="Y191" t="n">
        <v>5</v>
      </c>
      <c r="Z191" t="n">
        <v>309</v>
      </c>
    </row>
    <row r="192">
      <c r="A192" s="381" t="n">
        <v>45968.37462177307</v>
      </c>
      <c r="B192" t="inlineStr">
        <is>
          <t>Line Dom</t>
        </is>
      </c>
      <c r="C192" t="inlineStr">
        <is>
          <t>ACV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30</v>
      </c>
      <c r="M192" t="n">
        <v>0</v>
      </c>
      <c r="N192" t="n">
        <v>16</v>
      </c>
      <c r="O192" t="n">
        <v>21</v>
      </c>
      <c r="P192" t="n">
        <v>19</v>
      </c>
      <c r="Q192" t="n">
        <v>19</v>
      </c>
      <c r="R192" t="n">
        <v>1657</v>
      </c>
      <c r="S192" t="n">
        <v>1650</v>
      </c>
      <c r="T192" t="n">
        <v>1049</v>
      </c>
      <c r="U192" t="n">
        <v>1350</v>
      </c>
      <c r="V192" t="n">
        <v>1291</v>
      </c>
      <c r="W192" t="n">
        <v>1291</v>
      </c>
      <c r="X192" t="n">
        <v>0</v>
      </c>
      <c r="Y192" t="n">
        <v>30</v>
      </c>
      <c r="Z192" t="n">
        <v>1659</v>
      </c>
    </row>
    <row r="193">
      <c r="A193" s="381" t="n">
        <v>45968.37462177307</v>
      </c>
      <c r="B193" t="inlineStr">
        <is>
          <t>Line Dom</t>
        </is>
      </c>
      <c r="C193" t="inlineStr">
        <is>
          <t>SAN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13</v>
      </c>
      <c r="M193" t="n">
        <v>0</v>
      </c>
      <c r="N193" t="n">
        <v>9</v>
      </c>
      <c r="O193" t="n">
        <v>11</v>
      </c>
      <c r="P193" t="n">
        <v>10</v>
      </c>
      <c r="Q193" t="n">
        <v>10</v>
      </c>
      <c r="R193" t="n">
        <v>986</v>
      </c>
      <c r="S193" t="n">
        <v>986</v>
      </c>
      <c r="T193" t="n">
        <v>743</v>
      </c>
      <c r="U193" t="n">
        <v>876</v>
      </c>
      <c r="V193" t="n">
        <v>842</v>
      </c>
      <c r="W193" t="n">
        <v>845</v>
      </c>
      <c r="X193" t="n">
        <v>0</v>
      </c>
      <c r="Y193" t="n">
        <v>13</v>
      </c>
      <c r="Z193" t="n">
        <v>986</v>
      </c>
    </row>
    <row r="194">
      <c r="A194" s="381" t="n">
        <v>45968.37462177307</v>
      </c>
      <c r="B194" t="inlineStr">
        <is>
          <t>Line Dom</t>
        </is>
      </c>
      <c r="C194" t="inlineStr">
        <is>
          <t>PNS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23</v>
      </c>
      <c r="M194" t="n">
        <v>0</v>
      </c>
      <c r="N194" t="n">
        <v>17</v>
      </c>
      <c r="O194" t="n">
        <v>20</v>
      </c>
      <c r="P194" t="n">
        <v>20</v>
      </c>
      <c r="Q194" t="n">
        <v>20</v>
      </c>
      <c r="R194" t="n">
        <v>1043</v>
      </c>
      <c r="S194" t="n">
        <v>1021</v>
      </c>
      <c r="T194" t="n">
        <v>706</v>
      </c>
      <c r="U194" t="n">
        <v>815</v>
      </c>
      <c r="V194" t="n">
        <v>796</v>
      </c>
      <c r="W194" t="n">
        <v>797</v>
      </c>
      <c r="X194" t="n">
        <v>0</v>
      </c>
      <c r="Y194" t="n">
        <v>23</v>
      </c>
      <c r="Z194" t="n">
        <v>1044</v>
      </c>
    </row>
    <row r="195">
      <c r="A195" s="381" t="n">
        <v>45968.37462177307</v>
      </c>
      <c r="B195" t="inlineStr">
        <is>
          <t>Line Dom</t>
        </is>
      </c>
      <c r="C195" t="inlineStr">
        <is>
          <t>FCA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796</v>
      </c>
      <c r="S195" t="n">
        <v>793</v>
      </c>
      <c r="T195" t="n">
        <v>527</v>
      </c>
      <c r="U195" t="n">
        <v>665</v>
      </c>
      <c r="V195" t="n">
        <v>599</v>
      </c>
      <c r="W195" t="n">
        <v>600</v>
      </c>
      <c r="X195" t="n">
        <v>0</v>
      </c>
      <c r="Y195" t="n">
        <v>0</v>
      </c>
      <c r="Z195" t="n">
        <v>796</v>
      </c>
    </row>
    <row r="196">
      <c r="A196" s="381" t="n">
        <v>45968.37462177307</v>
      </c>
      <c r="B196" t="inlineStr">
        <is>
          <t>Line Int</t>
        </is>
      </c>
      <c r="C196" t="inlineStr">
        <is>
          <t>GDL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5</v>
      </c>
      <c r="M196" t="n">
        <v>0</v>
      </c>
      <c r="N196" t="n">
        <v>3</v>
      </c>
      <c r="O196" t="n">
        <v>4</v>
      </c>
      <c r="P196" t="n">
        <v>4</v>
      </c>
      <c r="Q196" t="n">
        <v>4</v>
      </c>
      <c r="R196" t="n">
        <v>325</v>
      </c>
      <c r="S196" t="n">
        <v>320</v>
      </c>
      <c r="T196" t="n">
        <v>206</v>
      </c>
      <c r="U196" t="n">
        <v>268</v>
      </c>
      <c r="V196" t="n">
        <v>267</v>
      </c>
      <c r="W196" t="n">
        <v>267</v>
      </c>
      <c r="X196" t="n">
        <v>0</v>
      </c>
      <c r="Y196" t="n">
        <v>5</v>
      </c>
      <c r="Z196" t="n">
        <v>325</v>
      </c>
    </row>
    <row r="197">
      <c r="A197" s="381" t="n">
        <v>45968.37462177307</v>
      </c>
      <c r="B197" t="inlineStr">
        <is>
          <t>Line Dom</t>
        </is>
      </c>
      <c r="C197" t="inlineStr">
        <is>
          <t>JAN</t>
        </is>
      </c>
      <c r="D197" t="inlineStr">
        <is>
          <t>UA</t>
        </is>
      </c>
      <c r="E197" t="inlineStr">
        <is>
          <t>Express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</v>
      </c>
      <c r="M197" t="n">
        <v>0</v>
      </c>
      <c r="N197" t="n">
        <v>16</v>
      </c>
      <c r="O197" t="n">
        <v>20</v>
      </c>
      <c r="P197" t="n">
        <v>20</v>
      </c>
      <c r="Q197" t="n">
        <v>20</v>
      </c>
      <c r="R197" t="n">
        <v>1321</v>
      </c>
      <c r="S197" t="n">
        <v>1299</v>
      </c>
      <c r="T197" t="n">
        <v>947</v>
      </c>
      <c r="U197" t="n">
        <v>1059</v>
      </c>
      <c r="V197" t="n">
        <v>1036</v>
      </c>
      <c r="W197" t="n">
        <v>1036</v>
      </c>
      <c r="X197" t="n">
        <v>0</v>
      </c>
      <c r="Y197" t="n">
        <v>24</v>
      </c>
      <c r="Z197" t="n">
        <v>1322</v>
      </c>
    </row>
    <row r="198">
      <c r="A198" s="381" t="n">
        <v>45968.37462177307</v>
      </c>
      <c r="B198" t="inlineStr">
        <is>
          <t>Line Int</t>
        </is>
      </c>
      <c r="C198" t="inlineStr">
        <is>
          <t>TAM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</v>
      </c>
      <c r="M198" t="n">
        <v>0</v>
      </c>
      <c r="N198" t="n">
        <v>6</v>
      </c>
      <c r="O198" t="n">
        <v>8</v>
      </c>
      <c r="P198" t="n">
        <v>10</v>
      </c>
      <c r="Q198" t="n">
        <v>10</v>
      </c>
      <c r="R198" t="n">
        <v>425</v>
      </c>
      <c r="S198" t="n">
        <v>423</v>
      </c>
      <c r="T198" t="n">
        <v>307</v>
      </c>
      <c r="U198" t="n">
        <v>354</v>
      </c>
      <c r="V198" t="n">
        <v>374</v>
      </c>
      <c r="W198" t="n">
        <v>374</v>
      </c>
      <c r="X198" t="n">
        <v>0</v>
      </c>
      <c r="Y198" t="n">
        <v>10</v>
      </c>
      <c r="Z198" t="n">
        <v>426</v>
      </c>
    </row>
    <row r="199">
      <c r="A199" s="381" t="n">
        <v>45968.37462177307</v>
      </c>
      <c r="B199" t="inlineStr">
        <is>
          <t>Line Dom</t>
        </is>
      </c>
      <c r="C199" t="inlineStr">
        <is>
          <t>CLT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46</v>
      </c>
      <c r="M199" t="n">
        <v>0</v>
      </c>
      <c r="N199" t="n">
        <v>30</v>
      </c>
      <c r="O199" t="n">
        <v>36</v>
      </c>
      <c r="P199" t="n">
        <v>35</v>
      </c>
      <c r="Q199" t="n">
        <v>35</v>
      </c>
      <c r="R199" t="n">
        <v>1881</v>
      </c>
      <c r="S199" t="n">
        <v>1842</v>
      </c>
      <c r="T199" t="n">
        <v>1315</v>
      </c>
      <c r="U199" t="n">
        <v>1546</v>
      </c>
      <c r="V199" t="n">
        <v>1400</v>
      </c>
      <c r="W199" t="n">
        <v>1400</v>
      </c>
      <c r="X199" t="n">
        <v>0</v>
      </c>
      <c r="Y199" t="n">
        <v>46</v>
      </c>
      <c r="Z199" t="n">
        <v>1882</v>
      </c>
    </row>
    <row r="200">
      <c r="A200" s="381" t="n">
        <v>45968.37462177307</v>
      </c>
      <c r="B200" t="inlineStr">
        <is>
          <t>Line Dom</t>
        </is>
      </c>
      <c r="C200" t="inlineStr">
        <is>
          <t>JMS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8</v>
      </c>
      <c r="M200" t="n">
        <v>0</v>
      </c>
      <c r="N200" t="n">
        <v>7</v>
      </c>
      <c r="O200" t="n">
        <v>7</v>
      </c>
      <c r="P200" t="n">
        <v>7</v>
      </c>
      <c r="Q200" t="n">
        <v>7</v>
      </c>
      <c r="R200" t="n">
        <v>555</v>
      </c>
      <c r="S200" t="n">
        <v>548</v>
      </c>
      <c r="T200" t="n">
        <v>385</v>
      </c>
      <c r="U200" t="n">
        <v>453</v>
      </c>
      <c r="V200" t="n">
        <v>412</v>
      </c>
      <c r="W200" t="n">
        <v>418</v>
      </c>
      <c r="X200" t="n">
        <v>0</v>
      </c>
      <c r="Y200" t="n">
        <v>8</v>
      </c>
      <c r="Z200" t="n">
        <v>555</v>
      </c>
    </row>
    <row r="201">
      <c r="A201" s="381" t="n">
        <v>45968.37462177307</v>
      </c>
      <c r="B201" t="inlineStr">
        <is>
          <t>Line Dom</t>
        </is>
      </c>
      <c r="C201" t="inlineStr">
        <is>
          <t>ACK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195</v>
      </c>
      <c r="S201" t="n">
        <v>183</v>
      </c>
      <c r="T201" t="n">
        <v>127</v>
      </c>
      <c r="U201" t="n">
        <v>145</v>
      </c>
      <c r="V201" t="n">
        <v>94</v>
      </c>
      <c r="W201" t="n">
        <v>94</v>
      </c>
      <c r="X201" t="n">
        <v>0</v>
      </c>
      <c r="Y201" t="n">
        <v>0</v>
      </c>
      <c r="Z201" t="n">
        <v>195</v>
      </c>
    </row>
    <row r="202">
      <c r="A202" s="381" t="n">
        <v>45968.37462177307</v>
      </c>
      <c r="B202" t="inlineStr">
        <is>
          <t>Line Dom</t>
        </is>
      </c>
      <c r="C202" t="inlineStr">
        <is>
          <t>PIT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61</v>
      </c>
      <c r="M202" t="n">
        <v>2</v>
      </c>
      <c r="N202" t="n">
        <v>34</v>
      </c>
      <c r="O202" t="n">
        <v>42</v>
      </c>
      <c r="P202" t="n">
        <v>42</v>
      </c>
      <c r="Q202" t="n">
        <v>42</v>
      </c>
      <c r="R202" t="n">
        <v>3990</v>
      </c>
      <c r="S202" t="n">
        <v>3901</v>
      </c>
      <c r="T202" t="n">
        <v>2663</v>
      </c>
      <c r="U202" t="n">
        <v>3158</v>
      </c>
      <c r="V202" t="n">
        <v>3199</v>
      </c>
      <c r="W202" t="n">
        <v>3202</v>
      </c>
      <c r="X202" t="n">
        <v>0</v>
      </c>
      <c r="Y202" t="n">
        <v>61</v>
      </c>
      <c r="Z202" t="n">
        <v>3983</v>
      </c>
    </row>
    <row r="203">
      <c r="A203" s="381" t="n">
        <v>45968.37462177307</v>
      </c>
      <c r="B203" t="inlineStr">
        <is>
          <t>Line Dom</t>
        </is>
      </c>
      <c r="C203" t="inlineStr">
        <is>
          <t>AVL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25</v>
      </c>
      <c r="M203" t="n">
        <v>1</v>
      </c>
      <c r="N203" t="n">
        <v>11</v>
      </c>
      <c r="O203" t="n">
        <v>18</v>
      </c>
      <c r="P203" t="n">
        <v>17</v>
      </c>
      <c r="Q203" t="n">
        <v>17</v>
      </c>
      <c r="R203" t="n">
        <v>1375</v>
      </c>
      <c r="S203" t="n">
        <v>1341</v>
      </c>
      <c r="T203" t="n">
        <v>817</v>
      </c>
      <c r="U203" t="n">
        <v>1046</v>
      </c>
      <c r="V203" t="n">
        <v>950</v>
      </c>
      <c r="W203" t="n">
        <v>950</v>
      </c>
      <c r="X203" t="n">
        <v>0</v>
      </c>
      <c r="Y203" t="n">
        <v>25</v>
      </c>
      <c r="Z203" t="n">
        <v>1375</v>
      </c>
    </row>
    <row r="204">
      <c r="A204" s="381" t="n">
        <v>45968.37462177307</v>
      </c>
      <c r="B204" t="inlineStr">
        <is>
          <t>Line Dom</t>
        </is>
      </c>
      <c r="C204" t="inlineStr">
        <is>
          <t>EAU</t>
        </is>
      </c>
      <c r="D204" t="inlineStr">
        <is>
          <t>UA</t>
        </is>
      </c>
      <c r="E204" t="inlineStr">
        <is>
          <t>Express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</v>
      </c>
      <c r="M204" t="n">
        <v>0</v>
      </c>
      <c r="N204" t="n">
        <v>5</v>
      </c>
      <c r="O204" t="n">
        <v>8</v>
      </c>
      <c r="P204" t="n">
        <v>7</v>
      </c>
      <c r="Q204" t="n">
        <v>7</v>
      </c>
      <c r="R204" t="n">
        <v>530</v>
      </c>
      <c r="S204" t="n">
        <v>521</v>
      </c>
      <c r="T204" t="n">
        <v>296</v>
      </c>
      <c r="U204" t="n">
        <v>370</v>
      </c>
      <c r="V204" t="n">
        <v>406</v>
      </c>
      <c r="W204" t="n">
        <v>406</v>
      </c>
      <c r="X204" t="n">
        <v>0</v>
      </c>
      <c r="Y204" t="n">
        <v>8</v>
      </c>
      <c r="Z204" t="n">
        <v>530</v>
      </c>
    </row>
    <row r="205">
      <c r="A205" s="381" t="n">
        <v>45968.37462177307</v>
      </c>
      <c r="B205" t="inlineStr">
        <is>
          <t>Line Dom</t>
        </is>
      </c>
      <c r="C205" t="inlineStr">
        <is>
          <t>DEC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8</v>
      </c>
      <c r="M205" t="n">
        <v>0</v>
      </c>
      <c r="N205" t="n">
        <v>5</v>
      </c>
      <c r="O205" t="n">
        <v>6</v>
      </c>
      <c r="P205" t="n">
        <v>7</v>
      </c>
      <c r="Q205" t="n">
        <v>7</v>
      </c>
      <c r="R205" t="n">
        <v>530</v>
      </c>
      <c r="S205" t="n">
        <v>520</v>
      </c>
      <c r="T205" t="n">
        <v>335</v>
      </c>
      <c r="U205" t="n">
        <v>418</v>
      </c>
      <c r="V205" t="n">
        <v>415</v>
      </c>
      <c r="W205" t="n">
        <v>415</v>
      </c>
      <c r="X205" t="n">
        <v>0</v>
      </c>
      <c r="Y205" t="n">
        <v>8</v>
      </c>
      <c r="Z205" t="n">
        <v>530</v>
      </c>
    </row>
    <row r="206">
      <c r="A206" s="381" t="n">
        <v>45968.37462177307</v>
      </c>
      <c r="B206" t="inlineStr">
        <is>
          <t>Line Dom</t>
        </is>
      </c>
      <c r="C206" t="inlineStr">
        <is>
          <t>FMN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5</v>
      </c>
      <c r="M206" t="n">
        <v>0</v>
      </c>
      <c r="N206" t="n">
        <v>4</v>
      </c>
      <c r="O206" t="n">
        <v>4</v>
      </c>
      <c r="P206" t="n">
        <v>5</v>
      </c>
      <c r="Q206" t="n">
        <v>5</v>
      </c>
      <c r="R206" t="n">
        <v>181</v>
      </c>
      <c r="S206" t="n">
        <v>180</v>
      </c>
      <c r="T206" t="n">
        <v>121</v>
      </c>
      <c r="U206" t="n">
        <v>139</v>
      </c>
      <c r="V206" t="n">
        <v>133</v>
      </c>
      <c r="W206" t="n">
        <v>133</v>
      </c>
      <c r="X206" t="n">
        <v>0</v>
      </c>
      <c r="Y206" t="n">
        <v>5</v>
      </c>
      <c r="Z206" t="n">
        <v>182</v>
      </c>
    </row>
    <row r="207">
      <c r="A207" s="381" t="n">
        <v>45968.37462177307</v>
      </c>
      <c r="B207" t="inlineStr">
        <is>
          <t>Line Dom</t>
        </is>
      </c>
      <c r="C207" t="inlineStr">
        <is>
          <t>ORF</t>
        </is>
      </c>
      <c r="D207" t="inlineStr">
        <is>
          <t>UA</t>
        </is>
      </c>
      <c r="E207" t="inlineStr">
        <is>
          <t>Express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37</v>
      </c>
      <c r="M207" t="n">
        <v>2</v>
      </c>
      <c r="N207" t="n">
        <v>20</v>
      </c>
      <c r="O207" t="n">
        <v>26</v>
      </c>
      <c r="P207" t="n">
        <v>24</v>
      </c>
      <c r="Q207" t="n">
        <v>24</v>
      </c>
      <c r="R207" t="n">
        <v>2023</v>
      </c>
      <c r="S207" t="n">
        <v>1956</v>
      </c>
      <c r="T207" t="n">
        <v>1200</v>
      </c>
      <c r="U207" t="n">
        <v>1517</v>
      </c>
      <c r="V207" t="n">
        <v>1373</v>
      </c>
      <c r="W207" t="n">
        <v>1373</v>
      </c>
      <c r="X207" t="n">
        <v>0</v>
      </c>
      <c r="Y207" t="n">
        <v>37</v>
      </c>
      <c r="Z207" t="n">
        <v>2023</v>
      </c>
    </row>
    <row r="208">
      <c r="A208" s="381" t="n">
        <v>45968.37462177307</v>
      </c>
      <c r="B208" t="inlineStr">
        <is>
          <t>Line Dom</t>
        </is>
      </c>
      <c r="C208" t="inlineStr">
        <is>
          <t>GRR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41</v>
      </c>
      <c r="M208" t="n">
        <v>0</v>
      </c>
      <c r="N208" t="n">
        <v>23</v>
      </c>
      <c r="O208" t="n">
        <v>31</v>
      </c>
      <c r="P208" t="n">
        <v>28</v>
      </c>
      <c r="Q208" t="n">
        <v>28</v>
      </c>
      <c r="R208" t="n">
        <v>2313</v>
      </c>
      <c r="S208" t="n">
        <v>2264</v>
      </c>
      <c r="T208" t="n">
        <v>1566</v>
      </c>
      <c r="U208" t="n">
        <v>1848</v>
      </c>
      <c r="V208" t="n">
        <v>1706</v>
      </c>
      <c r="W208" t="n">
        <v>1706</v>
      </c>
      <c r="X208" t="n">
        <v>0</v>
      </c>
      <c r="Y208" t="n">
        <v>41</v>
      </c>
      <c r="Z208" t="n">
        <v>2318</v>
      </c>
    </row>
    <row r="209">
      <c r="A209" s="381" t="n">
        <v>45968.37462177307</v>
      </c>
      <c r="B209" t="inlineStr">
        <is>
          <t>Line Dom</t>
        </is>
      </c>
      <c r="C209" t="inlineStr">
        <is>
          <t>CMX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n">
        <v>0</v>
      </c>
      <c r="N209" t="n">
        <v>8</v>
      </c>
      <c r="O209" t="n">
        <v>9</v>
      </c>
      <c r="P209" t="n">
        <v>10</v>
      </c>
      <c r="Q209" t="n">
        <v>10</v>
      </c>
      <c r="R209" t="n">
        <v>685</v>
      </c>
      <c r="S209" t="n">
        <v>662</v>
      </c>
      <c r="T209" t="n">
        <v>374</v>
      </c>
      <c r="U209" t="n">
        <v>456</v>
      </c>
      <c r="V209" t="n">
        <v>486</v>
      </c>
      <c r="W209" t="n">
        <v>486</v>
      </c>
      <c r="X209" t="n">
        <v>0</v>
      </c>
      <c r="Y209" t="n">
        <v>10</v>
      </c>
      <c r="Z209" t="n">
        <v>685</v>
      </c>
    </row>
    <row r="210">
      <c r="A210" s="381" t="n">
        <v>45968.37462177307</v>
      </c>
      <c r="B210" t="inlineStr">
        <is>
          <t>Line Dom</t>
        </is>
      </c>
      <c r="C210" t="inlineStr">
        <is>
          <t>RDM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10</v>
      </c>
      <c r="M210" t="n">
        <v>0</v>
      </c>
      <c r="N210" t="n">
        <v>7</v>
      </c>
      <c r="O210" t="n">
        <v>7</v>
      </c>
      <c r="P210" t="n">
        <v>7</v>
      </c>
      <c r="Q210" t="n">
        <v>7</v>
      </c>
      <c r="R210" t="n">
        <v>718</v>
      </c>
      <c r="S210" t="n">
        <v>713</v>
      </c>
      <c r="T210" t="n">
        <v>489</v>
      </c>
      <c r="U210" t="n">
        <v>605</v>
      </c>
      <c r="V210" t="n">
        <v>594</v>
      </c>
      <c r="W210" t="n">
        <v>594</v>
      </c>
      <c r="X210" t="n">
        <v>0</v>
      </c>
      <c r="Y210" t="n">
        <v>10</v>
      </c>
      <c r="Z210" t="n">
        <v>716</v>
      </c>
    </row>
    <row r="211">
      <c r="A211" s="381" t="n">
        <v>45968.37462177307</v>
      </c>
      <c r="B211" t="inlineStr">
        <is>
          <t>Line Dom</t>
        </is>
      </c>
      <c r="C211" t="inlineStr">
        <is>
          <t>MAF</t>
        </is>
      </c>
      <c r="D211" t="inlineStr">
        <is>
          <t>UA</t>
        </is>
      </c>
      <c r="E211" t="inlineStr">
        <is>
          <t>Express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42</v>
      </c>
      <c r="M211" t="n">
        <v>0</v>
      </c>
      <c r="N211" t="n">
        <v>36</v>
      </c>
      <c r="O211" t="n">
        <v>39</v>
      </c>
      <c r="P211" t="n">
        <v>39</v>
      </c>
      <c r="Q211" t="n">
        <v>39</v>
      </c>
      <c r="R211" t="n">
        <v>2798</v>
      </c>
      <c r="S211" t="n">
        <v>2758</v>
      </c>
      <c r="T211" t="n">
        <v>1755</v>
      </c>
      <c r="U211" t="n">
        <v>2098</v>
      </c>
      <c r="V211" t="n">
        <v>2034</v>
      </c>
      <c r="W211" t="n">
        <v>2034</v>
      </c>
      <c r="X211" t="n">
        <v>0</v>
      </c>
      <c r="Y211" t="n">
        <v>42</v>
      </c>
      <c r="Z211" t="n">
        <v>2798</v>
      </c>
    </row>
    <row r="212">
      <c r="A212" s="381" t="n">
        <v>45968.37462177307</v>
      </c>
      <c r="B212" t="inlineStr">
        <is>
          <t>Line Dom</t>
        </is>
      </c>
      <c r="C212" t="inlineStr">
        <is>
          <t>BDL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17</v>
      </c>
      <c r="M212" t="n">
        <v>0</v>
      </c>
      <c r="N212" t="n">
        <v>13</v>
      </c>
      <c r="O212" t="n">
        <v>16</v>
      </c>
      <c r="P212" t="n">
        <v>15</v>
      </c>
      <c r="Q212" t="n">
        <v>15</v>
      </c>
      <c r="R212" t="n">
        <v>884</v>
      </c>
      <c r="S212" t="n">
        <v>868</v>
      </c>
      <c r="T212" t="n">
        <v>614</v>
      </c>
      <c r="U212" t="n">
        <v>723</v>
      </c>
      <c r="V212" t="n">
        <v>653</v>
      </c>
      <c r="W212" t="n">
        <v>654</v>
      </c>
      <c r="X212" t="n">
        <v>0</v>
      </c>
      <c r="Y212" t="n">
        <v>17</v>
      </c>
      <c r="Z212" t="n">
        <v>884</v>
      </c>
    </row>
    <row r="213">
      <c r="A213" s="381" t="n">
        <v>45968.37462177307</v>
      </c>
      <c r="B213" t="inlineStr">
        <is>
          <t>Line Dom</t>
        </is>
      </c>
      <c r="C213" t="inlineStr">
        <is>
          <t>OKC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68</v>
      </c>
      <c r="M213" t="n">
        <v>0</v>
      </c>
      <c r="N213" t="n">
        <v>44</v>
      </c>
      <c r="O213" t="n">
        <v>59</v>
      </c>
      <c r="P213" t="n">
        <v>56</v>
      </c>
      <c r="Q213" t="n">
        <v>56</v>
      </c>
      <c r="R213" t="n">
        <v>4620</v>
      </c>
      <c r="S213" t="n">
        <v>4569</v>
      </c>
      <c r="T213" t="n">
        <v>2914</v>
      </c>
      <c r="U213" t="n">
        <v>3506</v>
      </c>
      <c r="V213" t="n">
        <v>3510</v>
      </c>
      <c r="W213" t="n">
        <v>3510</v>
      </c>
      <c r="X213" t="n">
        <v>0</v>
      </c>
      <c r="Y213" t="n">
        <v>68</v>
      </c>
      <c r="Z213" t="n">
        <v>4620</v>
      </c>
    </row>
    <row r="214">
      <c r="A214" s="381" t="n">
        <v>45968.37462177307</v>
      </c>
      <c r="B214" t="inlineStr">
        <is>
          <t>Line Dom</t>
        </is>
      </c>
      <c r="C214" t="inlineStr">
        <is>
          <t>HDN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</v>
      </c>
      <c r="M214" t="n">
        <v>0</v>
      </c>
      <c r="N214" t="n">
        <v>4</v>
      </c>
      <c r="O214" t="n">
        <v>5</v>
      </c>
      <c r="P214" t="n">
        <v>5</v>
      </c>
      <c r="Q214" t="n">
        <v>5</v>
      </c>
      <c r="R214" t="n">
        <v>508</v>
      </c>
      <c r="S214" t="n">
        <v>499</v>
      </c>
      <c r="T214" t="n">
        <v>294</v>
      </c>
      <c r="U214" t="n">
        <v>355</v>
      </c>
      <c r="V214" t="n">
        <v>358</v>
      </c>
      <c r="W214" t="n">
        <v>358</v>
      </c>
      <c r="X214" t="n">
        <v>0</v>
      </c>
      <c r="Y214" t="n">
        <v>5</v>
      </c>
      <c r="Z214" t="n">
        <v>509</v>
      </c>
    </row>
    <row r="215">
      <c r="A215" s="381" t="n">
        <v>45968.37462177307</v>
      </c>
      <c r="B215" t="inlineStr">
        <is>
          <t>Line Dom</t>
        </is>
      </c>
      <c r="C215" t="inlineStr">
        <is>
          <t>CRP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34</v>
      </c>
      <c r="M215" t="n">
        <v>0</v>
      </c>
      <c r="N215" t="n">
        <v>28</v>
      </c>
      <c r="O215" t="n">
        <v>31</v>
      </c>
      <c r="P215" t="n">
        <v>29</v>
      </c>
      <c r="Q215" t="n">
        <v>29</v>
      </c>
      <c r="R215" t="n">
        <v>2098</v>
      </c>
      <c r="S215" t="n">
        <v>2059</v>
      </c>
      <c r="T215" t="n">
        <v>1405</v>
      </c>
      <c r="U215" t="n">
        <v>1657</v>
      </c>
      <c r="V215" t="n">
        <v>1597</v>
      </c>
      <c r="W215" t="n">
        <v>1597</v>
      </c>
      <c r="X215" t="n">
        <v>0</v>
      </c>
      <c r="Y215" t="n">
        <v>34</v>
      </c>
      <c r="Z215" t="n">
        <v>2099</v>
      </c>
    </row>
    <row r="216">
      <c r="A216" s="381" t="n">
        <v>45968.37462177307</v>
      </c>
      <c r="B216" t="inlineStr">
        <is>
          <t>Line Dom</t>
        </is>
      </c>
      <c r="C216" t="inlineStr">
        <is>
          <t>DCA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63</v>
      </c>
      <c r="M216" t="n">
        <v>4</v>
      </c>
      <c r="N216" t="n">
        <v>14</v>
      </c>
      <c r="O216" t="n">
        <v>25</v>
      </c>
      <c r="P216" t="n">
        <v>26</v>
      </c>
      <c r="Q216" t="n">
        <v>26</v>
      </c>
      <c r="R216" t="n">
        <v>2980</v>
      </c>
      <c r="S216" t="n">
        <v>2783</v>
      </c>
      <c r="T216" t="n">
        <v>1554</v>
      </c>
      <c r="U216" t="n">
        <v>1909</v>
      </c>
      <c r="V216" t="n">
        <v>1775</v>
      </c>
      <c r="W216" t="n">
        <v>1777</v>
      </c>
      <c r="X216" t="n">
        <v>0</v>
      </c>
      <c r="Y216" t="n">
        <v>63</v>
      </c>
      <c r="Z216" t="n">
        <v>2981</v>
      </c>
    </row>
    <row r="217">
      <c r="A217" s="381" t="n">
        <v>45968.37462177307</v>
      </c>
      <c r="B217" t="inlineStr">
        <is>
          <t>Line Dom</t>
        </is>
      </c>
      <c r="C217" t="inlineStr">
        <is>
          <t>SHR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10</v>
      </c>
      <c r="M217" t="n">
        <v>0</v>
      </c>
      <c r="N217" t="n">
        <v>8</v>
      </c>
      <c r="O217" t="n">
        <v>9</v>
      </c>
      <c r="P217" t="n">
        <v>7</v>
      </c>
      <c r="Q217" t="n">
        <v>7</v>
      </c>
      <c r="R217" t="n">
        <v>618</v>
      </c>
      <c r="S217" t="n">
        <v>609</v>
      </c>
      <c r="T217" t="n">
        <v>366</v>
      </c>
      <c r="U217" t="n">
        <v>463</v>
      </c>
      <c r="V217" t="n">
        <v>478</v>
      </c>
      <c r="W217" t="n">
        <v>478</v>
      </c>
      <c r="X217" t="n">
        <v>0</v>
      </c>
      <c r="Y217" t="n">
        <v>10</v>
      </c>
      <c r="Z217" t="n">
        <v>618</v>
      </c>
    </row>
    <row r="218">
      <c r="A218" s="381" t="n">
        <v>45968.37462177307</v>
      </c>
      <c r="B218" t="inlineStr">
        <is>
          <t>Line Dom</t>
        </is>
      </c>
      <c r="C218" t="inlineStr">
        <is>
          <t>PIB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8</v>
      </c>
      <c r="M218" t="n">
        <v>0</v>
      </c>
      <c r="N218" t="n">
        <v>7</v>
      </c>
      <c r="O218" t="n">
        <v>7</v>
      </c>
      <c r="P218" t="n">
        <v>8</v>
      </c>
      <c r="Q218" t="n">
        <v>8</v>
      </c>
      <c r="R218" t="n">
        <v>530</v>
      </c>
      <c r="S218" t="n">
        <v>518</v>
      </c>
      <c r="T218" t="n">
        <v>346</v>
      </c>
      <c r="U218" t="n">
        <v>380</v>
      </c>
      <c r="V218" t="n">
        <v>387</v>
      </c>
      <c r="W218" t="n">
        <v>387</v>
      </c>
      <c r="X218" t="n">
        <v>0</v>
      </c>
      <c r="Y218" t="n">
        <v>8</v>
      </c>
      <c r="Z218" t="n">
        <v>530</v>
      </c>
    </row>
    <row r="219">
      <c r="A219" s="381" t="n">
        <v>45968.37462177307</v>
      </c>
      <c r="B219" t="inlineStr">
        <is>
          <t>Line Dom</t>
        </is>
      </c>
      <c r="C219" t="inlineStr">
        <is>
          <t>LIT</t>
        </is>
      </c>
      <c r="D219" t="inlineStr">
        <is>
          <t>UA</t>
        </is>
      </c>
      <c r="E219" t="inlineStr">
        <is>
          <t>Express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58</v>
      </c>
      <c r="M219" t="n">
        <v>0</v>
      </c>
      <c r="N219" t="n">
        <v>43</v>
      </c>
      <c r="O219" t="n">
        <v>52</v>
      </c>
      <c r="P219" t="n">
        <v>48</v>
      </c>
      <c r="Q219" t="n">
        <v>48</v>
      </c>
      <c r="R219" t="n">
        <v>3293</v>
      </c>
      <c r="S219" t="n">
        <v>3243</v>
      </c>
      <c r="T219" t="n">
        <v>2121</v>
      </c>
      <c r="U219" t="n">
        <v>2528</v>
      </c>
      <c r="V219" t="n">
        <v>2223</v>
      </c>
      <c r="W219" t="n">
        <v>2223</v>
      </c>
      <c r="X219" t="n">
        <v>0</v>
      </c>
      <c r="Y219" t="n">
        <v>58</v>
      </c>
      <c r="Z219" t="n">
        <v>3294</v>
      </c>
    </row>
    <row r="220">
      <c r="A220" s="381" t="n">
        <v>45968.37462177307</v>
      </c>
      <c r="B220" t="inlineStr">
        <is>
          <t>Line Int</t>
        </is>
      </c>
      <c r="C220" t="inlineStr">
        <is>
          <t>MTY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30</v>
      </c>
      <c r="M220" t="n">
        <v>0</v>
      </c>
      <c r="N220" t="n">
        <v>18</v>
      </c>
      <c r="O220" t="n">
        <v>22</v>
      </c>
      <c r="P220" t="n">
        <v>29</v>
      </c>
      <c r="Q220" t="n">
        <v>29</v>
      </c>
      <c r="R220" t="n">
        <v>1705</v>
      </c>
      <c r="S220" t="n">
        <v>1695</v>
      </c>
      <c r="T220" t="n">
        <v>1020</v>
      </c>
      <c r="U220" t="n">
        <v>1320</v>
      </c>
      <c r="V220" t="n">
        <v>1452</v>
      </c>
      <c r="W220" t="n">
        <v>1452</v>
      </c>
      <c r="X220" t="n">
        <v>0</v>
      </c>
      <c r="Y220" t="n">
        <v>30</v>
      </c>
      <c r="Z220" t="n">
        <v>1705</v>
      </c>
    </row>
    <row r="221">
      <c r="A221" s="381" t="n">
        <v>45968.37462177307</v>
      </c>
      <c r="B221" t="inlineStr">
        <is>
          <t>Line Dom</t>
        </is>
      </c>
      <c r="C221" t="inlineStr">
        <is>
          <t>GJT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20</v>
      </c>
      <c r="M221" t="n">
        <v>0</v>
      </c>
      <c r="N221" t="n">
        <v>18</v>
      </c>
      <c r="O221" t="n">
        <v>18</v>
      </c>
      <c r="P221" t="n">
        <v>18</v>
      </c>
      <c r="Q221" t="n">
        <v>18</v>
      </c>
      <c r="R221" t="n">
        <v>1231</v>
      </c>
      <c r="S221" t="n">
        <v>1216</v>
      </c>
      <c r="T221" t="n">
        <v>753</v>
      </c>
      <c r="U221" t="n">
        <v>909</v>
      </c>
      <c r="V221" t="n">
        <v>795</v>
      </c>
      <c r="W221" t="n">
        <v>795</v>
      </c>
      <c r="X221" t="n">
        <v>0</v>
      </c>
      <c r="Y221" t="n">
        <v>20</v>
      </c>
      <c r="Z221" t="n">
        <v>1231</v>
      </c>
    </row>
    <row r="222">
      <c r="A222" s="381" t="n">
        <v>45968.37462177307</v>
      </c>
      <c r="B222" t="inlineStr">
        <is>
          <t>Line Dom</t>
        </is>
      </c>
      <c r="C222" t="inlineStr">
        <is>
          <t>OTH</t>
        </is>
      </c>
      <c r="D222" t="inlineStr">
        <is>
          <t>UA</t>
        </is>
      </c>
      <c r="E222" t="inlineStr">
        <is>
          <t>Express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</v>
      </c>
      <c r="M222" t="n">
        <v>0</v>
      </c>
      <c r="N222" t="n">
        <v>2</v>
      </c>
      <c r="O222" t="n">
        <v>2</v>
      </c>
      <c r="P222" t="n">
        <v>2</v>
      </c>
      <c r="Q222" t="n">
        <v>2</v>
      </c>
      <c r="R222" t="n">
        <v>428</v>
      </c>
      <c r="S222" t="n">
        <v>426</v>
      </c>
      <c r="T222" t="n">
        <v>237</v>
      </c>
      <c r="U222" t="n">
        <v>335</v>
      </c>
      <c r="V222" t="n">
        <v>273</v>
      </c>
      <c r="W222" t="n">
        <v>273</v>
      </c>
      <c r="X222" t="n">
        <v>0</v>
      </c>
      <c r="Y222" t="n">
        <v>5</v>
      </c>
      <c r="Z222" t="n">
        <v>428</v>
      </c>
    </row>
    <row r="223">
      <c r="A223" s="381" t="n">
        <v>45968.37462177307</v>
      </c>
      <c r="B223" t="inlineStr">
        <is>
          <t>Line Dom</t>
        </is>
      </c>
      <c r="C223" t="inlineStr">
        <is>
          <t>ATL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8</v>
      </c>
      <c r="M223" t="n">
        <v>0</v>
      </c>
      <c r="N223" t="n">
        <v>5</v>
      </c>
      <c r="O223" t="n">
        <v>5</v>
      </c>
      <c r="P223" t="n">
        <v>6</v>
      </c>
      <c r="Q223" t="n">
        <v>6</v>
      </c>
      <c r="R223" t="n">
        <v>763</v>
      </c>
      <c r="S223" t="n">
        <v>745</v>
      </c>
      <c r="T223" t="n">
        <v>505</v>
      </c>
      <c r="U223" t="n">
        <v>575</v>
      </c>
      <c r="V223" t="n">
        <v>545</v>
      </c>
      <c r="W223" t="n">
        <v>545</v>
      </c>
      <c r="X223" t="n">
        <v>0</v>
      </c>
      <c r="Y223" t="n">
        <v>7</v>
      </c>
      <c r="Z223" t="n">
        <v>763</v>
      </c>
    </row>
    <row r="224">
      <c r="A224" s="381" t="n">
        <v>45968.37462177307</v>
      </c>
      <c r="B224" t="inlineStr">
        <is>
          <t>Line Dom</t>
        </is>
      </c>
      <c r="C224" t="inlineStr">
        <is>
          <t>PIR</t>
        </is>
      </c>
      <c r="D224" t="inlineStr">
        <is>
          <t>UA</t>
        </is>
      </c>
      <c r="E224" t="inlineStr">
        <is>
          <t>Express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10</v>
      </c>
      <c r="M224" t="n">
        <v>0</v>
      </c>
      <c r="N224" t="n">
        <v>9</v>
      </c>
      <c r="O224" t="n">
        <v>10</v>
      </c>
      <c r="P224" t="n">
        <v>8</v>
      </c>
      <c r="Q224" t="n">
        <v>8</v>
      </c>
      <c r="R224" t="n">
        <v>184</v>
      </c>
      <c r="S224" t="n">
        <v>181</v>
      </c>
      <c r="T224" t="n">
        <v>125</v>
      </c>
      <c r="U224" t="n">
        <v>143</v>
      </c>
      <c r="V224" t="n">
        <v>136</v>
      </c>
      <c r="W224" t="n">
        <v>136</v>
      </c>
      <c r="X224" t="n">
        <v>0</v>
      </c>
      <c r="Y224" t="n">
        <v>10</v>
      </c>
      <c r="Z224" t="n">
        <v>185</v>
      </c>
    </row>
    <row r="225">
      <c r="A225" s="381" t="n">
        <v>45968.37462177307</v>
      </c>
      <c r="B225" t="inlineStr">
        <is>
          <t>Line Dom</t>
        </is>
      </c>
      <c r="C225" t="inlineStr">
        <is>
          <t>ROA</t>
        </is>
      </c>
      <c r="D225" t="inlineStr">
        <is>
          <t>UA</t>
        </is>
      </c>
      <c r="E225" t="inlineStr">
        <is>
          <t>Express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34</v>
      </c>
      <c r="M225" t="n">
        <v>0</v>
      </c>
      <c r="N225" t="n">
        <v>23</v>
      </c>
      <c r="O225" t="n">
        <v>27</v>
      </c>
      <c r="P225" t="n">
        <v>29</v>
      </c>
      <c r="Q225" t="n">
        <v>29</v>
      </c>
      <c r="R225" t="n">
        <v>1699</v>
      </c>
      <c r="S225" t="n">
        <v>1666</v>
      </c>
      <c r="T225" t="n">
        <v>918</v>
      </c>
      <c r="U225" t="n">
        <v>1216</v>
      </c>
      <c r="V225" t="n">
        <v>1201</v>
      </c>
      <c r="W225" t="n">
        <v>1201</v>
      </c>
      <c r="X225" t="n">
        <v>0</v>
      </c>
      <c r="Y225" t="n">
        <v>34</v>
      </c>
      <c r="Z225" t="n">
        <v>1701</v>
      </c>
    </row>
    <row r="226">
      <c r="A226" s="381" t="n">
        <v>45968.37462177307</v>
      </c>
      <c r="B226" t="inlineStr">
        <is>
          <t>Line Dom</t>
        </is>
      </c>
      <c r="C226" t="inlineStr">
        <is>
          <t>MTJ</t>
        </is>
      </c>
      <c r="D226" t="inlineStr">
        <is>
          <t>UA</t>
        </is>
      </c>
      <c r="E226" t="inlineStr">
        <is>
          <t>Express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401</v>
      </c>
      <c r="S226" t="n">
        <v>397</v>
      </c>
      <c r="T226" t="n">
        <v>263</v>
      </c>
      <c r="U226" t="n">
        <v>324</v>
      </c>
      <c r="V226" t="n">
        <v>281</v>
      </c>
      <c r="W226" t="n">
        <v>281</v>
      </c>
      <c r="X226" t="n">
        <v>0</v>
      </c>
      <c r="Y226" t="n">
        <v>0</v>
      </c>
      <c r="Z226" t="n">
        <v>401</v>
      </c>
    </row>
    <row r="227">
      <c r="A227" s="381" t="n">
        <v>45968.37462177307</v>
      </c>
      <c r="B227" t="inlineStr">
        <is>
          <t>Line Dom</t>
        </is>
      </c>
      <c r="C227" t="inlineStr">
        <is>
          <t>BOI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36</v>
      </c>
      <c r="M227" t="n">
        <v>0</v>
      </c>
      <c r="N227" t="n">
        <v>29</v>
      </c>
      <c r="O227" t="n">
        <v>33</v>
      </c>
      <c r="P227" t="n">
        <v>31</v>
      </c>
      <c r="Q227" t="n">
        <v>31</v>
      </c>
      <c r="R227" t="n">
        <v>2275</v>
      </c>
      <c r="S227" t="n">
        <v>2274</v>
      </c>
      <c r="T227" t="n">
        <v>1521</v>
      </c>
      <c r="U227" t="n">
        <v>1829</v>
      </c>
      <c r="V227" t="n">
        <v>1871</v>
      </c>
      <c r="W227" t="n">
        <v>1872</v>
      </c>
      <c r="X227" t="n">
        <v>0</v>
      </c>
      <c r="Y227" t="n">
        <v>35</v>
      </c>
      <c r="Z227" t="n">
        <v>2273</v>
      </c>
    </row>
    <row r="228">
      <c r="A228" s="381" t="n">
        <v>45968.37462177307</v>
      </c>
      <c r="B228" t="inlineStr">
        <is>
          <t>Line Dom</t>
        </is>
      </c>
      <c r="C228" t="inlineStr">
        <is>
          <t>SGF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49</v>
      </c>
      <c r="M228" t="n">
        <v>0</v>
      </c>
      <c r="N228" t="n">
        <v>34</v>
      </c>
      <c r="O228" t="n">
        <v>42</v>
      </c>
      <c r="P228" t="n">
        <v>35</v>
      </c>
      <c r="Q228" t="n">
        <v>35</v>
      </c>
      <c r="R228" t="n">
        <v>3077</v>
      </c>
      <c r="S228" t="n">
        <v>3036</v>
      </c>
      <c r="T228" t="n">
        <v>1881</v>
      </c>
      <c r="U228" t="n">
        <v>2272</v>
      </c>
      <c r="V228" t="n">
        <v>2015</v>
      </c>
      <c r="W228" t="n">
        <v>2015</v>
      </c>
      <c r="X228" t="n">
        <v>0</v>
      </c>
      <c r="Y228" t="n">
        <v>49</v>
      </c>
      <c r="Z228" t="n">
        <v>3078</v>
      </c>
    </row>
    <row r="229">
      <c r="A229" s="381" t="n">
        <v>45968.37462177307</v>
      </c>
      <c r="B229" t="inlineStr">
        <is>
          <t>Line Dom</t>
        </is>
      </c>
      <c r="C229" t="inlineStr">
        <is>
          <t>BTR</t>
        </is>
      </c>
      <c r="D229" t="inlineStr">
        <is>
          <t>UA</t>
        </is>
      </c>
      <c r="E229" t="inlineStr">
        <is>
          <t>Express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33</v>
      </c>
      <c r="M229" t="n">
        <v>0</v>
      </c>
      <c r="N229" t="n">
        <v>17</v>
      </c>
      <c r="O229" t="n">
        <v>28</v>
      </c>
      <c r="P229" t="n">
        <v>26</v>
      </c>
      <c r="Q229" t="n">
        <v>26</v>
      </c>
      <c r="R229" t="n">
        <v>1778</v>
      </c>
      <c r="S229" t="n">
        <v>1740</v>
      </c>
      <c r="T229" t="n">
        <v>1184</v>
      </c>
      <c r="U229" t="n">
        <v>1391</v>
      </c>
      <c r="V229" t="n">
        <v>1379</v>
      </c>
      <c r="W229" t="n">
        <v>1379</v>
      </c>
      <c r="X229" t="n">
        <v>0</v>
      </c>
      <c r="Y229" t="n">
        <v>33</v>
      </c>
      <c r="Z229" t="n">
        <v>1779</v>
      </c>
    </row>
    <row r="230">
      <c r="A230" s="381" t="n">
        <v>45968.37462177307</v>
      </c>
      <c r="B230" t="inlineStr">
        <is>
          <t>Line Dom</t>
        </is>
      </c>
      <c r="C230" t="inlineStr">
        <is>
          <t>LRD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19</v>
      </c>
      <c r="M230" t="n">
        <v>0</v>
      </c>
      <c r="N230" t="n">
        <v>16</v>
      </c>
      <c r="O230" t="n">
        <v>17</v>
      </c>
      <c r="P230" t="n">
        <v>15</v>
      </c>
      <c r="Q230" t="n">
        <v>15</v>
      </c>
      <c r="R230" t="n">
        <v>1076</v>
      </c>
      <c r="S230" t="n">
        <v>1058</v>
      </c>
      <c r="T230" t="n">
        <v>792</v>
      </c>
      <c r="U230" t="n">
        <v>874</v>
      </c>
      <c r="V230" t="n">
        <v>904</v>
      </c>
      <c r="W230" t="n">
        <v>904</v>
      </c>
      <c r="X230" t="n">
        <v>0</v>
      </c>
      <c r="Y230" t="n">
        <v>19</v>
      </c>
      <c r="Z230" t="n">
        <v>1077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</row>
    <row r="3">
      <c r="A3" t="inlineStr">
        <is>
          <t>MTD</t>
        </is>
      </c>
      <c r="B3" t="n">
        <v>1014</v>
      </c>
      <c r="C3" t="n">
        <v>1442</v>
      </c>
      <c r="D3" t="n">
        <v>2456</v>
      </c>
      <c r="E3" t="n">
        <v>241</v>
      </c>
      <c r="F3" t="n">
        <v>85</v>
      </c>
      <c r="G3" t="n">
        <v>74</v>
      </c>
      <c r="H3" t="n">
        <v>47</v>
      </c>
      <c r="I3" t="n">
        <v>86</v>
      </c>
      <c r="J3" t="n">
        <v>27</v>
      </c>
      <c r="K3" t="n">
        <v>24</v>
      </c>
      <c r="L3" t="n">
        <v>34</v>
      </c>
      <c r="M3" t="n">
        <v>9835</v>
      </c>
      <c r="N3" t="n">
        <v>10.31011692933401</v>
      </c>
      <c r="O3" t="n">
        <v>14.66192170818505</v>
      </c>
      <c r="P3" t="n">
        <v>24.97203863751906</v>
      </c>
      <c r="Q3" t="n">
        <v>2.450432130147432</v>
      </c>
      <c r="R3" t="n">
        <v>0.864260294865277</v>
      </c>
    </row>
    <row r="4">
      <c r="A4" t="inlineStr">
        <is>
          <t>L7D</t>
        </is>
      </c>
      <c r="B4" t="n">
        <v>1228</v>
      </c>
      <c r="C4" t="n">
        <v>1983</v>
      </c>
      <c r="D4" t="n">
        <v>3211</v>
      </c>
      <c r="E4" t="n">
        <v>307</v>
      </c>
      <c r="F4" t="n">
        <v>137</v>
      </c>
      <c r="G4" t="n">
        <v>104</v>
      </c>
      <c r="H4" t="n">
        <v>54</v>
      </c>
      <c r="I4" t="n">
        <v>109</v>
      </c>
      <c r="J4" t="n">
        <v>48</v>
      </c>
      <c r="K4" t="n">
        <v>41</v>
      </c>
      <c r="L4" t="n">
        <v>48</v>
      </c>
      <c r="M4" t="n">
        <v>11862</v>
      </c>
      <c r="N4" t="n">
        <v>10.35238576968471</v>
      </c>
      <c r="O4" t="n">
        <v>16.71724835609509</v>
      </c>
      <c r="P4" t="n">
        <v>27.0696341257798</v>
      </c>
      <c r="Q4" t="n">
        <v>2.588096442421176</v>
      </c>
      <c r="R4" t="n">
        <v>1.154948575282414</v>
      </c>
    </row>
    <row r="5">
      <c r="A5" t="inlineStr">
        <is>
          <t>2019</t>
        </is>
      </c>
      <c r="B5" t="n">
        <v>1343</v>
      </c>
      <c r="C5" t="n">
        <v>2313</v>
      </c>
      <c r="D5" t="n">
        <v>3656</v>
      </c>
      <c r="E5" t="n">
        <v>610</v>
      </c>
      <c r="F5" t="n">
        <v>197</v>
      </c>
      <c r="G5" t="n">
        <v>143</v>
      </c>
      <c r="H5" t="n">
        <v>77</v>
      </c>
      <c r="I5" t="n">
        <v>162</v>
      </c>
      <c r="J5" t="n">
        <v>75</v>
      </c>
      <c r="K5" t="n">
        <v>18</v>
      </c>
      <c r="L5" t="n">
        <v>104</v>
      </c>
      <c r="M5" t="n">
        <v>16786</v>
      </c>
      <c r="N5" t="n">
        <v>8.000714881448825</v>
      </c>
      <c r="O5" t="n">
        <v>13.77933992612892</v>
      </c>
      <c r="P5" t="n">
        <v>21.78005480757774</v>
      </c>
      <c r="Q5" t="n">
        <v>3.633980698200881</v>
      </c>
      <c r="R5" t="n">
        <v>1.173597045156678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30">
    <outlinePr summaryBelow="1" summaryRight="1"/>
    <pageSetUpPr/>
  </sheetPr>
  <dimension ref="A1:F8"/>
  <sheetViews>
    <sheetView workbookViewId="0">
      <selection activeCell="E12" sqref="E12"/>
    </sheetView>
  </sheetViews>
  <sheetFormatPr baseColWidth="8" defaultRowHeight="14.5"/>
  <sheetData>
    <row r="1" ht="15" customHeight="1" s="286" thickBot="1">
      <c r="A1" s="195" t="inlineStr">
        <is>
          <t>CITY</t>
        </is>
      </c>
      <c r="B1" s="195" t="inlineStr">
        <is>
          <t>CARRIER</t>
        </is>
      </c>
      <c r="C1" s="195" t="inlineStr">
        <is>
          <t>ML_EX_IND</t>
        </is>
      </c>
      <c r="D1" s="195" t="inlineStr">
        <is>
          <t>Yest_Scheduled_Flights</t>
        </is>
      </c>
      <c r="E1" s="195" t="inlineStr">
        <is>
          <t>Yest_D00_Flights</t>
        </is>
      </c>
      <c r="F1" s="195" t="inlineStr">
        <is>
          <t>Yest_Completed_Flights</t>
        </is>
      </c>
    </row>
    <row r="2" ht="15" customHeight="1" s="286" thickBot="1">
      <c r="A2" t="inlineStr">
        <is>
          <t>OTHER</t>
        </is>
      </c>
      <c r="B2" t="inlineStr">
        <is>
          <t>AA</t>
        </is>
      </c>
      <c r="C2" t="inlineStr">
        <is>
          <t>Mainline</t>
        </is>
      </c>
      <c r="D2" t="n">
        <v>1556</v>
      </c>
      <c r="E2" t="n">
        <v>1044</v>
      </c>
      <c r="F2" t="n">
        <v>1539</v>
      </c>
    </row>
    <row r="3" ht="15" customHeight="1" s="286" thickBot="1">
      <c r="A3" t="inlineStr">
        <is>
          <t>Line Int</t>
        </is>
      </c>
      <c r="B3" t="inlineStr">
        <is>
          <t>AA</t>
        </is>
      </c>
      <c r="C3" t="inlineStr">
        <is>
          <t>Mainline</t>
        </is>
      </c>
      <c r="D3" t="n">
        <v>67</v>
      </c>
      <c r="E3" t="n">
        <v>51</v>
      </c>
      <c r="F3" t="n">
        <v>67</v>
      </c>
    </row>
    <row r="4" ht="15" customHeight="1" s="286" thickBot="1">
      <c r="A4" t="inlineStr">
        <is>
          <t>OTHER</t>
        </is>
      </c>
      <c r="B4" t="inlineStr">
        <is>
          <t>AS</t>
        </is>
      </c>
      <c r="C4" t="inlineStr">
        <is>
          <t>Mainline</t>
        </is>
      </c>
      <c r="D4" t="n">
        <v>548</v>
      </c>
      <c r="E4" t="n">
        <v>371</v>
      </c>
      <c r="F4" t="n">
        <v>548</v>
      </c>
    </row>
    <row r="5" ht="15" customHeight="1" s="286" thickBot="1">
      <c r="A5" t="inlineStr">
        <is>
          <t>Line Dom</t>
        </is>
      </c>
      <c r="B5" t="inlineStr">
        <is>
          <t>DL</t>
        </is>
      </c>
      <c r="C5" t="inlineStr">
        <is>
          <t>Mainline</t>
        </is>
      </c>
      <c r="D5" t="n">
        <v>846</v>
      </c>
      <c r="E5" t="n">
        <v>609</v>
      </c>
      <c r="F5" t="n">
        <v>840</v>
      </c>
    </row>
    <row r="6" ht="15" customHeight="1" s="286" thickBot="1">
      <c r="A6" t="inlineStr">
        <is>
          <t>Line Dom</t>
        </is>
      </c>
      <c r="B6" t="inlineStr">
        <is>
          <t>AA</t>
        </is>
      </c>
      <c r="C6" t="inlineStr">
        <is>
          <t>Mainline</t>
        </is>
      </c>
      <c r="D6" t="n">
        <v>1495</v>
      </c>
      <c r="E6" t="n">
        <v>959</v>
      </c>
      <c r="F6" t="n">
        <v>1483</v>
      </c>
    </row>
    <row r="7" ht="15" customHeight="1" s="286" thickBot="1">
      <c r="A7" t="inlineStr">
        <is>
          <t>OTHER</t>
        </is>
      </c>
      <c r="B7" t="inlineStr">
        <is>
          <t>DL</t>
        </is>
      </c>
      <c r="C7" t="inlineStr">
        <is>
          <t>Mainline</t>
        </is>
      </c>
      <c r="D7" t="n">
        <v>837</v>
      </c>
      <c r="E7" t="n">
        <v>576</v>
      </c>
      <c r="F7" t="n">
        <v>826</v>
      </c>
    </row>
    <row r="8" ht="15" customHeight="1" s="286" thickBot="1">
      <c r="A8" t="inlineStr">
        <is>
          <t>Line Int</t>
        </is>
      </c>
      <c r="B8" t="inlineStr">
        <is>
          <t>DL</t>
        </is>
      </c>
      <c r="C8" t="inlineStr">
        <is>
          <t>Mainline</t>
        </is>
      </c>
      <c r="D8" t="n">
        <v>36</v>
      </c>
      <c r="E8" t="n">
        <v>23</v>
      </c>
      <c r="F8" t="n">
        <v>36</v>
      </c>
    </row>
    <row r="9" ht="15" customHeight="1" s="286" thickBo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2025-11-07T09:06:56Z</dcterms:modified>
  <cp:lastModifiedBy>Singh, Harmanpreet</cp:lastModifiedBy>
  <cp:lastPrinted>2022-09-26T05:14:08Z</cp:lastPrinted>
</cp:coreProperties>
</file>