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al-my.sharepoint.com/personal/u369251_global_ual_com/Documents/Documents/Reports/745 Express Report revamped/"/>
    </mc:Choice>
  </mc:AlternateContent>
  <xr:revisionPtr revIDLastSave="0" documentId="8_{7E8B43CA-E10A-4C5B-AD86-B897BF74CD80}" xr6:coauthVersionLast="47" xr6:coauthVersionMax="47" xr10:uidLastSave="{00000000-0000-0000-0000-000000000000}"/>
  <bookViews>
    <workbookView xWindow="-110" yWindow="-110" windowWidth="19420" windowHeight="10420" tabRatio="985" firstSheet="5" activeTab="5" xr2:uid="{00000000-000D-0000-FFFF-FFFF00000000}"/>
  </bookViews>
  <sheets>
    <sheet name="PDF_page" sheetId="5" state="hidden" r:id="rId1"/>
    <sheet name="HTML_NAME" sheetId="23" state="hidden" r:id="rId2"/>
    <sheet name="PAGE_1 (2)" sheetId="27" state="hidden" r:id="rId3"/>
    <sheet name="PAGE_1 (4)" sheetId="31" state="hidden" r:id="rId4"/>
    <sheet name="PAGE_1_old" sheetId="7" state="hidden" r:id="rId5"/>
    <sheet name="Pg1" sheetId="34" r:id="rId6"/>
    <sheet name="Pg2" sheetId="36" r:id="rId7"/>
    <sheet name="RANK" sheetId="10" r:id="rId8"/>
    <sheet name="ES_MATRIX" sheetId="12" r:id="rId9"/>
    <sheet name="EX_Goals" sheetId="18" r:id="rId10"/>
    <sheet name="UA_SQL_1" sheetId="6" r:id="rId11"/>
    <sheet name="UA_L7D" sheetId="39" r:id="rId12"/>
    <sheet name="UA_SQL_1_2019" sheetId="38" r:id="rId13"/>
    <sheet name="OA_SQL_1" sheetId="9" r:id="rId14"/>
    <sheet name="CNXL_SQL_2" sheetId="11" r:id="rId15"/>
    <sheet name="RES_CNXL_SQL_3" sheetId="19" r:id="rId16"/>
    <sheet name="SCH_DEP_SQL_4" sheetId="22" r:id="rId17"/>
    <sheet name="DIVERTS_SQL_5_2019" sheetId="41" r:id="rId18"/>
    <sheet name="TOTAL_DIVERTS_SQL_5" sheetId="24" r:id="rId19"/>
    <sheet name="UA_HUB_SQL_7" sheetId="29" r:id="rId20"/>
    <sheet name="UA_SeatCnxl_2019" sheetId="47" r:id="rId21"/>
    <sheet name="UA_Seat_cancels" sheetId="46" r:id="rId22"/>
    <sheet name="RECOVERED_DIVERTS_2019" sheetId="42" r:id="rId23"/>
    <sheet name="OA_SQL_2" sheetId="28" r:id="rId24"/>
    <sheet name="OA_SeatCnxl" sheetId="48" r:id="rId25"/>
    <sheet name="DIVERTS_RECOVERED_SQL_6" sheetId="25" r:id="rId26"/>
    <sheet name="FLIGHTS_NOT_DEPARTED_SQL_8" sheetId="32" r:id="rId27"/>
    <sheet name="REPOSITIONED_FLIGHTS_SQL_13" sheetId="33" r:id="rId28"/>
    <sheet name="Sheet3" sheetId="49" r:id="rId29"/>
    <sheet name="UA_Line" sheetId="43" r:id="rId30"/>
    <sheet name="Delays_Info" sheetId="40" r:id="rId31"/>
    <sheet name="Sheet2" sheetId="45" r:id="rId32"/>
    <sheet name="OA_Line" sheetId="44" r:id="rId33"/>
  </sheets>
  <definedNames>
    <definedName name="_xlnm._FilterDatabase" localSheetId="23" hidden="1">OA_SQL_2!$A$1:$Q$26</definedName>
    <definedName name="_xlnm._FilterDatabase" localSheetId="19" hidden="1">UA_HUB_SQL_7!$A$1:$Y$12</definedName>
    <definedName name="_xlnm.Print_Area" localSheetId="2">'PAGE_1 (2)'!$A$1:$Q$44</definedName>
    <definedName name="_xlnm.Print_Area" localSheetId="3">'PAGE_1 (4)'!$A$1:$Q$52</definedName>
    <definedName name="_xlnm.Print_Area" localSheetId="4">PAGE_1_old!$A$1:$Q$52</definedName>
    <definedName name="_xlnm.Print_Area" localSheetId="5">'Pg1'!$A$1:$M$32</definedName>
    <definedName name="_xlnm.Print_Area" localSheetId="6">'Pg2'!$A$1:$R$64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34" l="1"/>
  <c r="G6" i="34"/>
  <c r="F6" i="34"/>
  <c r="E6" i="34"/>
  <c r="E5" i="34" l="1"/>
  <c r="T3" i="34" l="1"/>
  <c r="S3" i="34"/>
  <c r="D9" i="10"/>
  <c r="D10" i="10"/>
  <c r="D11" i="10"/>
  <c r="D12" i="10"/>
  <c r="D13" i="10"/>
  <c r="D15" i="10"/>
  <c r="D17" i="10"/>
  <c r="D16" i="10"/>
  <c r="C17" i="10"/>
  <c r="C16" i="10"/>
  <c r="C15" i="10"/>
  <c r="C12" i="10"/>
  <c r="C10" i="10"/>
  <c r="C9" i="10"/>
  <c r="E26" i="10"/>
  <c r="E25" i="10"/>
  <c r="D28" i="10"/>
  <c r="C28" i="10"/>
  <c r="D27" i="10"/>
  <c r="D26" i="10"/>
  <c r="C27" i="10"/>
  <c r="C26" i="10"/>
  <c r="D24" i="10"/>
  <c r="D23" i="10"/>
  <c r="C23" i="10"/>
  <c r="D22" i="10"/>
  <c r="D21" i="10"/>
  <c r="C21" i="10"/>
  <c r="D20" i="10"/>
  <c r="C20" i="10"/>
  <c r="J12" i="10"/>
  <c r="K11" i="10"/>
  <c r="K10" i="10"/>
  <c r="K9" i="10"/>
  <c r="J10" i="10"/>
  <c r="J9" i="10"/>
  <c r="H7" i="34"/>
  <c r="H5" i="34"/>
  <c r="E7" i="34"/>
  <c r="F7" i="34"/>
  <c r="G7" i="34"/>
  <c r="J7" i="34" s="1"/>
  <c r="G5" i="34"/>
  <c r="F5" i="34"/>
  <c r="I7" i="34" l="1"/>
  <c r="R3" i="34"/>
  <c r="U3" i="34" s="1"/>
  <c r="K7" i="34" s="1"/>
  <c r="R2" i="10"/>
  <c r="J5" i="34" s="1"/>
  <c r="Q2" i="10"/>
  <c r="I5" i="34" s="1"/>
  <c r="T2" i="10" l="1"/>
  <c r="F8" i="34"/>
  <c r="F9" i="34"/>
  <c r="F10" i="34"/>
  <c r="F11" i="34"/>
  <c r="F12" i="34"/>
  <c r="I2" i="10"/>
  <c r="F30" i="12" l="1"/>
  <c r="Q40" i="36" s="1"/>
  <c r="F29" i="12"/>
  <c r="Q39" i="36" s="1"/>
  <c r="F28" i="12"/>
  <c r="Q38" i="36" s="1"/>
  <c r="F27" i="12"/>
  <c r="Q37" i="36" s="1"/>
  <c r="F26" i="12"/>
  <c r="Q36" i="36" s="1"/>
  <c r="F25" i="12"/>
  <c r="Q35" i="36" s="1"/>
  <c r="B30" i="12"/>
  <c r="Q27" i="36" s="1"/>
  <c r="B29" i="12"/>
  <c r="Q26" i="36" s="1"/>
  <c r="B28" i="12"/>
  <c r="Q25" i="36" s="1"/>
  <c r="B27" i="12"/>
  <c r="Q24" i="36" s="1"/>
  <c r="B26" i="12"/>
  <c r="Q23" i="36" s="1"/>
  <c r="B25" i="12"/>
  <c r="Q22" i="36" s="1"/>
  <c r="Q41" i="36" l="1"/>
  <c r="Q28" i="36"/>
  <c r="D5" i="10" l="1"/>
  <c r="D4" i="10"/>
  <c r="D3" i="10"/>
  <c r="B5" i="10"/>
  <c r="C5" i="10"/>
  <c r="C4" i="10"/>
  <c r="C3" i="10"/>
  <c r="D2" i="10"/>
  <c r="C2" i="10"/>
  <c r="E15" i="10"/>
  <c r="E14" i="10"/>
  <c r="R4" i="10"/>
  <c r="Q4" i="10"/>
  <c r="Q15" i="10"/>
  <c r="Q12" i="10"/>
  <c r="Q10" i="10"/>
  <c r="Q9" i="10"/>
  <c r="P15" i="10"/>
  <c r="P14" i="10"/>
  <c r="P13" i="10"/>
  <c r="P12" i="10"/>
  <c r="P11" i="10"/>
  <c r="P10" i="10"/>
  <c r="P9" i="10"/>
  <c r="P8" i="10"/>
  <c r="F5" i="10" l="1"/>
  <c r="B15" i="10"/>
  <c r="B14" i="10"/>
  <c r="B13" i="10"/>
  <c r="B12" i="10"/>
  <c r="B11" i="10"/>
  <c r="B10" i="10"/>
  <c r="B9" i="10"/>
  <c r="B8" i="10"/>
  <c r="L10" i="36"/>
  <c r="C13" i="10" l="1"/>
  <c r="D12" i="36"/>
  <c r="D11" i="36"/>
  <c r="D10" i="36"/>
  <c r="D9" i="36"/>
  <c r="D8" i="36"/>
  <c r="D7" i="36"/>
  <c r="D6" i="36"/>
  <c r="D5" i="36"/>
  <c r="E12" i="36"/>
  <c r="E11" i="36"/>
  <c r="E10" i="36"/>
  <c r="E9" i="36"/>
  <c r="E8" i="36"/>
  <c r="E7" i="36"/>
  <c r="E6" i="36"/>
  <c r="E13" i="36"/>
  <c r="E14" i="36"/>
  <c r="E5" i="36"/>
  <c r="G24" i="36"/>
  <c r="F24" i="36"/>
  <c r="E24" i="36"/>
  <c r="E10" i="34" l="1"/>
  <c r="D14" i="10"/>
  <c r="C14" i="10"/>
  <c r="M11" i="36" l="1"/>
  <c r="M5" i="36"/>
  <c r="H14" i="36" l="1"/>
  <c r="N13" i="36" l="1"/>
  <c r="H23" i="34" l="1"/>
  <c r="H22" i="34"/>
  <c r="H21" i="34"/>
  <c r="H19" i="34"/>
  <c r="H18" i="34"/>
  <c r="H17" i="34"/>
  <c r="H20" i="34"/>
  <c r="H16" i="34"/>
  <c r="H15" i="34"/>
  <c r="G11" i="36" l="1"/>
  <c r="L5" i="36"/>
  <c r="L11" i="36"/>
  <c r="B28" i="10"/>
  <c r="F28" i="10" s="1"/>
  <c r="B27" i="10"/>
  <c r="B26" i="10"/>
  <c r="F26" i="10" s="1"/>
  <c r="B25" i="10"/>
  <c r="F25" i="10" s="1"/>
  <c r="B24" i="10"/>
  <c r="B23" i="10"/>
  <c r="M9" i="36" s="1"/>
  <c r="B22" i="10"/>
  <c r="F22" i="10" s="1"/>
  <c r="B21" i="10"/>
  <c r="F21" i="10" s="1"/>
  <c r="B20" i="10"/>
  <c r="F20" i="10" s="1"/>
  <c r="B19" i="10"/>
  <c r="B17" i="10"/>
  <c r="B16" i="10"/>
  <c r="F8" i="36"/>
  <c r="C11" i="10"/>
  <c r="G9" i="36"/>
  <c r="G7" i="36"/>
  <c r="R5" i="10"/>
  <c r="R3" i="10"/>
  <c r="Q5" i="10"/>
  <c r="Q3" i="10"/>
  <c r="P4" i="10"/>
  <c r="P5" i="10"/>
  <c r="P3" i="10"/>
  <c r="K14" i="36"/>
  <c r="K13" i="36"/>
  <c r="D14" i="36"/>
  <c r="D13" i="36"/>
  <c r="S25" i="10"/>
  <c r="R25" i="10"/>
  <c r="Q25" i="10"/>
  <c r="P25" i="10"/>
  <c r="T25" i="10" s="1"/>
  <c r="S24" i="10"/>
  <c r="P24" i="10"/>
  <c r="T24" i="10" s="1"/>
  <c r="R23" i="10"/>
  <c r="P23" i="10"/>
  <c r="T23" i="10" s="1"/>
  <c r="R22" i="10"/>
  <c r="Q22" i="10"/>
  <c r="P22" i="10"/>
  <c r="T22" i="10" s="1"/>
  <c r="R21" i="10"/>
  <c r="P21" i="10"/>
  <c r="T21" i="10" s="1"/>
  <c r="R20" i="10"/>
  <c r="Q20" i="10"/>
  <c r="P20" i="10"/>
  <c r="T20" i="10" s="1"/>
  <c r="R19" i="10"/>
  <c r="Q19" i="10"/>
  <c r="P19" i="10"/>
  <c r="T19" i="10" s="1"/>
  <c r="Q26" i="10"/>
  <c r="P26" i="10"/>
  <c r="S15" i="10"/>
  <c r="R15" i="10"/>
  <c r="S14" i="10"/>
  <c r="T14" i="10" s="1"/>
  <c r="R13" i="10"/>
  <c r="T13" i="10" s="1"/>
  <c r="R12" i="10"/>
  <c r="T12" i="10" s="1"/>
  <c r="R11" i="10"/>
  <c r="T11" i="10" s="1"/>
  <c r="R10" i="10"/>
  <c r="T10" i="10"/>
  <c r="R9" i="10"/>
  <c r="T9" i="10" s="1"/>
  <c r="B4" i="10"/>
  <c r="B3" i="10"/>
  <c r="B2" i="10"/>
  <c r="H14" i="34"/>
  <c r="I5" i="36"/>
  <c r="F5" i="36"/>
  <c r="L40" i="36"/>
  <c r="K40" i="36"/>
  <c r="J40" i="36"/>
  <c r="I40" i="36"/>
  <c r="H40" i="36"/>
  <c r="G40" i="36"/>
  <c r="F40" i="36"/>
  <c r="L39" i="36"/>
  <c r="K39" i="36"/>
  <c r="J39" i="36"/>
  <c r="I39" i="36"/>
  <c r="H39" i="36"/>
  <c r="G39" i="36"/>
  <c r="F39" i="36"/>
  <c r="L38" i="36"/>
  <c r="K38" i="36"/>
  <c r="J38" i="36"/>
  <c r="I38" i="36"/>
  <c r="H38" i="36"/>
  <c r="G38" i="36"/>
  <c r="F38" i="36"/>
  <c r="L37" i="36"/>
  <c r="K37" i="36"/>
  <c r="J37" i="36"/>
  <c r="I37" i="36"/>
  <c r="H37" i="36"/>
  <c r="G37" i="36"/>
  <c r="F37" i="36"/>
  <c r="L36" i="36"/>
  <c r="K36" i="36"/>
  <c r="J36" i="36"/>
  <c r="I36" i="36"/>
  <c r="H36" i="36"/>
  <c r="G36" i="36"/>
  <c r="F36" i="36"/>
  <c r="L35" i="36"/>
  <c r="K35" i="36"/>
  <c r="J35" i="36"/>
  <c r="I35" i="36"/>
  <c r="H35" i="36"/>
  <c r="G35" i="36"/>
  <c r="F35" i="36"/>
  <c r="E40" i="36"/>
  <c r="E39" i="36"/>
  <c r="E38" i="36"/>
  <c r="E37" i="36"/>
  <c r="E36" i="36"/>
  <c r="E35" i="36"/>
  <c r="D40" i="36"/>
  <c r="D39" i="36"/>
  <c r="D38" i="36"/>
  <c r="D37" i="36"/>
  <c r="D36" i="36"/>
  <c r="D35" i="36"/>
  <c r="L27" i="36"/>
  <c r="K27" i="36"/>
  <c r="J27" i="36"/>
  <c r="I27" i="36"/>
  <c r="H27" i="36"/>
  <c r="G27" i="36"/>
  <c r="F27" i="36"/>
  <c r="L26" i="36"/>
  <c r="K26" i="36"/>
  <c r="J26" i="36"/>
  <c r="I26" i="36"/>
  <c r="H26" i="36"/>
  <c r="G26" i="36"/>
  <c r="F26" i="36"/>
  <c r="L25" i="36"/>
  <c r="K25" i="36"/>
  <c r="J25" i="36"/>
  <c r="I25" i="36"/>
  <c r="H25" i="36"/>
  <c r="G25" i="36"/>
  <c r="F25" i="36"/>
  <c r="L24" i="36"/>
  <c r="K24" i="36"/>
  <c r="J24" i="36"/>
  <c r="I24" i="36"/>
  <c r="H24" i="36"/>
  <c r="L23" i="36"/>
  <c r="K23" i="36"/>
  <c r="J23" i="36"/>
  <c r="I23" i="36"/>
  <c r="H23" i="36"/>
  <c r="G23" i="36"/>
  <c r="F23" i="36"/>
  <c r="L22" i="36"/>
  <c r="K22" i="36"/>
  <c r="J22" i="36"/>
  <c r="I22" i="36"/>
  <c r="H22" i="36"/>
  <c r="G22" i="36"/>
  <c r="F22" i="36"/>
  <c r="E27" i="36"/>
  <c r="E26" i="36"/>
  <c r="E25" i="36"/>
  <c r="E23" i="36"/>
  <c r="E22" i="36"/>
  <c r="P13" i="34"/>
  <c r="G21" i="34"/>
  <c r="F21" i="34"/>
  <c r="G22" i="34"/>
  <c r="F22" i="34"/>
  <c r="G23" i="34"/>
  <c r="F23" i="34"/>
  <c r="E23" i="34"/>
  <c r="E22" i="34"/>
  <c r="E21" i="34"/>
  <c r="G20" i="34"/>
  <c r="E20" i="34"/>
  <c r="F20" i="34"/>
  <c r="G19" i="34"/>
  <c r="G18" i="34"/>
  <c r="F19" i="34"/>
  <c r="E19" i="34"/>
  <c r="F18" i="34"/>
  <c r="E18" i="34"/>
  <c r="G17" i="34"/>
  <c r="F17" i="34"/>
  <c r="E17" i="34"/>
  <c r="F27" i="10" l="1"/>
  <c r="O13" i="36" s="1"/>
  <c r="O14" i="36"/>
  <c r="M10" i="36"/>
  <c r="F24" i="10"/>
  <c r="L12" i="36"/>
  <c r="F23" i="10"/>
  <c r="T15" i="10"/>
  <c r="M6" i="36"/>
  <c r="L6" i="36"/>
  <c r="M7" i="36"/>
  <c r="L7" i="36"/>
  <c r="J9" i="34"/>
  <c r="I9" i="34"/>
  <c r="J8" i="34"/>
  <c r="I8" i="34"/>
  <c r="J10" i="34"/>
  <c r="I10" i="34"/>
  <c r="L8" i="36"/>
  <c r="M8" i="36"/>
  <c r="M12" i="36"/>
  <c r="H11" i="36"/>
  <c r="H12" i="36"/>
  <c r="L9" i="36"/>
  <c r="N11" i="36"/>
  <c r="G14" i="36"/>
  <c r="F14" i="36"/>
  <c r="L14" i="36"/>
  <c r="M14" i="36"/>
  <c r="F13" i="36"/>
  <c r="G13" i="36"/>
  <c r="L13" i="36"/>
  <c r="M13" i="36"/>
  <c r="N12" i="36"/>
  <c r="F16" i="10"/>
  <c r="I13" i="36" s="1"/>
  <c r="N23" i="36"/>
  <c r="N25" i="36"/>
  <c r="N27" i="36"/>
  <c r="N36" i="36"/>
  <c r="N38" i="36"/>
  <c r="N40" i="36"/>
  <c r="N37" i="36"/>
  <c r="N39" i="36"/>
  <c r="N35" i="36"/>
  <c r="N22" i="36"/>
  <c r="N24" i="36"/>
  <c r="N26" i="36"/>
  <c r="F17" i="10"/>
  <c r="I14" i="36" s="1"/>
  <c r="F7" i="36"/>
  <c r="F9" i="36"/>
  <c r="G8" i="36"/>
  <c r="G10" i="36"/>
  <c r="G12" i="36"/>
  <c r="F12" i="36"/>
  <c r="F6" i="36"/>
  <c r="G6" i="36"/>
  <c r="T3" i="10"/>
  <c r="K8" i="34" s="1"/>
  <c r="T4" i="10"/>
  <c r="K10" i="34" s="1"/>
  <c r="T5" i="10"/>
  <c r="K9" i="34" s="1"/>
  <c r="D27" i="36"/>
  <c r="D26" i="36"/>
  <c r="D25" i="36"/>
  <c r="D24" i="36"/>
  <c r="D23" i="36"/>
  <c r="D22" i="36"/>
  <c r="K12" i="36"/>
  <c r="K11" i="36"/>
  <c r="K10" i="36"/>
  <c r="K9" i="36"/>
  <c r="K8" i="36"/>
  <c r="K7" i="36"/>
  <c r="K6" i="36"/>
  <c r="K5" i="36"/>
  <c r="G16" i="34"/>
  <c r="F16" i="34"/>
  <c r="E16" i="34"/>
  <c r="G15" i="34"/>
  <c r="G14" i="34"/>
  <c r="F15" i="34"/>
  <c r="F14" i="34"/>
  <c r="E15" i="34"/>
  <c r="E14" i="34"/>
  <c r="E29" i="34"/>
  <c r="E28" i="34"/>
  <c r="F27" i="34"/>
  <c r="E27" i="34"/>
  <c r="F26" i="34"/>
  <c r="E26" i="34"/>
  <c r="E12" i="34"/>
  <c r="E11" i="34"/>
  <c r="E9" i="34"/>
  <c r="E8" i="34"/>
  <c r="P3" i="34"/>
  <c r="P4" i="34" s="1"/>
  <c r="G26" i="34" s="1"/>
  <c r="H12" i="34"/>
  <c r="H11" i="34"/>
  <c r="H10" i="34"/>
  <c r="H9" i="34"/>
  <c r="H8" i="34"/>
  <c r="G12" i="34"/>
  <c r="G11" i="34"/>
  <c r="G10" i="34"/>
  <c r="G8" i="34"/>
  <c r="G9" i="34"/>
  <c r="H27" i="34" l="1"/>
  <c r="G27" i="34"/>
  <c r="H26" i="34"/>
  <c r="M41" i="36"/>
  <c r="K41" i="36"/>
  <c r="I41" i="36"/>
  <c r="G41" i="36"/>
  <c r="M28" i="36"/>
  <c r="K28" i="36"/>
  <c r="I28" i="36"/>
  <c r="G28" i="36"/>
  <c r="K6" i="34"/>
  <c r="J6" i="34"/>
  <c r="I6" i="34"/>
  <c r="D28" i="36" l="1"/>
  <c r="F28" i="36"/>
  <c r="H28" i="36"/>
  <c r="J28" i="36"/>
  <c r="L28" i="36"/>
  <c r="N28" i="36"/>
  <c r="D41" i="36"/>
  <c r="F41" i="36"/>
  <c r="H41" i="36"/>
  <c r="J41" i="36"/>
  <c r="L41" i="36"/>
  <c r="N41" i="36"/>
  <c r="E28" i="36"/>
  <c r="E41" i="36"/>
  <c r="L26" i="10" l="1"/>
  <c r="L25" i="10"/>
  <c r="L15" i="10"/>
  <c r="I13" i="10" l="1"/>
  <c r="K13" i="10"/>
  <c r="M13" i="10" l="1"/>
  <c r="K26" i="10" l="1"/>
  <c r="J26" i="10"/>
  <c r="I26" i="10"/>
  <c r="K15" i="10"/>
  <c r="K12" i="10"/>
  <c r="J15" i="10"/>
  <c r="I15" i="10"/>
  <c r="M15" i="10" l="1"/>
  <c r="F15" i="10"/>
  <c r="M26" i="10"/>
  <c r="O12" i="36" l="1"/>
  <c r="I12" i="36"/>
  <c r="J21" i="12" l="1"/>
  <c r="J20" i="12"/>
  <c r="J19" i="12"/>
  <c r="J17" i="12"/>
  <c r="J16" i="12"/>
  <c r="J15" i="12"/>
  <c r="J14" i="12"/>
  <c r="J18" i="12"/>
  <c r="J10" i="12"/>
  <c r="J9" i="12"/>
  <c r="J8" i="12"/>
  <c r="J7" i="12"/>
  <c r="J5" i="12"/>
  <c r="J4" i="12"/>
  <c r="J3" i="12"/>
  <c r="J6" i="12"/>
  <c r="I3" i="12"/>
  <c r="L14" i="10" l="1"/>
  <c r="P50" i="31"/>
  <c r="L50" i="31"/>
  <c r="K50" i="31"/>
  <c r="J50" i="31"/>
  <c r="I50" i="31"/>
  <c r="H50" i="31"/>
  <c r="G50" i="31"/>
  <c r="F50" i="31"/>
  <c r="E50" i="31"/>
  <c r="D50" i="31"/>
  <c r="C50" i="31"/>
  <c r="P49" i="31"/>
  <c r="L49" i="31"/>
  <c r="K49" i="31"/>
  <c r="J49" i="31"/>
  <c r="I49" i="31"/>
  <c r="H49" i="31"/>
  <c r="G49" i="31"/>
  <c r="F49" i="31"/>
  <c r="E49" i="31"/>
  <c r="D49" i="31"/>
  <c r="C49" i="31"/>
  <c r="P48" i="31"/>
  <c r="L48" i="31"/>
  <c r="K48" i="31"/>
  <c r="J48" i="31"/>
  <c r="I48" i="31"/>
  <c r="H48" i="31"/>
  <c r="G48" i="31"/>
  <c r="F48" i="31"/>
  <c r="E48" i="31"/>
  <c r="D48" i="31"/>
  <c r="C48" i="31"/>
  <c r="P47" i="31"/>
  <c r="L47" i="31"/>
  <c r="K47" i="31"/>
  <c r="J47" i="31"/>
  <c r="I47" i="31"/>
  <c r="H47" i="31"/>
  <c r="G47" i="31"/>
  <c r="F47" i="31"/>
  <c r="E47" i="31"/>
  <c r="D47" i="31"/>
  <c r="C47" i="31"/>
  <c r="P46" i="31"/>
  <c r="L46" i="31"/>
  <c r="K46" i="31"/>
  <c r="J46" i="31"/>
  <c r="I46" i="31"/>
  <c r="H46" i="31"/>
  <c r="G46" i="31"/>
  <c r="F46" i="31"/>
  <c r="E46" i="31"/>
  <c r="D46" i="31"/>
  <c r="C46" i="31"/>
  <c r="P45" i="31"/>
  <c r="L45" i="31"/>
  <c r="K45" i="31"/>
  <c r="J45" i="31"/>
  <c r="I45" i="31"/>
  <c r="H45" i="31"/>
  <c r="G45" i="31"/>
  <c r="F45" i="31"/>
  <c r="E45" i="31"/>
  <c r="D45" i="31"/>
  <c r="C45" i="31"/>
  <c r="P44" i="31"/>
  <c r="L44" i="31"/>
  <c r="K44" i="31"/>
  <c r="J44" i="31"/>
  <c r="I44" i="31"/>
  <c r="H44" i="31"/>
  <c r="G44" i="31"/>
  <c r="F44" i="31"/>
  <c r="E44" i="31"/>
  <c r="D44" i="31"/>
  <c r="C44" i="31"/>
  <c r="P43" i="31"/>
  <c r="L43" i="31"/>
  <c r="K43" i="31"/>
  <c r="J43" i="31"/>
  <c r="I43" i="31"/>
  <c r="H43" i="31"/>
  <c r="G43" i="31"/>
  <c r="F43" i="31"/>
  <c r="E43" i="31"/>
  <c r="D43" i="31"/>
  <c r="C43" i="31"/>
  <c r="P36" i="31"/>
  <c r="L36" i="31"/>
  <c r="K36" i="31"/>
  <c r="J36" i="31"/>
  <c r="I36" i="31"/>
  <c r="H36" i="31"/>
  <c r="G36" i="31"/>
  <c r="F36" i="31"/>
  <c r="E36" i="31"/>
  <c r="D36" i="31"/>
  <c r="C36" i="31"/>
  <c r="P35" i="31"/>
  <c r="L35" i="31"/>
  <c r="K35" i="31"/>
  <c r="J35" i="31"/>
  <c r="I35" i="31"/>
  <c r="H35" i="31"/>
  <c r="G35" i="31"/>
  <c r="F35" i="31"/>
  <c r="E35" i="31"/>
  <c r="D35" i="31"/>
  <c r="C35" i="31"/>
  <c r="P34" i="31"/>
  <c r="L34" i="31"/>
  <c r="K34" i="31"/>
  <c r="J34" i="31"/>
  <c r="I34" i="31"/>
  <c r="H34" i="31"/>
  <c r="G34" i="31"/>
  <c r="F34" i="31"/>
  <c r="E34" i="31"/>
  <c r="D34" i="31"/>
  <c r="C34" i="31"/>
  <c r="P33" i="31"/>
  <c r="L33" i="31"/>
  <c r="K33" i="31"/>
  <c r="J33" i="31"/>
  <c r="I33" i="31"/>
  <c r="H33" i="31"/>
  <c r="G33" i="31"/>
  <c r="F33" i="31"/>
  <c r="E33" i="31"/>
  <c r="D33" i="31"/>
  <c r="C33" i="31"/>
  <c r="P32" i="31"/>
  <c r="L32" i="31"/>
  <c r="K32" i="31"/>
  <c r="J32" i="31"/>
  <c r="I32" i="31"/>
  <c r="H32" i="31"/>
  <c r="G32" i="31"/>
  <c r="F32" i="31"/>
  <c r="E32" i="31"/>
  <c r="D32" i="31"/>
  <c r="C32" i="31"/>
  <c r="P31" i="31"/>
  <c r="L31" i="31"/>
  <c r="K31" i="31"/>
  <c r="J31" i="31"/>
  <c r="I31" i="31"/>
  <c r="H31" i="31"/>
  <c r="G31" i="31"/>
  <c r="F31" i="31"/>
  <c r="E31" i="31"/>
  <c r="D31" i="31"/>
  <c r="C31" i="31"/>
  <c r="P30" i="31"/>
  <c r="L30" i="31"/>
  <c r="K30" i="31"/>
  <c r="J30" i="31"/>
  <c r="I30" i="31"/>
  <c r="H30" i="31"/>
  <c r="G30" i="31"/>
  <c r="F30" i="31"/>
  <c r="E30" i="31"/>
  <c r="D30" i="31"/>
  <c r="C30" i="31"/>
  <c r="P29" i="31"/>
  <c r="L29" i="31"/>
  <c r="K29" i="31"/>
  <c r="J29" i="31"/>
  <c r="I29" i="31"/>
  <c r="H29" i="31"/>
  <c r="G29" i="31"/>
  <c r="F29" i="31"/>
  <c r="E29" i="31"/>
  <c r="D29" i="31"/>
  <c r="C29" i="31"/>
  <c r="H24" i="31"/>
  <c r="D24" i="31"/>
  <c r="C24" i="31"/>
  <c r="J23" i="31"/>
  <c r="H23" i="31"/>
  <c r="D23" i="31"/>
  <c r="C23" i="31"/>
  <c r="J22" i="31"/>
  <c r="I22" i="31"/>
  <c r="H22" i="31"/>
  <c r="D22" i="31"/>
  <c r="C22" i="31"/>
  <c r="J21" i="31"/>
  <c r="H21" i="31"/>
  <c r="D21" i="31"/>
  <c r="C21" i="31"/>
  <c r="J20" i="31"/>
  <c r="I20" i="31"/>
  <c r="H20" i="31"/>
  <c r="D20" i="31"/>
  <c r="C20" i="31"/>
  <c r="J19" i="31"/>
  <c r="I19" i="31"/>
  <c r="H19" i="31"/>
  <c r="D19" i="31"/>
  <c r="C19" i="31"/>
  <c r="H18" i="31"/>
  <c r="D18" i="31"/>
  <c r="C18" i="31"/>
  <c r="D13" i="31"/>
  <c r="C13" i="31"/>
  <c r="D12" i="31"/>
  <c r="C12" i="31"/>
  <c r="E11" i="31"/>
  <c r="D11" i="31"/>
  <c r="C11" i="31"/>
  <c r="E10" i="31"/>
  <c r="D10" i="31"/>
  <c r="C10" i="31"/>
  <c r="E9" i="31"/>
  <c r="D9" i="31"/>
  <c r="C9" i="31"/>
  <c r="G8" i="31"/>
  <c r="F8" i="31"/>
  <c r="E8" i="31"/>
  <c r="D8" i="31"/>
  <c r="C8" i="31"/>
  <c r="G7" i="31"/>
  <c r="F7" i="31"/>
  <c r="E7" i="31"/>
  <c r="D7" i="31"/>
  <c r="C7" i="31"/>
  <c r="G6" i="31"/>
  <c r="F6" i="31"/>
  <c r="E6" i="31"/>
  <c r="D6" i="31"/>
  <c r="C6" i="31"/>
  <c r="C5" i="31"/>
  <c r="D2" i="31"/>
  <c r="K51" i="31" l="1"/>
  <c r="D37" i="31"/>
  <c r="L37" i="31"/>
  <c r="C51" i="31"/>
  <c r="C37" i="31"/>
  <c r="L51" i="31"/>
  <c r="J51" i="31"/>
  <c r="E37" i="31"/>
  <c r="K37" i="31"/>
  <c r="F37" i="31"/>
  <c r="J37" i="31"/>
  <c r="M43" i="31"/>
  <c r="M45" i="31"/>
  <c r="M47" i="31"/>
  <c r="M49" i="31"/>
  <c r="E51" i="31"/>
  <c r="F51" i="31"/>
  <c r="G51" i="31"/>
  <c r="M44" i="31"/>
  <c r="M48" i="31"/>
  <c r="M50" i="31"/>
  <c r="P51" i="31"/>
  <c r="H51" i="31"/>
  <c r="I51" i="31"/>
  <c r="M46" i="31"/>
  <c r="M31" i="31"/>
  <c r="M33" i="31"/>
  <c r="M35" i="31"/>
  <c r="P37" i="31"/>
  <c r="G37" i="31"/>
  <c r="H37" i="31"/>
  <c r="M30" i="31"/>
  <c r="M34" i="31"/>
  <c r="I37" i="31"/>
  <c r="M32" i="31"/>
  <c r="M36" i="31"/>
  <c r="M29" i="31"/>
  <c r="D51" i="31"/>
  <c r="K20" i="10"/>
  <c r="K21" i="10"/>
  <c r="K22" i="10"/>
  <c r="K23" i="10"/>
  <c r="K24" i="10"/>
  <c r="J19" i="10"/>
  <c r="J20" i="10"/>
  <c r="J21" i="10"/>
  <c r="J23" i="10"/>
  <c r="I20" i="10"/>
  <c r="I21" i="10"/>
  <c r="I22" i="10"/>
  <c r="I23" i="10"/>
  <c r="I24" i="10"/>
  <c r="I25" i="10"/>
  <c r="I19" i="10"/>
  <c r="H18" i="7"/>
  <c r="I9" i="10"/>
  <c r="I10" i="10"/>
  <c r="I11" i="10"/>
  <c r="I12" i="10"/>
  <c r="I14" i="10"/>
  <c r="M14" i="10" s="1"/>
  <c r="I8" i="10"/>
  <c r="F13" i="10"/>
  <c r="F14" i="10"/>
  <c r="I11" i="36" s="1"/>
  <c r="G18" i="7"/>
  <c r="J19" i="7"/>
  <c r="J20" i="7"/>
  <c r="J21" i="7"/>
  <c r="J22" i="7"/>
  <c r="J23" i="7"/>
  <c r="J24" i="7"/>
  <c r="J18" i="7"/>
  <c r="I19" i="7"/>
  <c r="I20" i="7"/>
  <c r="I21" i="7"/>
  <c r="I22" i="7"/>
  <c r="I23" i="7"/>
  <c r="I24" i="7"/>
  <c r="I18" i="7"/>
  <c r="F19" i="7"/>
  <c r="F20" i="7"/>
  <c r="F21" i="7"/>
  <c r="F22" i="7"/>
  <c r="F23" i="7"/>
  <c r="F24" i="7"/>
  <c r="F18" i="7"/>
  <c r="E18" i="7"/>
  <c r="E19" i="7"/>
  <c r="E20" i="7"/>
  <c r="E21" i="7"/>
  <c r="E22" i="7"/>
  <c r="E23" i="7"/>
  <c r="E24" i="7"/>
  <c r="F8" i="7"/>
  <c r="F7" i="7"/>
  <c r="F6" i="7"/>
  <c r="H19" i="7"/>
  <c r="H20" i="7"/>
  <c r="H21" i="7"/>
  <c r="H22" i="7"/>
  <c r="H23" i="7"/>
  <c r="H24" i="7"/>
  <c r="D19" i="7"/>
  <c r="D20" i="7"/>
  <c r="D21" i="7"/>
  <c r="D22" i="7"/>
  <c r="D23" i="7"/>
  <c r="D24" i="7"/>
  <c r="D18" i="7"/>
  <c r="C19" i="7"/>
  <c r="C20" i="7"/>
  <c r="C21" i="7"/>
  <c r="C22" i="7"/>
  <c r="C23" i="7"/>
  <c r="C24" i="7"/>
  <c r="C18" i="7"/>
  <c r="I10" i="36" l="1"/>
  <c r="M21" i="10"/>
  <c r="K20" i="7" s="1"/>
  <c r="M9" i="10"/>
  <c r="O10" i="36"/>
  <c r="M12" i="10"/>
  <c r="M23" i="10"/>
  <c r="K22" i="7" s="1"/>
  <c r="F11" i="10"/>
  <c r="O11" i="36"/>
  <c r="M20" i="10"/>
  <c r="K19" i="7" s="1"/>
  <c r="M19" i="10"/>
  <c r="K18" i="7" s="1"/>
  <c r="M25" i="10"/>
  <c r="K24" i="7" s="1"/>
  <c r="M11" i="10"/>
  <c r="O8" i="36"/>
  <c r="M10" i="10"/>
  <c r="M24" i="10"/>
  <c r="K23" i="7" s="1"/>
  <c r="O6" i="36"/>
  <c r="M22" i="10"/>
  <c r="K21" i="7" s="1"/>
  <c r="F9" i="10"/>
  <c r="F12" i="10"/>
  <c r="F10" i="10"/>
  <c r="I7" i="36" s="1"/>
  <c r="M51" i="31"/>
  <c r="G23" i="31"/>
  <c r="M37" i="31"/>
  <c r="K20" i="31" l="1"/>
  <c r="O7" i="36"/>
  <c r="O9" i="36"/>
  <c r="I9" i="36"/>
  <c r="G21" i="7"/>
  <c r="I8" i="36"/>
  <c r="I6" i="36"/>
  <c r="K19" i="31"/>
  <c r="G24" i="7"/>
  <c r="G23" i="7"/>
  <c r="G21" i="31"/>
  <c r="K21" i="31"/>
  <c r="G19" i="7"/>
  <c r="G19" i="31"/>
  <c r="G22" i="7"/>
  <c r="G22" i="31"/>
  <c r="K22" i="31"/>
  <c r="G20" i="7"/>
  <c r="G20" i="31"/>
  <c r="K23" i="31"/>
  <c r="P42" i="27" l="1"/>
  <c r="L42" i="27"/>
  <c r="K42" i="27"/>
  <c r="J42" i="27"/>
  <c r="I42" i="27"/>
  <c r="H42" i="27"/>
  <c r="G42" i="27"/>
  <c r="F42" i="27"/>
  <c r="E42" i="27"/>
  <c r="D42" i="27"/>
  <c r="C42" i="27"/>
  <c r="P41" i="27"/>
  <c r="L41" i="27"/>
  <c r="K41" i="27"/>
  <c r="J41" i="27"/>
  <c r="I41" i="27"/>
  <c r="H41" i="27"/>
  <c r="G41" i="27"/>
  <c r="F41" i="27"/>
  <c r="E41" i="27"/>
  <c r="D41" i="27"/>
  <c r="C41" i="27"/>
  <c r="P40" i="27"/>
  <c r="L40" i="27"/>
  <c r="K40" i="27"/>
  <c r="J40" i="27"/>
  <c r="I40" i="27"/>
  <c r="H40" i="27"/>
  <c r="G40" i="27"/>
  <c r="F40" i="27"/>
  <c r="E40" i="27"/>
  <c r="D40" i="27"/>
  <c r="C40" i="27"/>
  <c r="P39" i="27"/>
  <c r="L39" i="27"/>
  <c r="K39" i="27"/>
  <c r="J39" i="27"/>
  <c r="I39" i="27"/>
  <c r="H39" i="27"/>
  <c r="G39" i="27"/>
  <c r="F39" i="27"/>
  <c r="E39" i="27"/>
  <c r="D39" i="27"/>
  <c r="C39" i="27"/>
  <c r="P38" i="27"/>
  <c r="L38" i="27"/>
  <c r="K38" i="27"/>
  <c r="J38" i="27"/>
  <c r="I38" i="27"/>
  <c r="H38" i="27"/>
  <c r="G38" i="27"/>
  <c r="F38" i="27"/>
  <c r="E38" i="27"/>
  <c r="D38" i="27"/>
  <c r="C38" i="27"/>
  <c r="P37" i="27"/>
  <c r="L37" i="27"/>
  <c r="K37" i="27"/>
  <c r="J37" i="27"/>
  <c r="I37" i="27"/>
  <c r="H37" i="27"/>
  <c r="G37" i="27"/>
  <c r="F37" i="27"/>
  <c r="E37" i="27"/>
  <c r="D37" i="27"/>
  <c r="C37" i="27"/>
  <c r="P36" i="27"/>
  <c r="L36" i="27"/>
  <c r="K36" i="27"/>
  <c r="J36" i="27"/>
  <c r="I36" i="27"/>
  <c r="H36" i="27"/>
  <c r="G36" i="27"/>
  <c r="F36" i="27"/>
  <c r="E36" i="27"/>
  <c r="D36" i="27"/>
  <c r="C36" i="27"/>
  <c r="P35" i="27"/>
  <c r="L35" i="27"/>
  <c r="K35" i="27"/>
  <c r="J35" i="27"/>
  <c r="I35" i="27"/>
  <c r="H35" i="27"/>
  <c r="G35" i="27"/>
  <c r="F35" i="27"/>
  <c r="E35" i="27"/>
  <c r="D35" i="27"/>
  <c r="C35" i="27"/>
  <c r="P28" i="27"/>
  <c r="L28" i="27"/>
  <c r="K28" i="27"/>
  <c r="J28" i="27"/>
  <c r="I28" i="27"/>
  <c r="H28" i="27"/>
  <c r="G28" i="27"/>
  <c r="F28" i="27"/>
  <c r="E28" i="27"/>
  <c r="D28" i="27"/>
  <c r="C28" i="27"/>
  <c r="P27" i="27"/>
  <c r="L27" i="27"/>
  <c r="K27" i="27"/>
  <c r="J27" i="27"/>
  <c r="I27" i="27"/>
  <c r="H27" i="27"/>
  <c r="G27" i="27"/>
  <c r="F27" i="27"/>
  <c r="E27" i="27"/>
  <c r="D27" i="27"/>
  <c r="C27" i="27"/>
  <c r="P26" i="27"/>
  <c r="L26" i="27"/>
  <c r="K26" i="27"/>
  <c r="J26" i="27"/>
  <c r="I26" i="27"/>
  <c r="H26" i="27"/>
  <c r="G26" i="27"/>
  <c r="F26" i="27"/>
  <c r="E26" i="27"/>
  <c r="D26" i="27"/>
  <c r="C26" i="27"/>
  <c r="P25" i="27"/>
  <c r="L25" i="27"/>
  <c r="K25" i="27"/>
  <c r="J25" i="27"/>
  <c r="I25" i="27"/>
  <c r="H25" i="27"/>
  <c r="G25" i="27"/>
  <c r="F25" i="27"/>
  <c r="E25" i="27"/>
  <c r="D25" i="27"/>
  <c r="C25" i="27"/>
  <c r="P24" i="27"/>
  <c r="L24" i="27"/>
  <c r="K24" i="27"/>
  <c r="J24" i="27"/>
  <c r="I24" i="27"/>
  <c r="H24" i="27"/>
  <c r="G24" i="27"/>
  <c r="F24" i="27"/>
  <c r="E24" i="27"/>
  <c r="D24" i="27"/>
  <c r="C24" i="27"/>
  <c r="P23" i="27"/>
  <c r="L23" i="27"/>
  <c r="K23" i="27"/>
  <c r="J23" i="27"/>
  <c r="I23" i="27"/>
  <c r="H23" i="27"/>
  <c r="G23" i="27"/>
  <c r="F23" i="27"/>
  <c r="E23" i="27"/>
  <c r="D23" i="27"/>
  <c r="C23" i="27"/>
  <c r="P22" i="27"/>
  <c r="L22" i="27"/>
  <c r="K22" i="27"/>
  <c r="J22" i="27"/>
  <c r="I22" i="27"/>
  <c r="H22" i="27"/>
  <c r="G22" i="27"/>
  <c r="F22" i="27"/>
  <c r="E22" i="27"/>
  <c r="D22" i="27"/>
  <c r="C22" i="27"/>
  <c r="P21" i="27"/>
  <c r="L21" i="27"/>
  <c r="K21" i="27"/>
  <c r="J21" i="27"/>
  <c r="I21" i="27"/>
  <c r="H21" i="27"/>
  <c r="G21" i="27"/>
  <c r="F21" i="27"/>
  <c r="E21" i="27"/>
  <c r="D21" i="27"/>
  <c r="C21" i="27"/>
  <c r="D13" i="27"/>
  <c r="C13" i="27"/>
  <c r="D12" i="27"/>
  <c r="C12" i="27"/>
  <c r="D11" i="27"/>
  <c r="C11" i="27"/>
  <c r="D10" i="27"/>
  <c r="C10" i="27"/>
  <c r="D9" i="27"/>
  <c r="C9" i="27"/>
  <c r="G8" i="27"/>
  <c r="F8" i="27"/>
  <c r="D8" i="27"/>
  <c r="C8" i="27"/>
  <c r="G7" i="27"/>
  <c r="F7" i="27"/>
  <c r="D7" i="27"/>
  <c r="C7" i="27"/>
  <c r="G6" i="27"/>
  <c r="F6" i="27"/>
  <c r="D6" i="27"/>
  <c r="C6" i="27"/>
  <c r="I5" i="27"/>
  <c r="E9" i="27" s="1"/>
  <c r="C5" i="27"/>
  <c r="D2" i="27"/>
  <c r="K29" i="27" l="1"/>
  <c r="C43" i="27"/>
  <c r="K43" i="27"/>
  <c r="F43" i="27"/>
  <c r="P43" i="27"/>
  <c r="H29" i="27"/>
  <c r="H43" i="27"/>
  <c r="I29" i="27"/>
  <c r="I43" i="27"/>
  <c r="J43" i="27"/>
  <c r="P29" i="27"/>
  <c r="F29" i="27"/>
  <c r="J29" i="27"/>
  <c r="E10" i="27"/>
  <c r="L29" i="27"/>
  <c r="M23" i="27"/>
  <c r="M35" i="27"/>
  <c r="L43" i="27"/>
  <c r="M37" i="27"/>
  <c r="M39" i="27"/>
  <c r="M41" i="27"/>
  <c r="D29" i="27"/>
  <c r="M21" i="27"/>
  <c r="M25" i="27"/>
  <c r="M27" i="27"/>
  <c r="E43" i="27"/>
  <c r="C29" i="27"/>
  <c r="G43" i="27"/>
  <c r="G29" i="27"/>
  <c r="M36" i="27"/>
  <c r="M38" i="27"/>
  <c r="M40" i="27"/>
  <c r="M42" i="27"/>
  <c r="M22" i="27"/>
  <c r="M24" i="27"/>
  <c r="M26" i="27"/>
  <c r="M28" i="27"/>
  <c r="E11" i="27"/>
  <c r="E6" i="27"/>
  <c r="E7" i="27"/>
  <c r="E8" i="27"/>
  <c r="E29" i="27"/>
  <c r="D43" i="27"/>
  <c r="M43" i="27" l="1"/>
  <c r="M29" i="27"/>
  <c r="C13" i="7" l="1"/>
  <c r="C12" i="7"/>
  <c r="D13" i="7"/>
  <c r="D12" i="7"/>
  <c r="P36" i="7" l="1"/>
  <c r="E29" i="7" l="1"/>
  <c r="E30" i="7"/>
  <c r="E31" i="7"/>
  <c r="E32" i="7"/>
  <c r="E33" i="7"/>
  <c r="E34" i="7"/>
  <c r="E35" i="7"/>
  <c r="E36" i="7"/>
  <c r="C44" i="7" l="1"/>
  <c r="C45" i="7"/>
  <c r="C46" i="7"/>
  <c r="C47" i="7"/>
  <c r="C48" i="7"/>
  <c r="C49" i="7"/>
  <c r="C50" i="7"/>
  <c r="C43" i="7"/>
  <c r="C30" i="7"/>
  <c r="C31" i="7"/>
  <c r="C32" i="7"/>
  <c r="C33" i="7"/>
  <c r="C34" i="7"/>
  <c r="C35" i="7"/>
  <c r="C36" i="7"/>
  <c r="C29" i="7"/>
  <c r="P50" i="7"/>
  <c r="P49" i="7"/>
  <c r="P48" i="7"/>
  <c r="P47" i="7"/>
  <c r="P46" i="7"/>
  <c r="P45" i="7"/>
  <c r="P44" i="7"/>
  <c r="P43" i="7"/>
  <c r="P29" i="7"/>
  <c r="L50" i="7"/>
  <c r="K50" i="7"/>
  <c r="J50" i="7"/>
  <c r="I50" i="7"/>
  <c r="H50" i="7"/>
  <c r="G50" i="7"/>
  <c r="F50" i="7"/>
  <c r="E50" i="7"/>
  <c r="D50" i="7"/>
  <c r="L49" i="7"/>
  <c r="K49" i="7"/>
  <c r="J49" i="7"/>
  <c r="I49" i="7"/>
  <c r="H49" i="7"/>
  <c r="G49" i="7"/>
  <c r="F49" i="7"/>
  <c r="E49" i="7"/>
  <c r="D49" i="7"/>
  <c r="L48" i="7"/>
  <c r="K48" i="7"/>
  <c r="J48" i="7"/>
  <c r="I48" i="7"/>
  <c r="H48" i="7"/>
  <c r="G48" i="7"/>
  <c r="F48" i="7"/>
  <c r="E48" i="7"/>
  <c r="D48" i="7"/>
  <c r="L47" i="7"/>
  <c r="K47" i="7"/>
  <c r="J47" i="7"/>
  <c r="I47" i="7"/>
  <c r="H47" i="7"/>
  <c r="G47" i="7"/>
  <c r="F47" i="7"/>
  <c r="E47" i="7"/>
  <c r="D47" i="7"/>
  <c r="L46" i="7"/>
  <c r="K46" i="7"/>
  <c r="J46" i="7"/>
  <c r="I46" i="7"/>
  <c r="H46" i="7"/>
  <c r="G46" i="7"/>
  <c r="F46" i="7"/>
  <c r="E46" i="7"/>
  <c r="D46" i="7"/>
  <c r="L45" i="7"/>
  <c r="K45" i="7"/>
  <c r="J45" i="7"/>
  <c r="I45" i="7"/>
  <c r="H45" i="7"/>
  <c r="G45" i="7"/>
  <c r="F45" i="7"/>
  <c r="E45" i="7"/>
  <c r="D45" i="7"/>
  <c r="L44" i="7"/>
  <c r="K44" i="7"/>
  <c r="J44" i="7"/>
  <c r="I44" i="7"/>
  <c r="H44" i="7"/>
  <c r="G44" i="7"/>
  <c r="F44" i="7"/>
  <c r="E44" i="7"/>
  <c r="D44" i="7"/>
  <c r="L43" i="7"/>
  <c r="K43" i="7"/>
  <c r="J43" i="7"/>
  <c r="I43" i="7"/>
  <c r="H43" i="7"/>
  <c r="G43" i="7"/>
  <c r="F43" i="7"/>
  <c r="E43" i="7"/>
  <c r="D43" i="7"/>
  <c r="D30" i="7"/>
  <c r="D31" i="7"/>
  <c r="D32" i="7"/>
  <c r="D33" i="7"/>
  <c r="D34" i="7"/>
  <c r="D35" i="7"/>
  <c r="D36" i="7"/>
  <c r="D29" i="7"/>
  <c r="L30" i="7"/>
  <c r="L31" i="7"/>
  <c r="L32" i="7"/>
  <c r="L33" i="7"/>
  <c r="L34" i="7"/>
  <c r="L35" i="7"/>
  <c r="L36" i="7"/>
  <c r="L29" i="7"/>
  <c r="K30" i="7"/>
  <c r="K31" i="7"/>
  <c r="K32" i="7"/>
  <c r="K33" i="7"/>
  <c r="K34" i="7"/>
  <c r="K35" i="7"/>
  <c r="K36" i="7"/>
  <c r="K29" i="7"/>
  <c r="J30" i="7"/>
  <c r="J31" i="7"/>
  <c r="J32" i="7"/>
  <c r="J33" i="7"/>
  <c r="J34" i="7"/>
  <c r="J35" i="7"/>
  <c r="J36" i="7"/>
  <c r="J29" i="7"/>
  <c r="I30" i="7"/>
  <c r="I31" i="7"/>
  <c r="I32" i="7"/>
  <c r="I33" i="7"/>
  <c r="I34" i="7"/>
  <c r="I35" i="7"/>
  <c r="I36" i="7"/>
  <c r="I29" i="7"/>
  <c r="H30" i="7"/>
  <c r="H31" i="7"/>
  <c r="H32" i="7"/>
  <c r="H33" i="7"/>
  <c r="H34" i="7"/>
  <c r="H35" i="7"/>
  <c r="H36" i="7"/>
  <c r="H29" i="7"/>
  <c r="G30" i="7"/>
  <c r="G31" i="7"/>
  <c r="G32" i="7"/>
  <c r="G33" i="7"/>
  <c r="G34" i="7"/>
  <c r="G35" i="7"/>
  <c r="G36" i="7"/>
  <c r="G29" i="7"/>
  <c r="F36" i="7"/>
  <c r="F34" i="7"/>
  <c r="F33" i="7"/>
  <c r="F32" i="7"/>
  <c r="F31" i="7"/>
  <c r="F30" i="7"/>
  <c r="F35" i="7"/>
  <c r="F29" i="7"/>
  <c r="B14" i="12"/>
  <c r="I14" i="12"/>
  <c r="I21" i="12"/>
  <c r="H21" i="12"/>
  <c r="G21" i="12"/>
  <c r="F21" i="12"/>
  <c r="E21" i="12"/>
  <c r="D21" i="12"/>
  <c r="C21" i="12"/>
  <c r="B21" i="12"/>
  <c r="I20" i="12"/>
  <c r="H20" i="12"/>
  <c r="G20" i="12"/>
  <c r="F20" i="12"/>
  <c r="E20" i="12"/>
  <c r="D20" i="12"/>
  <c r="C20" i="12"/>
  <c r="B20" i="12"/>
  <c r="I19" i="12"/>
  <c r="H19" i="12"/>
  <c r="G19" i="12"/>
  <c r="F19" i="12"/>
  <c r="E19" i="12"/>
  <c r="D19" i="12"/>
  <c r="C19" i="12"/>
  <c r="B19" i="12"/>
  <c r="I18" i="12"/>
  <c r="H18" i="12"/>
  <c r="G18" i="12"/>
  <c r="F18" i="12"/>
  <c r="E18" i="12"/>
  <c r="D18" i="12"/>
  <c r="C18" i="12"/>
  <c r="B18" i="12"/>
  <c r="I17" i="12"/>
  <c r="H17" i="12"/>
  <c r="G17" i="12"/>
  <c r="F17" i="12"/>
  <c r="E17" i="12"/>
  <c r="D17" i="12"/>
  <c r="C17" i="12"/>
  <c r="B17" i="12"/>
  <c r="I16" i="12"/>
  <c r="H16" i="12"/>
  <c r="G16" i="12"/>
  <c r="F16" i="12"/>
  <c r="E16" i="12"/>
  <c r="D16" i="12"/>
  <c r="C16" i="12"/>
  <c r="B16" i="12"/>
  <c r="I15" i="12"/>
  <c r="H15" i="12"/>
  <c r="G15" i="12"/>
  <c r="F15" i="12"/>
  <c r="E15" i="12"/>
  <c r="D15" i="12"/>
  <c r="C15" i="12"/>
  <c r="B15" i="12"/>
  <c r="H14" i="12"/>
  <c r="G14" i="12"/>
  <c r="F14" i="12"/>
  <c r="E14" i="12"/>
  <c r="D14" i="12"/>
  <c r="C14" i="12"/>
  <c r="I10" i="12"/>
  <c r="H10" i="12"/>
  <c r="G10" i="12"/>
  <c r="F10" i="12"/>
  <c r="E10" i="12"/>
  <c r="D10" i="12"/>
  <c r="C10" i="12"/>
  <c r="B10" i="12"/>
  <c r="I9" i="12"/>
  <c r="H9" i="12"/>
  <c r="G9" i="12"/>
  <c r="F9" i="12"/>
  <c r="E9" i="12"/>
  <c r="D9" i="12"/>
  <c r="C9" i="12"/>
  <c r="B9" i="12"/>
  <c r="I8" i="12"/>
  <c r="H8" i="12"/>
  <c r="G8" i="12"/>
  <c r="F8" i="12"/>
  <c r="E8" i="12"/>
  <c r="D8" i="12"/>
  <c r="C8" i="12"/>
  <c r="B8" i="12"/>
  <c r="I7" i="12"/>
  <c r="H7" i="12"/>
  <c r="G7" i="12"/>
  <c r="F7" i="12"/>
  <c r="E7" i="12"/>
  <c r="D7" i="12"/>
  <c r="C7" i="12"/>
  <c r="B7" i="12"/>
  <c r="I6" i="12"/>
  <c r="H6" i="12"/>
  <c r="G6" i="12"/>
  <c r="F6" i="12"/>
  <c r="E6" i="12"/>
  <c r="D6" i="12"/>
  <c r="C6" i="12"/>
  <c r="B6" i="12"/>
  <c r="I5" i="12"/>
  <c r="H5" i="12"/>
  <c r="G5" i="12"/>
  <c r="F5" i="12"/>
  <c r="E5" i="12"/>
  <c r="D5" i="12"/>
  <c r="C5" i="12"/>
  <c r="B5" i="12"/>
  <c r="I4" i="12"/>
  <c r="H4" i="12"/>
  <c r="G4" i="12"/>
  <c r="F4" i="12"/>
  <c r="E4" i="12"/>
  <c r="D4" i="12"/>
  <c r="C4" i="12"/>
  <c r="B4" i="12"/>
  <c r="H3" i="12"/>
  <c r="G3" i="12"/>
  <c r="F3" i="12"/>
  <c r="E3" i="12"/>
  <c r="D3" i="12"/>
  <c r="C3" i="12"/>
  <c r="B3" i="12"/>
  <c r="L15" i="12" l="1"/>
  <c r="P35" i="36" s="1"/>
  <c r="K15" i="12"/>
  <c r="O35" i="36" s="1"/>
  <c r="L18" i="12"/>
  <c r="P37" i="36" s="1"/>
  <c r="K18" i="12"/>
  <c r="O37" i="36" s="1"/>
  <c r="L19" i="12"/>
  <c r="P38" i="36" s="1"/>
  <c r="K19" i="12"/>
  <c r="O38" i="36" s="1"/>
  <c r="L20" i="12"/>
  <c r="P39" i="36" s="1"/>
  <c r="K20" i="12"/>
  <c r="O39" i="36" s="1"/>
  <c r="K21" i="12"/>
  <c r="O40" i="36" s="1"/>
  <c r="L21" i="12"/>
  <c r="L16" i="12"/>
  <c r="K16" i="12"/>
  <c r="L14" i="12"/>
  <c r="K14" i="12"/>
  <c r="L17" i="12"/>
  <c r="P36" i="36" s="1"/>
  <c r="K17" i="12"/>
  <c r="O36" i="36" s="1"/>
  <c r="K3" i="12"/>
  <c r="L3" i="12"/>
  <c r="L4" i="12"/>
  <c r="K4" i="12"/>
  <c r="O22" i="36" s="1"/>
  <c r="K5" i="12"/>
  <c r="L5" i="12"/>
  <c r="K6" i="12"/>
  <c r="O23" i="36" s="1"/>
  <c r="L6" i="12"/>
  <c r="K7" i="12"/>
  <c r="O24" i="36" s="1"/>
  <c r="L7" i="12"/>
  <c r="K8" i="12"/>
  <c r="O25" i="36" s="1"/>
  <c r="L8" i="12"/>
  <c r="K9" i="12"/>
  <c r="O26" i="36" s="1"/>
  <c r="L9" i="12"/>
  <c r="K10" i="12"/>
  <c r="O27" i="36" s="1"/>
  <c r="L10" i="12"/>
  <c r="M45" i="7"/>
  <c r="M44" i="7"/>
  <c r="C37" i="7"/>
  <c r="M46" i="7"/>
  <c r="M47" i="7"/>
  <c r="M48" i="7"/>
  <c r="M49" i="7"/>
  <c r="M50" i="7"/>
  <c r="F37" i="7"/>
  <c r="M43" i="7"/>
  <c r="L51" i="7"/>
  <c r="H51" i="7"/>
  <c r="P51" i="7"/>
  <c r="C51" i="7"/>
  <c r="J51" i="7"/>
  <c r="F51" i="7"/>
  <c r="I51" i="7"/>
  <c r="E51" i="7"/>
  <c r="D51" i="7"/>
  <c r="K51" i="7"/>
  <c r="G51" i="7"/>
  <c r="O28" i="36" l="1"/>
  <c r="P40" i="36"/>
  <c r="P41" i="36" s="1"/>
  <c r="O41" i="36"/>
  <c r="P27" i="36"/>
  <c r="P26" i="36"/>
  <c r="P25" i="36"/>
  <c r="P24" i="36"/>
  <c r="P23" i="36"/>
  <c r="P22" i="36"/>
  <c r="O50" i="31"/>
  <c r="O42" i="27"/>
  <c r="N49" i="7"/>
  <c r="N49" i="31"/>
  <c r="N41" i="27"/>
  <c r="N43" i="7"/>
  <c r="N43" i="31"/>
  <c r="N35" i="27"/>
  <c r="O49" i="31"/>
  <c r="O41" i="27"/>
  <c r="O43" i="31"/>
  <c r="O35" i="27"/>
  <c r="N48" i="7"/>
  <c r="N48" i="31"/>
  <c r="N40" i="27"/>
  <c r="N50" i="7"/>
  <c r="N50" i="31"/>
  <c r="N42" i="27"/>
  <c r="N46" i="7"/>
  <c r="N46" i="31"/>
  <c r="N38" i="27"/>
  <c r="O48" i="31"/>
  <c r="O40" i="27"/>
  <c r="N45" i="7"/>
  <c r="N45" i="31"/>
  <c r="N37" i="27"/>
  <c r="N44" i="7"/>
  <c r="N44" i="31"/>
  <c r="N36" i="27"/>
  <c r="O45" i="31"/>
  <c r="O37" i="27"/>
  <c r="N47" i="7"/>
  <c r="N47" i="31"/>
  <c r="N39" i="27"/>
  <c r="O46" i="31"/>
  <c r="O38" i="27"/>
  <c r="O47" i="31"/>
  <c r="O39" i="27"/>
  <c r="O44" i="31"/>
  <c r="O36" i="27"/>
  <c r="N29" i="31"/>
  <c r="N21" i="27"/>
  <c r="O29" i="31"/>
  <c r="O21" i="27"/>
  <c r="O44" i="7"/>
  <c r="O43" i="7"/>
  <c r="O45" i="7"/>
  <c r="O47" i="7"/>
  <c r="M51" i="7"/>
  <c r="O49" i="7"/>
  <c r="O48" i="7"/>
  <c r="O50" i="7"/>
  <c r="O46" i="7"/>
  <c r="P28" i="36" l="1"/>
  <c r="O51" i="31"/>
  <c r="O43" i="27"/>
  <c r="E11" i="7"/>
  <c r="O51" i="7"/>
  <c r="E9" i="7"/>
  <c r="E10" i="7"/>
  <c r="E8" i="7"/>
  <c r="E7" i="7"/>
  <c r="E6" i="7"/>
  <c r="P30" i="7"/>
  <c r="P31" i="7"/>
  <c r="P32" i="7"/>
  <c r="P33" i="7"/>
  <c r="P34" i="7"/>
  <c r="P35" i="7"/>
  <c r="M29" i="7"/>
  <c r="O33" i="31" l="1"/>
  <c r="O25" i="27"/>
  <c r="O34" i="31"/>
  <c r="O26" i="27"/>
  <c r="P37" i="7"/>
  <c r="M35" i="7"/>
  <c r="E37" i="7"/>
  <c r="G37" i="7"/>
  <c r="H37" i="7"/>
  <c r="I37" i="7"/>
  <c r="L37" i="7"/>
  <c r="O29" i="7"/>
  <c r="M30" i="7"/>
  <c r="M33" i="7"/>
  <c r="O33" i="7" s="1"/>
  <c r="M36" i="7"/>
  <c r="M34" i="7"/>
  <c r="O34" i="7" s="1"/>
  <c r="M32" i="7"/>
  <c r="M31" i="7"/>
  <c r="N29" i="7"/>
  <c r="K37" i="7"/>
  <c r="J37" i="7"/>
  <c r="D37" i="7"/>
  <c r="N34" i="7" l="1"/>
  <c r="N34" i="31"/>
  <c r="N26" i="27"/>
  <c r="N36" i="7"/>
  <c r="N36" i="31"/>
  <c r="N28" i="27"/>
  <c r="N35" i="7"/>
  <c r="N35" i="31"/>
  <c r="N27" i="27"/>
  <c r="O35" i="31"/>
  <c r="O27" i="27"/>
  <c r="O30" i="31"/>
  <c r="O22" i="27"/>
  <c r="N30" i="7"/>
  <c r="N30" i="31"/>
  <c r="N22" i="27"/>
  <c r="N31" i="7"/>
  <c r="N31" i="31"/>
  <c r="N23" i="27"/>
  <c r="N32" i="7"/>
  <c r="N32" i="31"/>
  <c r="N24" i="27"/>
  <c r="O31" i="31"/>
  <c r="O23" i="27"/>
  <c r="N33" i="7"/>
  <c r="N33" i="31"/>
  <c r="N25" i="27"/>
  <c r="O36" i="31"/>
  <c r="O28" i="27"/>
  <c r="O32" i="31"/>
  <c r="O24" i="27"/>
  <c r="O30" i="7"/>
  <c r="O31" i="7"/>
  <c r="O35" i="7"/>
  <c r="O36" i="7"/>
  <c r="O32" i="7"/>
  <c r="M37" i="7"/>
  <c r="O37" i="31" l="1"/>
  <c r="O29" i="27"/>
  <c r="O37" i="7"/>
  <c r="C6" i="7"/>
  <c r="D8" i="7"/>
  <c r="D7" i="7"/>
  <c r="D6" i="7"/>
  <c r="K4" i="10"/>
  <c r="J4" i="10"/>
  <c r="K3" i="10"/>
  <c r="J3" i="10"/>
  <c r="K2" i="10"/>
  <c r="J2" i="10"/>
  <c r="I4" i="10"/>
  <c r="I3" i="10"/>
  <c r="G8" i="7"/>
  <c r="G7" i="7"/>
  <c r="G6" i="7"/>
  <c r="D11" i="7"/>
  <c r="D10" i="7"/>
  <c r="D9" i="7"/>
  <c r="C11" i="7"/>
  <c r="C10" i="7"/>
  <c r="C9" i="7"/>
  <c r="C8" i="7"/>
  <c r="C7" i="7"/>
  <c r="F2" i="10" l="1"/>
  <c r="H6" i="31" s="1"/>
  <c r="F4" i="10"/>
  <c r="F3" i="10"/>
  <c r="M3" i="10"/>
  <c r="M2" i="10"/>
  <c r="M4" i="10"/>
  <c r="H8" i="27" l="1"/>
  <c r="H8" i="31"/>
  <c r="H7" i="27"/>
  <c r="H7" i="31"/>
  <c r="H6" i="7"/>
  <c r="H6" i="27"/>
  <c r="H8" i="7"/>
  <c r="H7" i="7"/>
  <c r="C5" i="7" l="1"/>
  <c r="D2" i="7"/>
  <c r="B4" i="5"/>
  <c r="C26" i="5"/>
  <c r="M41" i="5"/>
  <c r="N41" i="5"/>
  <c r="N26" i="5"/>
  <c r="M26" i="5"/>
  <c r="K26" i="5"/>
  <c r="K41" i="5"/>
  <c r="C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Hulen, Matt</author>
  </authors>
  <commentList>
    <comment ref="G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1st, yellow 2nd, red 3rd</t>
        </r>
      </text>
    </comment>
    <comment ref="G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1st, yellow 2nd, red 3rd</t>
        </r>
      </text>
    </comment>
    <comment ref="B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above goal/ red below goal. Please ensure to usee CS D:00.</t>
        </r>
      </text>
    </comment>
    <comment ref="C7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above goal/ red below goal. Please ensure to usee CS D:00.</t>
        </r>
      </text>
    </comment>
    <comment ref="G7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1st, yellow 2nd, red 3rd</t>
        </r>
      </text>
    </comment>
    <comment ref="B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above goal/ red below goal. Please ensure to usee CS D:00.</t>
        </r>
      </text>
    </comment>
    <comment ref="C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above goal/ red below goal. Please ensure to usee CS D:00.</t>
        </r>
      </text>
    </comment>
    <comment ref="B9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above goal/ red below goal</t>
        </r>
      </text>
    </comment>
    <comment ref="C9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above goal/ red below goal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Hulen, Matt</author>
  </authors>
  <commentList>
    <comment ref="H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1st, yellow 2nd, red 3rd</t>
        </r>
      </text>
    </comment>
    <comment ref="H7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1st, yellow 2nd, red 3rd</t>
        </r>
      </text>
    </comment>
    <comment ref="C8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above goal/ red below goal. Please ensure to usee CS D:00.</t>
        </r>
      </text>
    </comment>
    <comment ref="D8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above goal/ red below goal. Please ensure to usee CS D:00.</t>
        </r>
      </text>
    </comment>
    <comment ref="H8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1st, yellow 2nd, red 3rd</t>
        </r>
      </text>
    </comment>
    <comment ref="C9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above goal/ red below goal. Please ensure to usee CS D:00.</t>
        </r>
      </text>
    </comment>
    <comment ref="D9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above goal/ red below goal. Please ensure to usee CS D:00.</t>
        </r>
      </text>
    </comment>
    <comment ref="C10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above goal/ red below goal</t>
        </r>
      </text>
    </comment>
    <comment ref="D10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above goal/ red below goal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Hulen, Matt</author>
  </authors>
  <commentList>
    <comment ref="H6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1st, yellow 2nd, red 3rd</t>
        </r>
      </text>
    </comment>
    <comment ref="H7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1st, yellow 2nd, red 3rd</t>
        </r>
      </text>
    </comment>
    <comment ref="C8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above goal/ red below goal. Please ensure to usee CS D:00.</t>
        </r>
      </text>
    </comment>
    <comment ref="D8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above goal/ red below goal. Please ensure to usee CS D:00.</t>
        </r>
      </text>
    </comment>
    <comment ref="H8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1st, yellow 2nd, red 3rd</t>
        </r>
      </text>
    </comment>
    <comment ref="C9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above goal/ red below goal. Please ensure to usee CS D:00.</t>
        </r>
      </text>
    </comment>
    <comment ref="D9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above goal/ red below goal. Please ensure to usee CS D:00.</t>
        </r>
      </text>
    </comment>
    <comment ref="C10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above goal/ red below goal</t>
        </r>
      </text>
    </comment>
    <comment ref="D10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above goal/ red below goal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Hulen, Matt</author>
  </authors>
  <commentList>
    <comment ref="H6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1st, yellow 2nd, red 3rd</t>
        </r>
      </text>
    </comment>
    <comment ref="H7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1st, yellow 2nd, red 3rd</t>
        </r>
      </text>
    </comment>
    <comment ref="C8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above goal/ red below goal. Please ensure to usee CS D:00.</t>
        </r>
      </text>
    </comment>
    <comment ref="D8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above goal/ red below goal. Please ensure to usee CS D:00.</t>
        </r>
      </text>
    </comment>
    <comment ref="H8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1st, yellow 2nd, red 3rd</t>
        </r>
      </text>
    </comment>
    <comment ref="C9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above goal/ red below goal. Please ensure to usee CS D:00.</t>
        </r>
      </text>
    </comment>
    <comment ref="D9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above goal/ red below goal. Please ensure to usee CS D:00.</t>
        </r>
      </text>
    </comment>
    <comment ref="C10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above goal/ red below goal</t>
        </r>
      </text>
    </comment>
    <comment ref="D10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above goal/ red below goal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Hulen, Matt</author>
  </authors>
  <commentList>
    <comment ref="I4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Hulen, Matt:</t>
        </r>
        <r>
          <rPr>
            <sz val="9"/>
            <color indexed="81"/>
            <rFont val="Tahoma"/>
            <family val="2"/>
          </rPr>
          <t xml:space="preserve">
Green above goal/ red below goal. Please ensure to usee CS D:00.</t>
        </r>
      </text>
    </comment>
  </commentList>
</comments>
</file>

<file path=xl/sharedStrings.xml><?xml version="1.0" encoding="utf-8"?>
<sst xmlns="http://schemas.openxmlformats.org/spreadsheetml/2006/main" count="2042" uniqueCount="519">
  <si>
    <t xml:space="preserve">D:00 </t>
  </si>
  <si>
    <t>Completion</t>
  </si>
  <si>
    <t>Controllable Completion</t>
  </si>
  <si>
    <t>Express Partner</t>
  </si>
  <si>
    <t>Scheduled</t>
  </si>
  <si>
    <t>Departures</t>
  </si>
  <si>
    <t>Weather &amp;</t>
  </si>
  <si>
    <t>ATC</t>
  </si>
  <si>
    <t>Technical</t>
  </si>
  <si>
    <t>Operations</t>
  </si>
  <si>
    <t>Flight</t>
  </si>
  <si>
    <t>Inflight</t>
  </si>
  <si>
    <t>Services</t>
  </si>
  <si>
    <t>Airport</t>
  </si>
  <si>
    <t>Network</t>
  </si>
  <si>
    <t>IT</t>
  </si>
  <si>
    <t>Catering Operations</t>
  </si>
  <si>
    <t>Total</t>
  </si>
  <si>
    <t>EV - ExpressJet</t>
  </si>
  <si>
    <t>OO - SkyWest</t>
  </si>
  <si>
    <t>AX - Trans States</t>
  </si>
  <si>
    <t>YX - Republic</t>
  </si>
  <si>
    <t>G7 - Go Jet</t>
  </si>
  <si>
    <t>C5 - CommutAir</t>
  </si>
  <si>
    <t>YV - Mesa</t>
  </si>
  <si>
    <t>ZW - Air Wisconsin</t>
  </si>
  <si>
    <t>Total:</t>
  </si>
  <si>
    <t>Cancel Detail</t>
  </si>
  <si>
    <t>Residual Cancel Detail</t>
  </si>
  <si>
    <t>Total Cancels</t>
  </si>
  <si>
    <t>Goal</t>
  </si>
  <si>
    <t>STAR D:00</t>
  </si>
  <si>
    <t>A:00</t>
  </si>
  <si>
    <t>Metric</t>
  </si>
  <si>
    <t>Reliability Snapshot</t>
  </si>
  <si>
    <t>DL Difference</t>
  </si>
  <si>
    <t>AA Difference</t>
  </si>
  <si>
    <t>MTD</t>
  </si>
  <si>
    <t>Rank</t>
  </si>
  <si>
    <t>UAX Daily Snapshot for</t>
  </si>
  <si>
    <t>-</t>
  </si>
  <si>
    <t>OO 2, AX 1</t>
  </si>
  <si>
    <t>ZW 2</t>
  </si>
  <si>
    <t>ZW 1</t>
  </si>
  <si>
    <t>OO 2, AX 5</t>
  </si>
  <si>
    <t>OO 2, C5 1</t>
  </si>
  <si>
    <t>ES covered by this partner</t>
  </si>
  <si>
    <t>ES covered for this partner</t>
  </si>
  <si>
    <t xml:space="preserve">CS D:00 </t>
  </si>
  <si>
    <t>UA</t>
  </si>
  <si>
    <t>Express</t>
  </si>
  <si>
    <t>AA</t>
  </si>
  <si>
    <t>DL</t>
  </si>
  <si>
    <t>Rank_Yest</t>
  </si>
  <si>
    <t>Rank_DateMinus2</t>
  </si>
  <si>
    <t>C5</t>
  </si>
  <si>
    <t>WEATHER/ATC</t>
  </si>
  <si>
    <t>EV</t>
  </si>
  <si>
    <t>FLIGHT OPERATIONS</t>
  </si>
  <si>
    <t>ZW</t>
  </si>
  <si>
    <t>OO</t>
  </si>
  <si>
    <t>TECHNICAL OPERATIONS-AIRCRAFT</t>
  </si>
  <si>
    <t>YV</t>
  </si>
  <si>
    <t>YX</t>
  </si>
  <si>
    <t>AX</t>
  </si>
  <si>
    <t>G7</t>
  </si>
  <si>
    <t>Other</t>
  </si>
  <si>
    <t>AIRPORT OPERATIONS</t>
  </si>
  <si>
    <t>CATERING OPERATIONS</t>
  </si>
  <si>
    <t>INFLIGHT SERVICES</t>
  </si>
  <si>
    <t>NETWORK OPERATIONS CENTER</t>
  </si>
  <si>
    <t>OTHER</t>
  </si>
  <si>
    <t>TECHNOLOGY</t>
  </si>
  <si>
    <t>Net Cancel</t>
  </si>
  <si>
    <t>HTML_PAGES</t>
  </si>
  <si>
    <t>PAGE_1</t>
  </si>
  <si>
    <t>REPORT_MONTH</t>
  </si>
  <si>
    <t>DL Diff.</t>
  </si>
  <si>
    <t>AA Diff.</t>
  </si>
  <si>
    <t>Weather &amp; ATC</t>
  </si>
  <si>
    <t>Technical Operations</t>
  </si>
  <si>
    <t>Flight Operations</t>
  </si>
  <si>
    <t>Inflight Services</t>
  </si>
  <si>
    <t>Airport Operations</t>
  </si>
  <si>
    <t>Network Operations</t>
  </si>
  <si>
    <t>Scheduled Departures</t>
  </si>
  <si>
    <t>ES Covered for this partner</t>
  </si>
  <si>
    <t>Total diverts</t>
  </si>
  <si>
    <t>Diverts recovered</t>
  </si>
  <si>
    <t>Hub</t>
  </si>
  <si>
    <t>DEN</t>
  </si>
  <si>
    <t>EWR</t>
  </si>
  <si>
    <t>IAD</t>
  </si>
  <si>
    <t>ORD</t>
  </si>
  <si>
    <t>IAH</t>
  </si>
  <si>
    <t>LAX</t>
  </si>
  <si>
    <t>SFO</t>
  </si>
  <si>
    <t>Line</t>
  </si>
  <si>
    <t>CS D:00</t>
  </si>
  <si>
    <t>D:00</t>
  </si>
  <si>
    <t>Reliability Snapshot - SYS</t>
  </si>
  <si>
    <t>Reliability Snapshot - Hubs</t>
  </si>
  <si>
    <t>CITY</t>
  </si>
  <si>
    <t>Chicago</t>
  </si>
  <si>
    <t>Denver</t>
  </si>
  <si>
    <t>Los Angeles</t>
  </si>
  <si>
    <t>New York</t>
  </si>
  <si>
    <t>San Francisco</t>
  </si>
  <si>
    <t>Texas</t>
  </si>
  <si>
    <t>Washington DC</t>
  </si>
  <si>
    <t>Market</t>
  </si>
  <si>
    <t>CARRIER</t>
  </si>
  <si>
    <t>ML_EX_IND</t>
  </si>
  <si>
    <r>
      <rPr>
        <b/>
        <sz val="10"/>
        <color rgb="FFFF0000"/>
        <rFont val="Calibri"/>
        <family val="2"/>
        <scheme val="minor"/>
      </rPr>
      <t>DL</t>
    </r>
    <r>
      <rPr>
        <sz val="10"/>
        <color rgb="FFFF0000"/>
        <rFont val="Calibri"/>
        <family val="2"/>
        <scheme val="minor"/>
      </rPr>
      <t xml:space="preserve"> - 0.7 </t>
    </r>
    <r>
      <rPr>
        <b/>
        <sz val="10"/>
        <color rgb="FFFF0000"/>
        <rFont val="Calibri"/>
        <family val="2"/>
        <scheme val="minor"/>
      </rPr>
      <t>AA</t>
    </r>
    <r>
      <rPr>
        <sz val="10"/>
        <color rgb="FFFF0000"/>
        <rFont val="Calibri"/>
        <family val="2"/>
        <scheme val="minor"/>
      </rPr>
      <t xml:space="preserve"> - (8.0)</t>
    </r>
  </si>
  <si>
    <r>
      <rPr>
        <b/>
        <sz val="10"/>
        <color rgb="FFFF0000"/>
        <rFont val="Calibri"/>
        <family val="2"/>
        <scheme val="minor"/>
      </rPr>
      <t>AA</t>
    </r>
    <r>
      <rPr>
        <sz val="10"/>
        <color rgb="FFFF0000"/>
        <rFont val="Calibri"/>
        <family val="2"/>
        <scheme val="minor"/>
      </rPr>
      <t xml:space="preserve"> - (8.0)</t>
    </r>
  </si>
  <si>
    <r>
      <rPr>
        <b/>
        <sz val="10"/>
        <color rgb="FFFF0000"/>
        <rFont val="Calibri"/>
        <family val="2"/>
        <scheme val="minor"/>
      </rPr>
      <t>AS</t>
    </r>
    <r>
      <rPr>
        <sz val="10"/>
        <color rgb="FFFF0000"/>
        <rFont val="Calibri"/>
        <family val="2"/>
        <scheme val="minor"/>
      </rPr>
      <t xml:space="preserve"> - (8.0)</t>
    </r>
  </si>
  <si>
    <t>AS Diff.</t>
  </si>
  <si>
    <t>AS</t>
  </si>
  <si>
    <t>Yest_Scheduled_Flights</t>
  </si>
  <si>
    <t>Yest_D00_Flights</t>
  </si>
  <si>
    <t>Yest_Completed_Flights</t>
  </si>
  <si>
    <t>Yet to depart</t>
  </si>
  <si>
    <t>To be updated</t>
  </si>
  <si>
    <t>LINE</t>
  </si>
  <si>
    <t>Repositioned flights</t>
  </si>
  <si>
    <t>CARRIER_CD</t>
  </si>
  <si>
    <t xml:space="preserve">XX  </t>
  </si>
  <si>
    <t>SEL</t>
  </si>
  <si>
    <t xml:space="preserve">CARRIER_CD, </t>
  </si>
  <si>
    <t xml:space="preserve"> FROM  CO_PROD_VMDB.OPFL_GOAL_OA r</t>
  </si>
  <si>
    <t xml:space="preserve"> </t>
  </si>
  <si>
    <t>WHERE REPORT_YEAR  = 2020</t>
  </si>
  <si>
    <t>AND CARRIER_CD = 'XX'</t>
  </si>
  <si>
    <t>AND STA_CD = 'SYS'</t>
  </si>
  <si>
    <t>(GT_D0_GL/100)</t>
  </si>
  <si>
    <t>(A0_GL/100)</t>
  </si>
  <si>
    <t>(CF_GL/100)</t>
  </si>
  <si>
    <t>(GT_STAR0_GL/100)</t>
  </si>
  <si>
    <t>(CCF_GL/100)</t>
  </si>
  <si>
    <t>--STA_CD,</t>
  </si>
  <si>
    <t>,GT_D0_GL/100</t>
  </si>
  <si>
    <t>,A0_GL/100</t>
  </si>
  <si>
    <t>,CF_GL/100</t>
  </si>
  <si>
    <t>,GT_STAR0_GL/100</t>
  </si>
  <si>
    <t>,CCF_GL/100</t>
  </si>
  <si>
    <t>ORDER BY 1,2</t>
  </si>
  <si>
    <t>Metrics</t>
  </si>
  <si>
    <t>Latest</t>
  </si>
  <si>
    <t>Last 7 Days</t>
  </si>
  <si>
    <t>Reliability Metrics</t>
  </si>
  <si>
    <t>A00</t>
  </si>
  <si>
    <t>A14</t>
  </si>
  <si>
    <t>CD00</t>
  </si>
  <si>
    <t>D00</t>
  </si>
  <si>
    <t>STAR D00</t>
  </si>
  <si>
    <t>Delays</t>
  </si>
  <si>
    <t xml:space="preserve">1-15 mins delays </t>
  </si>
  <si>
    <t>&gt;15 mins delays</t>
  </si>
  <si>
    <t>Flight Ops delays</t>
  </si>
  <si>
    <t xml:space="preserve">          Crew Connections</t>
  </si>
  <si>
    <t xml:space="preserve">          Crew Availability</t>
  </si>
  <si>
    <t xml:space="preserve">          Ops Process</t>
  </si>
  <si>
    <t>Inflight Delays</t>
  </si>
  <si>
    <t>Diverts</t>
  </si>
  <si>
    <t>UAX Daily Snapshot</t>
  </si>
  <si>
    <t>Reliability Snapshot - Hubs Competitor Analysis</t>
  </si>
  <si>
    <t>Line Stations</t>
  </si>
  <si>
    <t>Line Int</t>
  </si>
  <si>
    <t>Line Dom</t>
  </si>
  <si>
    <t>Airport Operation</t>
  </si>
  <si>
    <t>Network Operation</t>
  </si>
  <si>
    <t/>
  </si>
  <si>
    <t>Notes:</t>
  </si>
  <si>
    <t xml:space="preserve">1. The hubs/operating bases considered for all airlines are as follows:
</t>
  </si>
  <si>
    <t xml:space="preserve">UA -  SFO, LAX, DEN, IAH, EWR, IAD, ORD </t>
  </si>
  <si>
    <t>AA - CLT, MIA, PHX, DCA, ORD, PHL, DFW</t>
  </si>
  <si>
    <t>DL - ATL, DTW, LAX, JFK, LGA, MSP, SLC, SEA</t>
  </si>
  <si>
    <t>sked</t>
  </si>
  <si>
    <t>L7D</t>
  </si>
  <si>
    <t>Rank_MTD</t>
  </si>
  <si>
    <t>Scheduled_Flights</t>
  </si>
  <si>
    <t>Completed_Flights</t>
  </si>
  <si>
    <t>dep0_cnt</t>
  </si>
  <si>
    <t>new_dep0_cnt</t>
  </si>
  <si>
    <t>arr0_cnt</t>
  </si>
  <si>
    <t>arr14_cnt</t>
  </si>
  <si>
    <t>dep0_cnt_yest</t>
  </si>
  <si>
    <t>new_dep0_cnt_yest</t>
  </si>
  <si>
    <t>arr0_cnt_yest</t>
  </si>
  <si>
    <t>dep_cnt</t>
  </si>
  <si>
    <t>arr_cnt</t>
  </si>
  <si>
    <t>dep_cnt_yest</t>
  </si>
  <si>
    <t>arr_cnt_yest</t>
  </si>
  <si>
    <t>carrier</t>
  </si>
  <si>
    <t>report_yr</t>
  </si>
  <si>
    <t>report_month</t>
  </si>
  <si>
    <t>ml_ex_ind</t>
  </si>
  <si>
    <t>D00_Flights</t>
  </si>
  <si>
    <t>A00_Flights</t>
  </si>
  <si>
    <t>A14_Flights</t>
  </si>
  <si>
    <t>Yest_A00_Flights</t>
  </si>
  <si>
    <t>Yest_A14_Flights</t>
  </si>
  <si>
    <t>DateMinus2_Scheduled_Flights</t>
  </si>
  <si>
    <t>DateMinus2_D00_Flights</t>
  </si>
  <si>
    <t>DateMinus2_Completed_Flights</t>
  </si>
  <si>
    <t>DateMinus2_A00_Flights</t>
  </si>
  <si>
    <t>DateMinus2_A14_Flights</t>
  </si>
  <si>
    <t>ex_company_id</t>
  </si>
  <si>
    <t>YEST</t>
  </si>
  <si>
    <t>divert_unrecovered</t>
  </si>
  <si>
    <t>divert_recovered</t>
  </si>
  <si>
    <t>sched_flt_now</t>
  </si>
  <si>
    <t>a0_flt_now</t>
  </si>
  <si>
    <t>a14_flt_now</t>
  </si>
  <si>
    <t>d0_flt_now_o</t>
  </si>
  <si>
    <t>d0_flt_now</t>
  </si>
  <si>
    <t>sched_flt_dateminus2</t>
  </si>
  <si>
    <t>a0_flt_dateminus2</t>
  </si>
  <si>
    <t>a14_flt_dateminus2</t>
  </si>
  <si>
    <t>d0_flt_dateminus2_o</t>
  </si>
  <si>
    <t>d0_flt_dateminus2</t>
  </si>
  <si>
    <t>sched_flt_mtd</t>
  </si>
  <si>
    <t>a0_flt_mtd</t>
  </si>
  <si>
    <t>a14_flt_mtd</t>
  </si>
  <si>
    <t>d0_flt_mtd_o</t>
  </si>
  <si>
    <t>d0_flt_mtd</t>
  </si>
  <si>
    <t>in_sched_flt_now</t>
  </si>
  <si>
    <t>in_sched_flt_mtd</t>
  </si>
  <si>
    <t>DCA</t>
  </si>
  <si>
    <t>LGA</t>
  </si>
  <si>
    <t>count_flights</t>
  </si>
  <si>
    <t>sched_flt_ytd</t>
  </si>
  <si>
    <t>comp_flt_ytd</t>
  </si>
  <si>
    <t>a0_flt_ytd</t>
  </si>
  <si>
    <t>a14_flt_ytd</t>
  </si>
  <si>
    <t>d0_flt_ytd_o</t>
  </si>
  <si>
    <t>d0_flt_ytd</t>
  </si>
  <si>
    <t>in_sched_flt_ytd</t>
  </si>
  <si>
    <t>JAC</t>
  </si>
  <si>
    <t>SAV</t>
  </si>
  <si>
    <t>ABQ</t>
  </si>
  <si>
    <t>FAR</t>
  </si>
  <si>
    <t>SAT</t>
  </si>
  <si>
    <t>YQB</t>
  </si>
  <si>
    <t>LRD</t>
  </si>
  <si>
    <t>ROA</t>
  </si>
  <si>
    <t>CRP</t>
  </si>
  <si>
    <t>AMA</t>
  </si>
  <si>
    <t>BHM</t>
  </si>
  <si>
    <t>SBN</t>
  </si>
  <si>
    <t>VCT</t>
  </si>
  <si>
    <t>BOS</t>
  </si>
  <si>
    <t>VEL</t>
  </si>
  <si>
    <t>BTV</t>
  </si>
  <si>
    <t>TVC</t>
  </si>
  <si>
    <t>GCC</t>
  </si>
  <si>
    <t>XNA</t>
  </si>
  <si>
    <t>PBC</t>
  </si>
  <si>
    <t>FOD</t>
  </si>
  <si>
    <t>SUX</t>
  </si>
  <si>
    <t>GEG</t>
  </si>
  <si>
    <t>YYZ</t>
  </si>
  <si>
    <t>HLN</t>
  </si>
  <si>
    <t>MBS</t>
  </si>
  <si>
    <t>ELP</t>
  </si>
  <si>
    <t>COS</t>
  </si>
  <si>
    <t>SCE</t>
  </si>
  <si>
    <t>OTH</t>
  </si>
  <si>
    <t>ATW</t>
  </si>
  <si>
    <t>CLE</t>
  </si>
  <si>
    <t>FAT</t>
  </si>
  <si>
    <t>MTY</t>
  </si>
  <si>
    <t>ONT</t>
  </si>
  <si>
    <t>LNK</t>
  </si>
  <si>
    <t>HOB</t>
  </si>
  <si>
    <t>CHS</t>
  </si>
  <si>
    <t>OAX</t>
  </si>
  <si>
    <t>BUR</t>
  </si>
  <si>
    <t>CID</t>
  </si>
  <si>
    <t>CAE</t>
  </si>
  <si>
    <t>RIC</t>
  </si>
  <si>
    <t>PNS</t>
  </si>
  <si>
    <t>ECP</t>
  </si>
  <si>
    <t>ATL</t>
  </si>
  <si>
    <t>BOI</t>
  </si>
  <si>
    <t>BIS</t>
  </si>
  <si>
    <t>FSD</t>
  </si>
  <si>
    <t>HSV</t>
  </si>
  <si>
    <t>PVD</t>
  </si>
  <si>
    <t>PQI</t>
  </si>
  <si>
    <t>LCH</t>
  </si>
  <si>
    <t>MFE</t>
  </si>
  <si>
    <t>GUC</t>
  </si>
  <si>
    <t>BGR</t>
  </si>
  <si>
    <t>LFT</t>
  </si>
  <si>
    <t>YUL</t>
  </si>
  <si>
    <t>EGE</t>
  </si>
  <si>
    <t>FWA</t>
  </si>
  <si>
    <t>RNO</t>
  </si>
  <si>
    <t>YOW</t>
  </si>
  <si>
    <t>CRW</t>
  </si>
  <si>
    <t>PHL</t>
  </si>
  <si>
    <t>DTW</t>
  </si>
  <si>
    <t>LEX</t>
  </si>
  <si>
    <t>BNA</t>
  </si>
  <si>
    <t>CAK</t>
  </si>
  <si>
    <t>ABE</t>
  </si>
  <si>
    <t>MLM</t>
  </si>
  <si>
    <t>TUS</t>
  </si>
  <si>
    <t>MRY</t>
  </si>
  <si>
    <t>BFL</t>
  </si>
  <si>
    <t>CHO</t>
  </si>
  <si>
    <t>SGF</t>
  </si>
  <si>
    <t>BRO</t>
  </si>
  <si>
    <t>MOB</t>
  </si>
  <si>
    <t>DIK</t>
  </si>
  <si>
    <t>MCW</t>
  </si>
  <si>
    <t>SUN</t>
  </si>
  <si>
    <t>SHV</t>
  </si>
  <si>
    <t>MEI</t>
  </si>
  <si>
    <t>MSP</t>
  </si>
  <si>
    <t>CPR</t>
  </si>
  <si>
    <t>SLC</t>
  </si>
  <si>
    <t>DSM</t>
  </si>
  <si>
    <t>LBF</t>
  </si>
  <si>
    <t>CVG</t>
  </si>
  <si>
    <t>GTF</t>
  </si>
  <si>
    <t>RDD</t>
  </si>
  <si>
    <t>MKE</t>
  </si>
  <si>
    <t>DAY</t>
  </si>
  <si>
    <t>RDM</t>
  </si>
  <si>
    <t>MFR</t>
  </si>
  <si>
    <t>OKC</t>
  </si>
  <si>
    <t>ALB</t>
  </si>
  <si>
    <t>YEG</t>
  </si>
  <si>
    <t>DDC</t>
  </si>
  <si>
    <t>LAR</t>
  </si>
  <si>
    <t>SNA</t>
  </si>
  <si>
    <t>ZIH</t>
  </si>
  <si>
    <t>SAF</t>
  </si>
  <si>
    <t>SBP</t>
  </si>
  <si>
    <t>IDA</t>
  </si>
  <si>
    <t>JAN</t>
  </si>
  <si>
    <t>GPT</t>
  </si>
  <si>
    <t>PRC</t>
  </si>
  <si>
    <t>DVL</t>
  </si>
  <si>
    <t>SBA</t>
  </si>
  <si>
    <t>SRQ</t>
  </si>
  <si>
    <t>LBL</t>
  </si>
  <si>
    <t>COD</t>
  </si>
  <si>
    <t>CLT</t>
  </si>
  <si>
    <t>FNT</t>
  </si>
  <si>
    <t>SMF</t>
  </si>
  <si>
    <t>MYR</t>
  </si>
  <si>
    <t>MCI</t>
  </si>
  <si>
    <t>JAX</t>
  </si>
  <si>
    <t>DFW</t>
  </si>
  <si>
    <t>ICT</t>
  </si>
  <si>
    <t>BIH</t>
  </si>
  <si>
    <t>AGU</t>
  </si>
  <si>
    <t>BUF</t>
  </si>
  <si>
    <t>CMX</t>
  </si>
  <si>
    <t>EYW</t>
  </si>
  <si>
    <t>DRO</t>
  </si>
  <si>
    <t>HYS</t>
  </si>
  <si>
    <t>BTR</t>
  </si>
  <si>
    <t>AVL</t>
  </si>
  <si>
    <t>GRB</t>
  </si>
  <si>
    <t>XWA</t>
  </si>
  <si>
    <t>SAN</t>
  </si>
  <si>
    <t>TUL</t>
  </si>
  <si>
    <t>IND</t>
  </si>
  <si>
    <t>FCA</t>
  </si>
  <si>
    <t>LIT</t>
  </si>
  <si>
    <t>PIB</t>
  </si>
  <si>
    <t>TYS</t>
  </si>
  <si>
    <t>PSC</t>
  </si>
  <si>
    <t>MHT</t>
  </si>
  <si>
    <t>SYR</t>
  </si>
  <si>
    <t>PWM</t>
  </si>
  <si>
    <t>GRR</t>
  </si>
  <si>
    <t>RIW</t>
  </si>
  <si>
    <t>ITH</t>
  </si>
  <si>
    <t>GJT</t>
  </si>
  <si>
    <t>OMA</t>
  </si>
  <si>
    <t>JMS</t>
  </si>
  <si>
    <t>BDL</t>
  </si>
  <si>
    <t>MSY</t>
  </si>
  <si>
    <t>PIA</t>
  </si>
  <si>
    <t>ASE</t>
  </si>
  <si>
    <t>SGU</t>
  </si>
  <si>
    <t>LWS</t>
  </si>
  <si>
    <t>CMH</t>
  </si>
  <si>
    <t>TAM</t>
  </si>
  <si>
    <t>MAF</t>
  </si>
  <si>
    <t>GSO</t>
  </si>
  <si>
    <t>RAP</t>
  </si>
  <si>
    <t>MLI</t>
  </si>
  <si>
    <t>MEM</t>
  </si>
  <si>
    <t>DLH</t>
  </si>
  <si>
    <t>CYS</t>
  </si>
  <si>
    <t>GSP</t>
  </si>
  <si>
    <t>BZN</t>
  </si>
  <si>
    <t>MTJ</t>
  </si>
  <si>
    <t>DEC</t>
  </si>
  <si>
    <t>HDN</t>
  </si>
  <si>
    <t>SDF</t>
  </si>
  <si>
    <t>ROC</t>
  </si>
  <si>
    <t>SHR</t>
  </si>
  <si>
    <t>CNY</t>
  </si>
  <si>
    <t>JLN</t>
  </si>
  <si>
    <t>ACV</t>
  </si>
  <si>
    <t>SLN</t>
  </si>
  <si>
    <t>ORF</t>
  </si>
  <si>
    <t>RKS</t>
  </si>
  <si>
    <t>MSN</t>
  </si>
  <si>
    <t>HRL</t>
  </si>
  <si>
    <t>CHA</t>
  </si>
  <si>
    <t>PIT</t>
  </si>
  <si>
    <t>JST</t>
  </si>
  <si>
    <t>LBB</t>
  </si>
  <si>
    <t>AVP</t>
  </si>
  <si>
    <t>PSP</t>
  </si>
  <si>
    <t>BFF</t>
  </si>
  <si>
    <t>ILM</t>
  </si>
  <si>
    <t>MDT</t>
  </si>
  <si>
    <t>STL</t>
  </si>
  <si>
    <t>MOT</t>
  </si>
  <si>
    <t>Line Dom'</t>
  </si>
  <si>
    <t>Cancel</t>
  </si>
  <si>
    <t>Residual Cancel</t>
  </si>
  <si>
    <t>AUS</t>
  </si>
  <si>
    <t>BJX</t>
  </si>
  <si>
    <t>BIL</t>
  </si>
  <si>
    <t>PHX</t>
  </si>
  <si>
    <t>Cancellation Rate</t>
  </si>
  <si>
    <t>Seat Cancellations</t>
  </si>
  <si>
    <t>Controllable Cancellation Rate</t>
  </si>
  <si>
    <t>SEA</t>
  </si>
  <si>
    <t>cnxl_flt_mtd</t>
  </si>
  <si>
    <t>cnxl_flt_yest</t>
  </si>
  <si>
    <t>Cancel Rate</t>
  </si>
  <si>
    <t>cnxl_flt_now</t>
  </si>
  <si>
    <t>cnxl_flt</t>
  </si>
  <si>
    <t>Seat_CNXL_Rate</t>
  </si>
  <si>
    <t>cnxl_flt_dateminus2</t>
  </si>
  <si>
    <t>Yest</t>
  </si>
  <si>
    <t>United</t>
  </si>
  <si>
    <t>report_year</t>
  </si>
  <si>
    <t>scheduled_flights</t>
  </si>
  <si>
    <t>star_sch_flt_count</t>
  </si>
  <si>
    <t>star_d00_count</t>
  </si>
  <si>
    <t>controllable_cancels</t>
  </si>
  <si>
    <t>scheduled_flights_yest</t>
  </si>
  <si>
    <t>star_sch_flt_count_yest</t>
  </si>
  <si>
    <t>star_d00_count_yest</t>
  </si>
  <si>
    <t>controllable_cancels_yest</t>
  </si>
  <si>
    <t>scheduled_flights_dateminus2</t>
  </si>
  <si>
    <t>completed_flights_dateminus2</t>
  </si>
  <si>
    <t>dep0_cnt_dateminus2</t>
  </si>
  <si>
    <t>new_dep0_cnt_dateminus2</t>
  </si>
  <si>
    <t>arr0_cnt_dateminus2</t>
  </si>
  <si>
    <t>company_id</t>
  </si>
  <si>
    <t>date</t>
  </si>
  <si>
    <t>cnxl_cd</t>
  </si>
  <si>
    <t>cancel division</t>
  </si>
  <si>
    <t>count</t>
  </si>
  <si>
    <t>time_period</t>
  </si>
  <si>
    <t>total_diverts</t>
  </si>
  <si>
    <t>time_stamp</t>
  </si>
  <si>
    <t>city</t>
  </si>
  <si>
    <t>station</t>
  </si>
  <si>
    <t>QRO</t>
  </si>
  <si>
    <t>timeperiod</t>
  </si>
  <si>
    <t>short_dlys</t>
  </si>
  <si>
    <t>long_dlys</t>
  </si>
  <si>
    <t>total_dprt_dlys</t>
  </si>
  <si>
    <t>fo_dlys</t>
  </si>
  <si>
    <t>if_dlys</t>
  </si>
  <si>
    <t>fx_dlys</t>
  </si>
  <si>
    <t>fr_fy_dlys</t>
  </si>
  <si>
    <t>fd_n_q_s_dlys</t>
  </si>
  <si>
    <t>ix_r_s_dlys</t>
  </si>
  <si>
    <t>il_im_dlys</t>
  </si>
  <si>
    <t>ib_d_e_g_p_z_dlys</t>
  </si>
  <si>
    <t>short_dly_rate</t>
  </si>
  <si>
    <t>long_dly_rate</t>
  </si>
  <si>
    <t>total_dprt_dly_rate</t>
  </si>
  <si>
    <t>fo_dly_rate</t>
  </si>
  <si>
    <t>if_dly_rate</t>
  </si>
  <si>
    <t>seat_cnxl_rate_mtd</t>
  </si>
  <si>
    <t>seat_cnxl_rate_yest</t>
  </si>
  <si>
    <t>seat_cnxl_rate_l7</t>
  </si>
  <si>
    <t>seat_cnxl_rate</t>
  </si>
  <si>
    <t>SLP</t>
  </si>
  <si>
    <t>Mainline</t>
  </si>
  <si>
    <t>American</t>
  </si>
  <si>
    <t>Delta</t>
  </si>
  <si>
    <t>LAS</t>
  </si>
  <si>
    <t>RDU</t>
  </si>
  <si>
    <t>MZT</t>
  </si>
  <si>
    <t>ZLO</t>
  </si>
  <si>
    <t>GDL</t>
  </si>
  <si>
    <t>HAV</t>
  </si>
  <si>
    <t>PDX</t>
  </si>
  <si>
    <t>BWI</t>
  </si>
  <si>
    <t>PBI</t>
  </si>
  <si>
    <t>EUG</t>
  </si>
  <si>
    <t>HHH</t>
  </si>
  <si>
    <t>MSO</t>
  </si>
  <si>
    <t>YHZ</t>
  </si>
  <si>
    <t>YWG</t>
  </si>
  <si>
    <t>ACK</t>
  </si>
  <si>
    <t>ACA</t>
  </si>
  <si>
    <t>WYS</t>
  </si>
  <si>
    <t>YVR</t>
  </si>
  <si>
    <t>EAR</t>
  </si>
  <si>
    <t>C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</si>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</sst>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\ \p.\p.;\(0.00\ \p.\p.\)"/>
    <numFmt numFmtId="166" formatCode="0.0"/>
  </numFmts>
  <fonts count="4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B05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555555"/>
      <name val="Tahoma"/>
      <family val="2"/>
    </font>
    <font>
      <sz val="9"/>
      <color rgb="FF222222"/>
      <name val="Arial"/>
      <family val="2"/>
    </font>
    <font>
      <sz val="9"/>
      <color rgb="FF1D5987"/>
      <name val="Arial"/>
      <family val="2"/>
    </font>
    <font>
      <sz val="9"/>
      <color rgb="FFE17009"/>
      <name val="Arial"/>
      <family val="2"/>
    </font>
    <font>
      <sz val="9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5" fillId="0" borderId="0" applyFont="0" applyFill="0" applyBorder="0" applyAlignment="0" applyProtection="0"/>
    <xf numFmtId="0" fontId="42" fillId="0" borderId="0"/>
  </cellStyleXfs>
  <cellXfs count="319">
    <xf numFmtId="0" fontId="0" fillId="0" borderId="0" xfId="0"/>
    <xf numFmtId="0" fontId="3" fillId="0" borderId="0" xfId="0" applyFont="1"/>
    <xf numFmtId="165" fontId="3" fillId="0" borderId="0" xfId="0" applyNumberFormat="1" applyFont="1" applyFill="1"/>
    <xf numFmtId="3" fontId="0" fillId="0" borderId="0" xfId="0" applyNumberFormat="1"/>
    <xf numFmtId="0" fontId="11" fillId="4" borderId="5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12" fillId="0" borderId="11" xfId="0" applyFont="1" applyBorder="1" applyAlignment="1">
      <alignment vertical="center"/>
    </xf>
    <xf numFmtId="0" fontId="13" fillId="0" borderId="1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2" fillId="3" borderId="11" xfId="0" applyFont="1" applyFill="1" applyBorder="1" applyAlignment="1">
      <alignment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1" fillId="4" borderId="2" xfId="0" applyFont="1" applyFill="1" applyBorder="1" applyAlignment="1">
      <alignment vertical="center" wrapText="1"/>
    </xf>
    <xf numFmtId="0" fontId="11" fillId="4" borderId="3" xfId="0" applyFont="1" applyFill="1" applyBorder="1" applyAlignment="1">
      <alignment vertical="center" wrapText="1"/>
    </xf>
    <xf numFmtId="0" fontId="11" fillId="4" borderId="9" xfId="0" applyFont="1" applyFill="1" applyBorder="1" applyAlignment="1">
      <alignment vertical="center" wrapText="1"/>
    </xf>
    <xf numFmtId="0" fontId="7" fillId="0" borderId="14" xfId="0" applyNumberFormat="1" applyFont="1" applyFill="1" applyBorder="1" applyAlignment="1">
      <alignment horizontal="center"/>
    </xf>
    <xf numFmtId="164" fontId="7" fillId="0" borderId="14" xfId="0" applyNumberFormat="1" applyFont="1" applyFill="1" applyBorder="1"/>
    <xf numFmtId="164" fontId="7" fillId="0" borderId="14" xfId="0" applyNumberFormat="1" applyFont="1" applyBorder="1" applyAlignment="1">
      <alignment horizontal="center"/>
    </xf>
    <xf numFmtId="2" fontId="9" fillId="0" borderId="14" xfId="0" applyNumberFormat="1" applyFont="1" applyFill="1" applyBorder="1" applyAlignment="1">
      <alignment horizontal="center"/>
    </xf>
    <xf numFmtId="0" fontId="11" fillId="4" borderId="18" xfId="0" applyFont="1" applyFill="1" applyBorder="1" applyAlignment="1">
      <alignment horizontal="center" vertical="center" wrapText="1"/>
    </xf>
    <xf numFmtId="164" fontId="7" fillId="0" borderId="17" xfId="0" applyNumberFormat="1" applyFont="1" applyFill="1" applyBorder="1"/>
    <xf numFmtId="164" fontId="7" fillId="0" borderId="17" xfId="0" applyNumberFormat="1" applyFont="1" applyBorder="1" applyAlignment="1">
      <alignment horizontal="center"/>
    </xf>
    <xf numFmtId="2" fontId="9" fillId="0" borderId="17" xfId="0" applyNumberFormat="1" applyFont="1" applyFill="1" applyBorder="1" applyAlignment="1">
      <alignment horizontal="center"/>
    </xf>
    <xf numFmtId="2" fontId="10" fillId="0" borderId="17" xfId="0" applyNumberFormat="1" applyFont="1" applyFill="1" applyBorder="1" applyAlignment="1">
      <alignment horizontal="center"/>
    </xf>
    <xf numFmtId="0" fontId="7" fillId="0" borderId="17" xfId="0" applyNumberFormat="1" applyFont="1" applyFill="1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/>
    </xf>
    <xf numFmtId="0" fontId="14" fillId="0" borderId="0" xfId="0" applyFont="1" applyAlignment="1">
      <alignment vertical="center"/>
    </xf>
    <xf numFmtId="0" fontId="7" fillId="0" borderId="12" xfId="0" applyFont="1" applyBorder="1" applyAlignment="1">
      <alignment horizontal="center"/>
    </xf>
    <xf numFmtId="0" fontId="13" fillId="3" borderId="13" xfId="0" quotePrefix="1" applyFont="1" applyFill="1" applyBorder="1" applyAlignment="1">
      <alignment horizontal="center" vertical="center"/>
    </xf>
    <xf numFmtId="0" fontId="7" fillId="0" borderId="13" xfId="0" quotePrefix="1" applyFont="1" applyBorder="1" applyAlignment="1">
      <alignment horizontal="center"/>
    </xf>
    <xf numFmtId="0" fontId="6" fillId="0" borderId="17" xfId="0" applyFont="1" applyBorder="1"/>
    <xf numFmtId="0" fontId="6" fillId="0" borderId="14" xfId="0" applyFont="1" applyBorder="1"/>
    <xf numFmtId="0" fontId="6" fillId="4" borderId="20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/>
    </xf>
    <xf numFmtId="16" fontId="6" fillId="4" borderId="19" xfId="0" applyNumberFormat="1" applyFont="1" applyFill="1" applyBorder="1" applyAlignment="1">
      <alignment horizontal="left" vertical="center"/>
    </xf>
    <xf numFmtId="0" fontId="13" fillId="0" borderId="0" xfId="0" applyFont="1" applyFill="1" applyAlignment="1">
      <alignment horizontal="center" vertical="center"/>
    </xf>
    <xf numFmtId="14" fontId="6" fillId="4" borderId="20" xfId="0" applyNumberFormat="1" applyFont="1" applyFill="1" applyBorder="1" applyAlignment="1">
      <alignment horizontal="center" vertical="center"/>
    </xf>
    <xf numFmtId="164" fontId="0" fillId="0" borderId="0" xfId="1" applyNumberFormat="1" applyFont="1"/>
    <xf numFmtId="1" fontId="0" fillId="0" borderId="0" xfId="1" applyNumberFormat="1" applyFont="1"/>
    <xf numFmtId="1" fontId="7" fillId="0" borderId="14" xfId="0" applyNumberFormat="1" applyFont="1" applyFill="1" applyBorder="1" applyAlignment="1">
      <alignment horizontal="center"/>
    </xf>
    <xf numFmtId="14" fontId="0" fillId="0" borderId="0" xfId="0" applyNumberFormat="1"/>
    <xf numFmtId="10" fontId="0" fillId="0" borderId="0" xfId="0" applyNumberFormat="1" applyAlignment="1">
      <alignment vertical="center"/>
    </xf>
    <xf numFmtId="0" fontId="16" fillId="0" borderId="0" xfId="0" applyFont="1" applyAlignment="1">
      <alignment horizontal="left" indent="1"/>
    </xf>
    <xf numFmtId="3" fontId="18" fillId="0" borderId="0" xfId="0" applyNumberFormat="1" applyFont="1" applyFill="1" applyBorder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20" fillId="0" borderId="0" xfId="0" applyFont="1" applyFill="1"/>
    <xf numFmtId="0" fontId="19" fillId="0" borderId="0" xfId="0" applyFont="1" applyFill="1"/>
    <xf numFmtId="0" fontId="17" fillId="0" borderId="0" xfId="0" applyFont="1" applyFill="1"/>
    <xf numFmtId="0" fontId="6" fillId="0" borderId="14" xfId="0" applyFont="1" applyBorder="1" applyAlignment="1">
      <alignment horizontal="left" indent="1"/>
    </xf>
    <xf numFmtId="0" fontId="6" fillId="0" borderId="17" xfId="0" applyFont="1" applyBorder="1" applyAlignment="1">
      <alignment horizontal="left" indent="1"/>
    </xf>
    <xf numFmtId="16" fontId="6" fillId="4" borderId="19" xfId="0" applyNumberFormat="1" applyFont="1" applyFill="1" applyBorder="1" applyAlignment="1">
      <alignment horizontal="left" vertical="distributed" indent="1"/>
    </xf>
    <xf numFmtId="10" fontId="7" fillId="0" borderId="14" xfId="0" applyNumberFormat="1" applyFont="1" applyBorder="1" applyAlignment="1">
      <alignment horizontal="center"/>
    </xf>
    <xf numFmtId="0" fontId="12" fillId="0" borderId="11" xfId="0" applyFont="1" applyBorder="1" applyAlignment="1">
      <alignment horizontal="left" vertical="center" indent="1"/>
    </xf>
    <xf numFmtId="0" fontId="12" fillId="3" borderId="11" xfId="0" applyFont="1" applyFill="1" applyBorder="1" applyAlignment="1">
      <alignment horizontal="left" vertical="center" indent="1"/>
    </xf>
    <xf numFmtId="0" fontId="12" fillId="0" borderId="1" xfId="0" applyFont="1" applyBorder="1" applyAlignment="1">
      <alignment horizontal="left" vertical="center" indent="1"/>
    </xf>
    <xf numFmtId="0" fontId="3" fillId="0" borderId="0" xfId="0" applyFont="1" applyAlignment="1">
      <alignment horizontal="right" vertical="center" indent="2"/>
    </xf>
    <xf numFmtId="0" fontId="11" fillId="4" borderId="1" xfId="0" applyFont="1" applyFill="1" applyBorder="1" applyAlignment="1">
      <alignment horizontal="left" vertical="center" wrapText="1" inden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7" fillId="0" borderId="14" xfId="0" applyNumberFormat="1" applyFont="1" applyFill="1" applyBorder="1" applyAlignment="1">
      <alignment horizontal="right" indent="1"/>
    </xf>
    <xf numFmtId="164" fontId="7" fillId="0" borderId="17" xfId="0" applyNumberFormat="1" applyFont="1" applyFill="1" applyBorder="1" applyAlignment="1">
      <alignment horizontal="right" indent="1"/>
    </xf>
    <xf numFmtId="10" fontId="7" fillId="0" borderId="14" xfId="0" applyNumberFormat="1" applyFont="1" applyFill="1" applyBorder="1" applyAlignment="1">
      <alignment horizontal="right" indent="1"/>
    </xf>
    <xf numFmtId="0" fontId="13" fillId="0" borderId="12" xfId="0" applyFont="1" applyBorder="1" applyAlignment="1">
      <alignment horizontal="right" vertical="center" indent="1"/>
    </xf>
    <xf numFmtId="0" fontId="13" fillId="3" borderId="12" xfId="0" applyFont="1" applyFill="1" applyBorder="1" applyAlignment="1">
      <alignment horizontal="right" vertical="center" indent="1"/>
    </xf>
    <xf numFmtId="0" fontId="12" fillId="0" borderId="4" xfId="0" applyFont="1" applyBorder="1" applyAlignment="1">
      <alignment horizontal="right" vertical="center" indent="1"/>
    </xf>
    <xf numFmtId="166" fontId="9" fillId="0" borderId="14" xfId="1" applyNumberFormat="1" applyFont="1" applyFill="1" applyBorder="1" applyAlignment="1">
      <alignment horizontal="center"/>
    </xf>
    <xf numFmtId="0" fontId="22" fillId="0" borderId="0" xfId="0" applyFont="1"/>
    <xf numFmtId="0" fontId="17" fillId="0" borderId="0" xfId="0" applyFont="1"/>
    <xf numFmtId="10" fontId="7" fillId="0" borderId="0" xfId="0" applyNumberFormat="1" applyFont="1" applyBorder="1" applyAlignment="1">
      <alignment horizontal="center"/>
    </xf>
    <xf numFmtId="1" fontId="7" fillId="0" borderId="14" xfId="0" applyNumberFormat="1" applyFont="1" applyFill="1" applyBorder="1" applyAlignment="1">
      <alignment horizontal="right" indent="2"/>
    </xf>
    <xf numFmtId="16" fontId="25" fillId="4" borderId="19" xfId="0" applyNumberFormat="1" applyFont="1" applyFill="1" applyBorder="1" applyAlignment="1">
      <alignment horizontal="left" vertical="distributed" indent="1"/>
    </xf>
    <xf numFmtId="14" fontId="25" fillId="4" borderId="20" xfId="0" applyNumberFormat="1" applyFont="1" applyFill="1" applyBorder="1" applyAlignment="1">
      <alignment horizontal="center" vertical="center"/>
    </xf>
    <xf numFmtId="0" fontId="25" fillId="4" borderId="20" xfId="0" applyFont="1" applyFill="1" applyBorder="1" applyAlignment="1">
      <alignment horizontal="center" vertical="center"/>
    </xf>
    <xf numFmtId="0" fontId="25" fillId="7" borderId="21" xfId="0" applyFont="1" applyFill="1" applyBorder="1" applyAlignment="1">
      <alignment horizontal="center" vertical="center"/>
    </xf>
    <xf numFmtId="0" fontId="25" fillId="0" borderId="14" xfId="0" applyFont="1" applyBorder="1" applyAlignment="1">
      <alignment horizontal="left" indent="1"/>
    </xf>
    <xf numFmtId="164" fontId="3" fillId="0" borderId="14" xfId="0" applyNumberFormat="1" applyFont="1" applyFill="1" applyBorder="1" applyAlignment="1">
      <alignment horizontal="right" indent="1"/>
    </xf>
    <xf numFmtId="164" fontId="3" fillId="0" borderId="14" xfId="0" applyNumberFormat="1" applyFont="1" applyBorder="1" applyAlignment="1">
      <alignment horizontal="center"/>
    </xf>
    <xf numFmtId="166" fontId="23" fillId="0" borderId="14" xfId="1" applyNumberFormat="1" applyFont="1" applyFill="1" applyBorder="1" applyAlignment="1">
      <alignment horizontal="center"/>
    </xf>
    <xf numFmtId="0" fontId="25" fillId="0" borderId="17" xfId="0" applyFont="1" applyBorder="1" applyAlignment="1">
      <alignment horizontal="left" indent="1"/>
    </xf>
    <xf numFmtId="1" fontId="3" fillId="0" borderId="22" xfId="0" applyNumberFormat="1" applyFont="1" applyFill="1" applyBorder="1" applyAlignment="1">
      <alignment horizontal="center"/>
    </xf>
    <xf numFmtId="164" fontId="3" fillId="0" borderId="22" xfId="0" applyNumberFormat="1" applyFont="1" applyFill="1" applyBorder="1" applyAlignment="1">
      <alignment horizontal="right" indent="1"/>
    </xf>
    <xf numFmtId="14" fontId="25" fillId="4" borderId="23" xfId="0" applyNumberFormat="1" applyFont="1" applyFill="1" applyBorder="1" applyAlignment="1">
      <alignment horizontal="center" vertical="center"/>
    </xf>
    <xf numFmtId="166" fontId="23" fillId="0" borderId="24" xfId="1" applyNumberFormat="1" applyFont="1" applyFill="1" applyBorder="1" applyAlignment="1">
      <alignment horizontal="center"/>
    </xf>
    <xf numFmtId="164" fontId="3" fillId="0" borderId="25" xfId="0" applyNumberFormat="1" applyFont="1" applyFill="1" applyBorder="1" applyAlignment="1">
      <alignment horizontal="right" indent="1"/>
    </xf>
    <xf numFmtId="0" fontId="25" fillId="0" borderId="26" xfId="0" applyFont="1" applyBorder="1" applyAlignment="1">
      <alignment horizontal="left" indent="1"/>
    </xf>
    <xf numFmtId="164" fontId="3" fillId="0" borderId="26" xfId="0" applyNumberFormat="1" applyFont="1" applyFill="1" applyBorder="1" applyAlignment="1">
      <alignment horizontal="right" indent="1"/>
    </xf>
    <xf numFmtId="164" fontId="3" fillId="0" borderId="27" xfId="0" applyNumberFormat="1" applyFont="1" applyFill="1" applyBorder="1" applyAlignment="1">
      <alignment horizontal="right" indent="1"/>
    </xf>
    <xf numFmtId="164" fontId="3" fillId="0" borderId="28" xfId="0" applyNumberFormat="1" applyFont="1" applyFill="1" applyBorder="1" applyAlignment="1">
      <alignment horizontal="right" indent="1"/>
    </xf>
    <xf numFmtId="14" fontId="6" fillId="4" borderId="23" xfId="0" applyNumberFormat="1" applyFont="1" applyFill="1" applyBorder="1" applyAlignment="1">
      <alignment horizontal="center" vertical="center"/>
    </xf>
    <xf numFmtId="47" fontId="0" fillId="0" borderId="0" xfId="0" applyNumberFormat="1"/>
    <xf numFmtId="166" fontId="7" fillId="0" borderId="14" xfId="0" applyNumberFormat="1" applyFont="1" applyBorder="1" applyAlignment="1">
      <alignment horizontal="center"/>
    </xf>
    <xf numFmtId="0" fontId="6" fillId="0" borderId="29" xfId="0" applyFont="1" applyBorder="1" applyAlignment="1">
      <alignment horizontal="left" indent="1"/>
    </xf>
    <xf numFmtId="0" fontId="6" fillId="0" borderId="30" xfId="0" applyFont="1" applyBorder="1" applyAlignment="1">
      <alignment horizontal="left" indent="1"/>
    </xf>
    <xf numFmtId="0" fontId="0" fillId="0" borderId="0" xfId="0" applyBorder="1"/>
    <xf numFmtId="164" fontId="0" fillId="0" borderId="0" xfId="1" applyNumberFormat="1" applyFont="1" applyBorder="1"/>
    <xf numFmtId="16" fontId="6" fillId="4" borderId="0" xfId="0" applyNumberFormat="1" applyFont="1" applyFill="1" applyBorder="1" applyAlignment="1">
      <alignment horizontal="left" vertical="center"/>
    </xf>
    <xf numFmtId="0" fontId="0" fillId="8" borderId="0" xfId="0" applyFill="1"/>
    <xf numFmtId="3" fontId="0" fillId="8" borderId="0" xfId="0" applyNumberFormat="1" applyFill="1"/>
    <xf numFmtId="166" fontId="7" fillId="0" borderId="14" xfId="0" quotePrefix="1" applyNumberFormat="1" applyFont="1" applyBorder="1" applyAlignment="1">
      <alignment horizontal="center"/>
    </xf>
    <xf numFmtId="164" fontId="7" fillId="0" borderId="14" xfId="0" applyNumberFormat="1" applyFont="1" applyFill="1" applyBorder="1" applyAlignment="1">
      <alignment horizontal="center"/>
    </xf>
    <xf numFmtId="0" fontId="0" fillId="9" borderId="0" xfId="0" applyFill="1"/>
    <xf numFmtId="10" fontId="0" fillId="9" borderId="0" xfId="0" applyNumberFormat="1" applyFill="1" applyAlignment="1">
      <alignment vertical="center"/>
    </xf>
    <xf numFmtId="164" fontId="0" fillId="9" borderId="0" xfId="1" applyNumberFormat="1" applyFont="1" applyFill="1"/>
    <xf numFmtId="3" fontId="18" fillId="9" borderId="0" xfId="0" applyNumberFormat="1" applyFont="1" applyFill="1" applyBorder="1" applyAlignment="1">
      <alignment horizontal="center" vertical="center"/>
    </xf>
    <xf numFmtId="10" fontId="0" fillId="9" borderId="0" xfId="1" applyNumberFormat="1" applyFont="1" applyFill="1"/>
    <xf numFmtId="10" fontId="0" fillId="0" borderId="0" xfId="1" applyNumberFormat="1" applyFont="1"/>
    <xf numFmtId="0" fontId="0" fillId="0" borderId="0" xfId="0" applyFill="1"/>
    <xf numFmtId="10" fontId="7" fillId="0" borderId="14" xfId="0" applyNumberFormat="1" applyFont="1" applyFill="1" applyBorder="1"/>
    <xf numFmtId="10" fontId="0" fillId="0" borderId="0" xfId="1" applyNumberFormat="1" applyFont="1" applyFill="1"/>
    <xf numFmtId="10" fontId="0" fillId="0" borderId="0" xfId="0" applyNumberFormat="1" applyFill="1" applyAlignment="1">
      <alignment vertical="center"/>
    </xf>
    <xf numFmtId="0" fontId="13" fillId="10" borderId="0" xfId="0" applyFont="1" applyFill="1" applyAlignment="1">
      <alignment horizontal="center" vertical="center"/>
    </xf>
    <xf numFmtId="0" fontId="28" fillId="10" borderId="0" xfId="0" applyFont="1" applyFill="1" applyBorder="1" applyAlignment="1">
      <alignment horizontal="center" vertical="center"/>
    </xf>
    <xf numFmtId="0" fontId="0" fillId="10" borderId="36" xfId="0" applyFill="1" applyBorder="1"/>
    <xf numFmtId="0" fontId="0" fillId="10" borderId="0" xfId="0" applyFill="1" applyBorder="1"/>
    <xf numFmtId="0" fontId="16" fillId="10" borderId="38" xfId="0" applyFont="1" applyFill="1" applyBorder="1" applyAlignment="1">
      <alignment horizontal="center" vertical="center"/>
    </xf>
    <xf numFmtId="0" fontId="0" fillId="10" borderId="37" xfId="0" applyFill="1" applyBorder="1"/>
    <xf numFmtId="0" fontId="16" fillId="10" borderId="0" xfId="0" applyFont="1" applyFill="1" applyBorder="1" applyAlignment="1">
      <alignment horizontal="left" vertical="center"/>
    </xf>
    <xf numFmtId="164" fontId="0" fillId="10" borderId="41" xfId="1" applyNumberFormat="1" applyFont="1" applyFill="1" applyBorder="1" applyAlignment="1">
      <alignment horizontal="center" vertical="center"/>
    </xf>
    <xf numFmtId="0" fontId="0" fillId="10" borderId="0" xfId="0" applyFont="1" applyFill="1" applyBorder="1" applyAlignment="1">
      <alignment vertical="center"/>
    </xf>
    <xf numFmtId="0" fontId="29" fillId="10" borderId="0" xfId="0" applyFont="1" applyFill="1" applyBorder="1" applyAlignment="1">
      <alignment horizontal="center" vertical="center" textRotation="90"/>
    </xf>
    <xf numFmtId="0" fontId="30" fillId="10" borderId="0" xfId="0" applyFont="1" applyFill="1" applyBorder="1" applyAlignment="1">
      <alignment vertical="center"/>
    </xf>
    <xf numFmtId="0" fontId="16" fillId="10" borderId="0" xfId="0" applyFont="1" applyFill="1" applyBorder="1" applyAlignment="1">
      <alignment vertical="center"/>
    </xf>
    <xf numFmtId="0" fontId="16" fillId="10" borderId="0" xfId="0" applyFont="1" applyFill="1" applyBorder="1" applyAlignment="1">
      <alignment horizontal="center" vertical="center"/>
    </xf>
    <xf numFmtId="0" fontId="27" fillId="11" borderId="41" xfId="0" applyFont="1" applyFill="1" applyBorder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0" fontId="0" fillId="0" borderId="37" xfId="0" applyBorder="1"/>
    <xf numFmtId="164" fontId="15" fillId="10" borderId="41" xfId="1" applyNumberFormat="1" applyFont="1" applyFill="1" applyBorder="1" applyAlignment="1">
      <alignment horizontal="center" vertical="center"/>
    </xf>
    <xf numFmtId="166" fontId="15" fillId="10" borderId="41" xfId="0" applyNumberFormat="1" applyFont="1" applyFill="1" applyBorder="1" applyAlignment="1">
      <alignment horizontal="center" vertical="center"/>
    </xf>
    <xf numFmtId="166" fontId="15" fillId="10" borderId="36" xfId="0" applyNumberFormat="1" applyFont="1" applyFill="1" applyBorder="1" applyAlignment="1">
      <alignment horizontal="center" vertical="center"/>
    </xf>
    <xf numFmtId="1" fontId="15" fillId="10" borderId="41" xfId="0" applyNumberFormat="1" applyFont="1" applyFill="1" applyBorder="1" applyAlignment="1">
      <alignment horizontal="center" vertical="center"/>
    </xf>
    <xf numFmtId="0" fontId="17" fillId="10" borderId="36" xfId="0" applyFont="1" applyFill="1" applyBorder="1"/>
    <xf numFmtId="0" fontId="6" fillId="10" borderId="0" xfId="0" applyFont="1" applyFill="1" applyBorder="1" applyAlignment="1">
      <alignment horizontal="center" vertical="center"/>
    </xf>
    <xf numFmtId="0" fontId="0" fillId="10" borderId="42" xfId="0" applyFill="1" applyBorder="1"/>
    <xf numFmtId="0" fontId="6" fillId="10" borderId="38" xfId="0" applyFont="1" applyFill="1" applyBorder="1" applyAlignment="1">
      <alignment horizontal="center" vertical="center"/>
    </xf>
    <xf numFmtId="0" fontId="0" fillId="10" borderId="38" xfId="0" applyFill="1" applyBorder="1"/>
    <xf numFmtId="0" fontId="0" fillId="10" borderId="40" xfId="0" applyFill="1" applyBorder="1"/>
    <xf numFmtId="0" fontId="0" fillId="10" borderId="0" xfId="0" applyFill="1"/>
    <xf numFmtId="0" fontId="6" fillId="10" borderId="0" xfId="0" applyFont="1" applyFill="1" applyAlignment="1">
      <alignment horizontal="center" vertical="center"/>
    </xf>
    <xf numFmtId="0" fontId="0" fillId="10" borderId="43" xfId="0" applyFill="1" applyBorder="1"/>
    <xf numFmtId="0" fontId="0" fillId="10" borderId="44" xfId="0" applyFill="1" applyBorder="1"/>
    <xf numFmtId="0" fontId="33" fillId="10" borderId="0" xfId="0" applyFont="1" applyFill="1" applyBorder="1" applyAlignment="1">
      <alignment horizontal="center" vertical="center" wrapText="1"/>
    </xf>
    <xf numFmtId="0" fontId="34" fillId="13" borderId="37" xfId="0" applyFont="1" applyFill="1" applyBorder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13" fillId="10" borderId="0" xfId="0" applyFont="1" applyFill="1" applyBorder="1" applyAlignment="1">
      <alignment horizontal="center" vertical="center"/>
    </xf>
    <xf numFmtId="0" fontId="34" fillId="10" borderId="37" xfId="0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35" fillId="10" borderId="45" xfId="0" applyFont="1" applyFill="1" applyBorder="1" applyAlignment="1">
      <alignment horizontal="center" vertical="center"/>
    </xf>
    <xf numFmtId="0" fontId="35" fillId="10" borderId="46" xfId="0" applyFont="1" applyFill="1" applyBorder="1" applyAlignment="1">
      <alignment horizontal="center" vertical="center"/>
    </xf>
    <xf numFmtId="0" fontId="35" fillId="10" borderId="47" xfId="0" applyFont="1" applyFill="1" applyBorder="1" applyAlignment="1">
      <alignment horizontal="center" vertical="center"/>
    </xf>
    <xf numFmtId="0" fontId="35" fillId="10" borderId="48" xfId="0" applyFont="1" applyFill="1" applyBorder="1" applyAlignment="1">
      <alignment horizontal="center" vertical="center"/>
    </xf>
    <xf numFmtId="0" fontId="36" fillId="10" borderId="0" xfId="0" applyFont="1" applyFill="1"/>
    <xf numFmtId="0" fontId="36" fillId="10" borderId="0" xfId="0" applyFont="1" applyFill="1" applyAlignment="1">
      <alignment vertical="center"/>
    </xf>
    <xf numFmtId="0" fontId="18" fillId="10" borderId="0" xfId="0" applyFont="1" applyFill="1"/>
    <xf numFmtId="0" fontId="13" fillId="3" borderId="0" xfId="0" applyFont="1" applyFill="1" applyAlignment="1">
      <alignment horizontal="center" vertical="center"/>
    </xf>
    <xf numFmtId="0" fontId="12" fillId="3" borderId="11" xfId="0" applyFont="1" applyFill="1" applyBorder="1" applyAlignment="1">
      <alignment horizontal="left" vertical="center" indent="1"/>
    </xf>
    <xf numFmtId="0" fontId="12" fillId="10" borderId="11" xfId="0" applyFont="1" applyFill="1" applyBorder="1" applyAlignment="1">
      <alignment horizontal="left" vertical="center" indent="1"/>
    </xf>
    <xf numFmtId="0" fontId="13" fillId="10" borderId="0" xfId="0" applyFont="1" applyFill="1" applyAlignment="1">
      <alignment horizontal="center" vertical="center"/>
    </xf>
    <xf numFmtId="0" fontId="0" fillId="14" borderId="0" xfId="0" applyFill="1"/>
    <xf numFmtId="0" fontId="37" fillId="14" borderId="50" xfId="0" applyFont="1" applyFill="1" applyBorder="1" applyAlignment="1">
      <alignment horizontal="left" vertical="center"/>
    </xf>
    <xf numFmtId="0" fontId="38" fillId="14" borderId="51" xfId="0" applyFont="1" applyFill="1" applyBorder="1" applyAlignment="1">
      <alignment horizontal="left" vertical="center"/>
    </xf>
    <xf numFmtId="0" fontId="39" fillId="15" borderId="52" xfId="0" applyFont="1" applyFill="1" applyBorder="1" applyAlignment="1">
      <alignment horizontal="right" vertical="center" wrapText="1"/>
    </xf>
    <xf numFmtId="0" fontId="39" fillId="16" borderId="52" xfId="0" applyFont="1" applyFill="1" applyBorder="1" applyAlignment="1">
      <alignment horizontal="left" vertical="center"/>
    </xf>
    <xf numFmtId="0" fontId="39" fillId="16" borderId="52" xfId="0" applyFont="1" applyFill="1" applyBorder="1" applyAlignment="1">
      <alignment horizontal="right" vertical="center"/>
    </xf>
    <xf numFmtId="0" fontId="40" fillId="17" borderId="52" xfId="0" applyFont="1" applyFill="1" applyBorder="1" applyAlignment="1">
      <alignment horizontal="left" vertical="center"/>
    </xf>
    <xf numFmtId="0" fontId="40" fillId="17" borderId="52" xfId="0" applyFont="1" applyFill="1" applyBorder="1" applyAlignment="1">
      <alignment horizontal="right" vertical="center"/>
    </xf>
    <xf numFmtId="0" fontId="40" fillId="16" borderId="52" xfId="0" applyFont="1" applyFill="1" applyBorder="1" applyAlignment="1">
      <alignment horizontal="left" vertical="center"/>
    </xf>
    <xf numFmtId="0" fontId="40" fillId="16" borderId="52" xfId="0" applyFont="1" applyFill="1" applyBorder="1" applyAlignment="1">
      <alignment horizontal="right" vertical="center"/>
    </xf>
    <xf numFmtId="0" fontId="6" fillId="0" borderId="0" xfId="0" applyFont="1" applyFill="1" applyBorder="1"/>
    <xf numFmtId="164" fontId="0" fillId="0" borderId="0" xfId="0" applyNumberFormat="1"/>
    <xf numFmtId="164" fontId="7" fillId="0" borderId="53" xfId="0" applyNumberFormat="1" applyFont="1" applyFill="1" applyBorder="1" applyAlignment="1">
      <alignment horizontal="right" indent="1"/>
    </xf>
    <xf numFmtId="0" fontId="39" fillId="18" borderId="52" xfId="0" applyFont="1" applyFill="1" applyBorder="1" applyAlignment="1">
      <alignment horizontal="left" vertical="center"/>
    </xf>
    <xf numFmtId="0" fontId="41" fillId="16" borderId="51" xfId="0" applyFont="1" applyFill="1" applyBorder="1" applyAlignment="1">
      <alignment horizontal="left" vertical="center"/>
    </xf>
    <xf numFmtId="0" fontId="41" fillId="0" borderId="51" xfId="0" applyFont="1" applyBorder="1" applyAlignment="1">
      <alignment horizontal="left" vertical="center"/>
    </xf>
    <xf numFmtId="0" fontId="37" fillId="14" borderId="50" xfId="0" applyFont="1" applyFill="1" applyBorder="1" applyAlignment="1">
      <alignment horizontal="left" vertical="center" wrapText="1"/>
    </xf>
    <xf numFmtId="0" fontId="6" fillId="0" borderId="54" xfId="0" applyFont="1" applyFill="1" applyBorder="1" applyAlignment="1">
      <alignment horizontal="left" indent="1"/>
    </xf>
    <xf numFmtId="0" fontId="33" fillId="6" borderId="58" xfId="0" applyFont="1" applyFill="1" applyBorder="1" applyAlignment="1">
      <alignment horizontal="center" vertical="center" wrapText="1"/>
    </xf>
    <xf numFmtId="0" fontId="33" fillId="12" borderId="59" xfId="0" applyFont="1" applyFill="1" applyBorder="1" applyAlignment="1">
      <alignment horizontal="center" vertical="center" wrapText="1"/>
    </xf>
    <xf numFmtId="0" fontId="33" fillId="12" borderId="18" xfId="0" applyFont="1" applyFill="1" applyBorder="1" applyAlignment="1">
      <alignment horizontal="center" vertical="center" wrapText="1"/>
    </xf>
    <xf numFmtId="0" fontId="33" fillId="12" borderId="56" xfId="0" applyFont="1" applyFill="1" applyBorder="1" applyAlignment="1">
      <alignment horizontal="center" vertical="center" wrapText="1"/>
    </xf>
    <xf numFmtId="0" fontId="34" fillId="13" borderId="55" xfId="0" applyFont="1" applyFill="1" applyBorder="1" applyAlignment="1">
      <alignment horizontal="center" vertical="center"/>
    </xf>
    <xf numFmtId="164" fontId="15" fillId="10" borderId="60" xfId="1" applyNumberFormat="1" applyFont="1" applyFill="1" applyBorder="1" applyAlignment="1">
      <alignment horizontal="center" vertical="center"/>
    </xf>
    <xf numFmtId="166" fontId="15" fillId="10" borderId="60" xfId="0" applyNumberFormat="1" applyFont="1" applyFill="1" applyBorder="1" applyAlignment="1">
      <alignment horizontal="center" vertical="center"/>
    </xf>
    <xf numFmtId="166" fontId="15" fillId="10" borderId="61" xfId="0" applyNumberFormat="1" applyFont="1" applyFill="1" applyBorder="1" applyAlignment="1">
      <alignment horizontal="center" vertical="center"/>
    </xf>
    <xf numFmtId="1" fontId="15" fillId="10" borderId="60" xfId="0" applyNumberFormat="1" applyFont="1" applyFill="1" applyBorder="1" applyAlignment="1">
      <alignment horizontal="center" vertical="center"/>
    </xf>
    <xf numFmtId="0" fontId="16" fillId="12" borderId="62" xfId="0" applyFont="1" applyFill="1" applyBorder="1" applyAlignment="1">
      <alignment horizontal="center" vertical="center"/>
    </xf>
    <xf numFmtId="0" fontId="0" fillId="10" borderId="41" xfId="0" applyFill="1" applyBorder="1" applyAlignment="1">
      <alignment horizontal="center" vertical="center"/>
    </xf>
    <xf numFmtId="0" fontId="6" fillId="12" borderId="39" xfId="0" applyFont="1" applyFill="1" applyBorder="1" applyAlignment="1">
      <alignment horizontal="center" vertical="center"/>
    </xf>
    <xf numFmtId="0" fontId="6" fillId="19" borderId="40" xfId="0" applyFont="1" applyFill="1" applyBorder="1" applyAlignment="1">
      <alignment horizontal="center" vertical="center"/>
    </xf>
    <xf numFmtId="0" fontId="6" fillId="12" borderId="63" xfId="0" applyFont="1" applyFill="1" applyBorder="1" applyAlignment="1">
      <alignment horizontal="center" vertical="center"/>
    </xf>
    <xf numFmtId="0" fontId="6" fillId="10" borderId="41" xfId="0" applyFont="1" applyFill="1" applyBorder="1" applyAlignment="1">
      <alignment horizontal="center" vertical="center"/>
    </xf>
    <xf numFmtId="0" fontId="6" fillId="10" borderId="37" xfId="0" applyFont="1" applyFill="1" applyBorder="1" applyAlignment="1">
      <alignment horizontal="center" vertical="center"/>
    </xf>
    <xf numFmtId="0" fontId="6" fillId="10" borderId="55" xfId="0" applyFont="1" applyFill="1" applyBorder="1" applyAlignment="1">
      <alignment horizontal="center" vertical="center"/>
    </xf>
    <xf numFmtId="1" fontId="7" fillId="0" borderId="55" xfId="0" applyNumberFormat="1" applyFont="1" applyFill="1" applyBorder="1" applyAlignment="1">
      <alignment horizontal="center" vertical="center"/>
    </xf>
    <xf numFmtId="166" fontId="9" fillId="10" borderId="55" xfId="1" applyNumberFormat="1" applyFont="1" applyFill="1" applyBorder="1" applyAlignment="1">
      <alignment horizontal="center" vertical="center"/>
    </xf>
    <xf numFmtId="1" fontId="7" fillId="10" borderId="55" xfId="0" applyNumberFormat="1" applyFont="1" applyFill="1" applyBorder="1" applyAlignment="1">
      <alignment horizontal="center" vertical="center"/>
    </xf>
    <xf numFmtId="166" fontId="7" fillId="10" borderId="36" xfId="0" applyNumberFormat="1" applyFont="1" applyFill="1" applyBorder="1" applyAlignment="1">
      <alignment horizontal="center" vertical="center"/>
    </xf>
    <xf numFmtId="166" fontId="7" fillId="10" borderId="0" xfId="0" applyNumberFormat="1" applyFont="1" applyFill="1" applyBorder="1" applyAlignment="1">
      <alignment horizontal="center" vertical="center"/>
    </xf>
    <xf numFmtId="0" fontId="7" fillId="10" borderId="0" xfId="0" applyFont="1" applyFill="1" applyBorder="1" applyAlignment="1">
      <alignment horizontal="center" vertical="center"/>
    </xf>
    <xf numFmtId="0" fontId="7" fillId="10" borderId="36" xfId="0" applyFont="1" applyFill="1" applyBorder="1" applyAlignment="1">
      <alignment horizontal="center" vertical="center"/>
    </xf>
    <xf numFmtId="0" fontId="7" fillId="10" borderId="41" xfId="0" applyFont="1" applyFill="1" applyBorder="1" applyAlignment="1">
      <alignment vertical="center"/>
    </xf>
    <xf numFmtId="0" fontId="7" fillId="10" borderId="36" xfId="0" applyFont="1" applyFill="1" applyBorder="1" applyAlignment="1">
      <alignment vertical="center"/>
    </xf>
    <xf numFmtId="0" fontId="7" fillId="10" borderId="0" xfId="0" applyFont="1" applyFill="1" applyBorder="1" applyAlignment="1">
      <alignment vertical="center"/>
    </xf>
    <xf numFmtId="10" fontId="7" fillId="10" borderId="41" xfId="1" applyNumberFormat="1" applyFont="1" applyFill="1" applyBorder="1" applyAlignment="1">
      <alignment horizontal="center" vertical="center"/>
    </xf>
    <xf numFmtId="0" fontId="7" fillId="0" borderId="36" xfId="0" applyFont="1" applyBorder="1" applyAlignment="1">
      <alignment vertical="center"/>
    </xf>
    <xf numFmtId="0" fontId="6" fillId="10" borderId="0" xfId="0" applyFont="1" applyFill="1" applyBorder="1" applyAlignment="1">
      <alignment vertical="center" wrapText="1"/>
    </xf>
    <xf numFmtId="164" fontId="7" fillId="10" borderId="41" xfId="1" applyNumberFormat="1" applyFont="1" applyFill="1" applyBorder="1" applyAlignment="1">
      <alignment vertical="center"/>
    </xf>
    <xf numFmtId="164" fontId="7" fillId="10" borderId="37" xfId="1" applyNumberFormat="1" applyFont="1" applyFill="1" applyBorder="1" applyAlignment="1">
      <alignment vertical="center"/>
    </xf>
    <xf numFmtId="0" fontId="6" fillId="10" borderId="36" xfId="0" applyFont="1" applyFill="1" applyBorder="1" applyAlignment="1">
      <alignment horizontal="center" vertical="center"/>
    </xf>
    <xf numFmtId="0" fontId="7" fillId="10" borderId="41" xfId="0" applyFont="1" applyFill="1" applyBorder="1" applyAlignment="1">
      <alignment horizontal="center" vertical="center"/>
    </xf>
    <xf numFmtId="1" fontId="7" fillId="10" borderId="41" xfId="0" applyNumberFormat="1" applyFont="1" applyFill="1" applyBorder="1" applyAlignment="1">
      <alignment horizontal="center" vertical="center"/>
    </xf>
    <xf numFmtId="1" fontId="7" fillId="10" borderId="37" xfId="0" applyNumberFormat="1" applyFont="1" applyFill="1" applyBorder="1" applyAlignment="1">
      <alignment horizontal="center" vertical="center"/>
    </xf>
    <xf numFmtId="0" fontId="7" fillId="10" borderId="37" xfId="0" applyFont="1" applyFill="1" applyBorder="1" applyAlignment="1">
      <alignment horizontal="center" vertical="center"/>
    </xf>
    <xf numFmtId="0" fontId="7" fillId="10" borderId="41" xfId="0" applyFont="1" applyFill="1" applyBorder="1" applyAlignment="1">
      <alignment horizontal="center"/>
    </xf>
    <xf numFmtId="0" fontId="7" fillId="10" borderId="37" xfId="0" applyFont="1" applyFill="1" applyBorder="1" applyAlignment="1">
      <alignment horizontal="center"/>
    </xf>
    <xf numFmtId="0" fontId="7" fillId="0" borderId="36" xfId="0" applyFont="1" applyBorder="1"/>
    <xf numFmtId="0" fontId="7" fillId="10" borderId="0" xfId="0" applyFont="1" applyFill="1" applyBorder="1"/>
    <xf numFmtId="0" fontId="28" fillId="10" borderId="64" xfId="0" applyFont="1" applyFill="1" applyBorder="1" applyAlignment="1">
      <alignment horizontal="center" vertical="center"/>
    </xf>
    <xf numFmtId="0" fontId="0" fillId="10" borderId="64" xfId="0" applyFill="1" applyBorder="1"/>
    <xf numFmtId="0" fontId="31" fillId="10" borderId="64" xfId="0" applyFont="1" applyFill="1" applyBorder="1" applyAlignment="1">
      <alignment vertical="center" wrapText="1"/>
    </xf>
    <xf numFmtId="0" fontId="0" fillId="10" borderId="65" xfId="0" applyFill="1" applyBorder="1"/>
    <xf numFmtId="0" fontId="0" fillId="10" borderId="66" xfId="0" applyFill="1" applyBorder="1"/>
    <xf numFmtId="0" fontId="28" fillId="10" borderId="57" xfId="0" applyFont="1" applyFill="1" applyBorder="1" applyAlignment="1">
      <alignment horizontal="center" vertical="center"/>
    </xf>
    <xf numFmtId="0" fontId="0" fillId="10" borderId="57" xfId="0" applyFill="1" applyBorder="1"/>
    <xf numFmtId="0" fontId="0" fillId="10" borderId="69" xfId="0" applyFill="1" applyBorder="1"/>
    <xf numFmtId="0" fontId="33" fillId="12" borderId="37" xfId="0" applyFont="1" applyFill="1" applyBorder="1" applyAlignment="1">
      <alignment horizontal="center" vertical="center" wrapText="1"/>
    </xf>
    <xf numFmtId="0" fontId="34" fillId="10" borderId="55" xfId="0" applyFont="1" applyFill="1" applyBorder="1" applyAlignment="1">
      <alignment horizontal="center" vertical="center"/>
    </xf>
    <xf numFmtId="0" fontId="34" fillId="10" borderId="63" xfId="0" applyFont="1" applyFill="1" applyBorder="1" applyAlignment="1">
      <alignment horizontal="center" vertical="center"/>
    </xf>
    <xf numFmtId="0" fontId="35" fillId="10" borderId="70" xfId="0" applyFont="1" applyFill="1" applyBorder="1" applyAlignment="1">
      <alignment horizontal="center" vertical="center"/>
    </xf>
    <xf numFmtId="0" fontId="34" fillId="10" borderId="0" xfId="0" applyFont="1" applyFill="1" applyBorder="1" applyAlignment="1">
      <alignment horizontal="center" vertical="center"/>
    </xf>
    <xf numFmtId="0" fontId="35" fillId="10" borderId="0" xfId="0" applyFont="1" applyFill="1" applyBorder="1" applyAlignment="1">
      <alignment horizontal="center" vertical="center"/>
    </xf>
    <xf numFmtId="0" fontId="32" fillId="10" borderId="0" xfId="0" applyFont="1" applyFill="1" applyBorder="1" applyAlignment="1">
      <alignment vertical="center"/>
    </xf>
    <xf numFmtId="10" fontId="0" fillId="0" borderId="0" xfId="0" applyNumberFormat="1"/>
    <xf numFmtId="0" fontId="32" fillId="10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left" vertical="center" indent="1"/>
    </xf>
    <xf numFmtId="0" fontId="0" fillId="10" borderId="71" xfId="0" applyFill="1" applyBorder="1"/>
    <xf numFmtId="0" fontId="0" fillId="10" borderId="72" xfId="0" applyFill="1" applyBorder="1"/>
    <xf numFmtId="0" fontId="0" fillId="10" borderId="73" xfId="0" applyFill="1" applyBorder="1"/>
    <xf numFmtId="0" fontId="0" fillId="10" borderId="74" xfId="0" applyFill="1" applyBorder="1"/>
    <xf numFmtId="0" fontId="0" fillId="10" borderId="75" xfId="0" applyFill="1" applyBorder="1"/>
    <xf numFmtId="0" fontId="36" fillId="10" borderId="0" xfId="0" applyFont="1" applyFill="1" applyBorder="1" applyAlignment="1">
      <alignment vertical="center"/>
    </xf>
    <xf numFmtId="0" fontId="7" fillId="10" borderId="55" xfId="1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3" fontId="0" fillId="0" borderId="0" xfId="0" applyNumberFormat="1"/>
    <xf numFmtId="47" fontId="0" fillId="0" borderId="0" xfId="0" applyNumberFormat="1"/>
    <xf numFmtId="0" fontId="0" fillId="0" borderId="0" xfId="0"/>
    <xf numFmtId="3" fontId="0" fillId="0" borderId="0" xfId="0" applyNumberFormat="1"/>
    <xf numFmtId="47" fontId="0" fillId="0" borderId="0" xfId="0" applyNumberFormat="1"/>
    <xf numFmtId="0" fontId="0" fillId="0" borderId="0" xfId="0"/>
    <xf numFmtId="3" fontId="0" fillId="0" borderId="0" xfId="0" applyNumberFormat="1"/>
    <xf numFmtId="0" fontId="0" fillId="0" borderId="0" xfId="0"/>
    <xf numFmtId="3" fontId="0" fillId="0" borderId="0" xfId="0" applyNumberFormat="1"/>
    <xf numFmtId="0" fontId="43" fillId="0" borderId="76" xfId="2" applyFont="1" applyBorder="1"/>
    <xf numFmtId="0" fontId="42" fillId="0" borderId="76" xfId="2" applyBorder="1"/>
    <xf numFmtId="11" fontId="0" fillId="0" borderId="0" xfId="0" applyNumberFormat="1"/>
    <xf numFmtId="11" fontId="42" fillId="0" borderId="76" xfId="2" applyNumberFormat="1" applyBorder="1"/>
    <xf numFmtId="10" fontId="7" fillId="10" borderId="37" xfId="1" applyNumberFormat="1" applyFont="1" applyFill="1" applyBorder="1" applyAlignment="1">
      <alignment horizontal="center" vertical="center"/>
    </xf>
    <xf numFmtId="10" fontId="7" fillId="10" borderId="49" xfId="1" applyNumberFormat="1" applyFont="1" applyFill="1" applyBorder="1" applyAlignment="1">
      <alignment horizontal="center" vertical="center"/>
    </xf>
    <xf numFmtId="10" fontId="7" fillId="10" borderId="73" xfId="1" applyNumberFormat="1" applyFont="1" applyFill="1" applyBorder="1" applyAlignment="1">
      <alignment horizontal="center" vertical="center"/>
    </xf>
    <xf numFmtId="10" fontId="7" fillId="0" borderId="49" xfId="0" applyNumberFormat="1" applyFont="1" applyFill="1" applyBorder="1" applyAlignment="1">
      <alignment horizontal="center"/>
    </xf>
    <xf numFmtId="10" fontId="7" fillId="10" borderId="41" xfId="0" applyNumberFormat="1" applyFont="1" applyFill="1" applyBorder="1" applyAlignment="1">
      <alignment vertical="center"/>
    </xf>
    <xf numFmtId="10" fontId="7" fillId="10" borderId="37" xfId="0" applyNumberFormat="1" applyFont="1" applyFill="1" applyBorder="1" applyAlignment="1">
      <alignment vertical="center"/>
    </xf>
    <xf numFmtId="2" fontId="7" fillId="10" borderId="4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 wrapText="1"/>
    </xf>
    <xf numFmtId="14" fontId="5" fillId="2" borderId="5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9" xfId="0" applyFont="1" applyFill="1" applyBorder="1" applyAlignment="1">
      <alignment horizontal="center" vertical="center"/>
    </xf>
    <xf numFmtId="166" fontId="7" fillId="0" borderId="31" xfId="0" quotePrefix="1" applyNumberFormat="1" applyFont="1" applyBorder="1" applyAlignment="1">
      <alignment horizontal="center"/>
    </xf>
    <xf numFmtId="166" fontId="7" fillId="0" borderId="32" xfId="0" quotePrefix="1" applyNumberFormat="1" applyFont="1" applyBorder="1" applyAlignment="1">
      <alignment horizontal="center"/>
    </xf>
    <xf numFmtId="166" fontId="9" fillId="0" borderId="29" xfId="1" applyNumberFormat="1" applyFont="1" applyFill="1" applyBorder="1" applyAlignment="1">
      <alignment horizontal="center"/>
    </xf>
    <xf numFmtId="166" fontId="9" fillId="0" borderId="22" xfId="1" applyNumberFormat="1" applyFont="1" applyFill="1" applyBorder="1" applyAlignment="1">
      <alignment horizontal="center"/>
    </xf>
    <xf numFmtId="0" fontId="28" fillId="11" borderId="68" xfId="0" applyFont="1" applyFill="1" applyBorder="1" applyAlignment="1">
      <alignment horizontal="center" vertical="center"/>
    </xf>
    <xf numFmtId="0" fontId="28" fillId="11" borderId="18" xfId="0" applyFont="1" applyFill="1" applyBorder="1" applyAlignment="1">
      <alignment horizontal="center" vertical="center"/>
    </xf>
    <xf numFmtId="0" fontId="28" fillId="11" borderId="67" xfId="0" applyFont="1" applyFill="1" applyBorder="1" applyAlignment="1">
      <alignment horizontal="center" vertical="center"/>
    </xf>
    <xf numFmtId="0" fontId="27" fillId="11" borderId="57" xfId="0" applyFont="1" applyFill="1" applyBorder="1" applyAlignment="1">
      <alignment horizontal="center" vertical="center" textRotation="90"/>
    </xf>
    <xf numFmtId="0" fontId="28" fillId="11" borderId="33" xfId="0" applyFont="1" applyFill="1" applyBorder="1" applyAlignment="1">
      <alignment horizontal="center" vertical="center"/>
    </xf>
    <xf numFmtId="0" fontId="28" fillId="11" borderId="34" xfId="0" applyFont="1" applyFill="1" applyBorder="1" applyAlignment="1">
      <alignment horizontal="center" vertical="center"/>
    </xf>
    <xf numFmtId="0" fontId="28" fillId="11" borderId="35" xfId="0" applyFont="1" applyFill="1" applyBorder="1" applyAlignment="1">
      <alignment horizontal="center" vertical="center"/>
    </xf>
    <xf numFmtId="0" fontId="32" fillId="10" borderId="0" xfId="0" applyFont="1" applyFill="1" applyBorder="1" applyAlignment="1">
      <alignment horizontal="center" vertical="center"/>
    </xf>
    <xf numFmtId="0" fontId="32" fillId="11" borderId="0" xfId="0" applyFont="1" applyFill="1" applyBorder="1" applyAlignment="1">
      <alignment horizontal="center" vertical="center"/>
    </xf>
    <xf numFmtId="0" fontId="32" fillId="11" borderId="36" xfId="0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/>
    </xf>
    <xf numFmtId="0" fontId="17" fillId="20" borderId="0" xfId="0" applyFont="1" applyFill="1" applyAlignment="1">
      <alignment horizontal="center"/>
    </xf>
  </cellXfs>
  <cellStyles count="3">
    <cellStyle name="Normal" xfId="0" builtinId="0"/>
    <cellStyle name="Normal 2" xfId="2" xr:uid="{00000000-0005-0000-0000-000001000000}"/>
    <cellStyle name="Percent" xfId="1" builtinId="5"/>
  </cellStyles>
  <dxfs count="202">
    <dxf>
      <font>
        <color rgb="FF9C0006"/>
      </font>
    </dxf>
    <dxf>
      <font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01"/>
      </font>
    </dxf>
    <dxf>
      <font>
        <color rgb="FF9C0006"/>
      </font>
    </dxf>
    <dxf>
      <font>
        <color theme="9" tint="-0.24994659260841701"/>
      </font>
    </dxf>
    <dxf>
      <font>
        <color rgb="FF9C0006"/>
      </font>
    </dxf>
    <dxf>
      <font>
        <color theme="9" tint="-0.24994659260841701"/>
      </font>
    </dxf>
    <dxf>
      <font>
        <color rgb="FF9C0006"/>
      </font>
    </dxf>
    <dxf>
      <font>
        <color theme="9" tint="-0.24994659260841701"/>
      </font>
    </dxf>
    <dxf>
      <font>
        <color rgb="FFC00000"/>
      </font>
    </dxf>
    <dxf>
      <font>
        <color theme="9" tint="-0.24994659260841701"/>
      </font>
    </dxf>
    <dxf>
      <font>
        <color rgb="FF9C0006"/>
      </font>
    </dxf>
    <dxf>
      <font>
        <color theme="9" tint="-0.24994659260841701"/>
      </font>
      <fill>
        <patternFill>
          <bgColor rgb="FFFFC7CE"/>
        </patternFill>
      </fill>
    </dxf>
    <dxf>
      <font>
        <color theme="9" tint="-0.24994659260841701"/>
      </font>
      <fill>
        <patternFill patternType="none">
          <bgColor auto="1"/>
        </patternFill>
      </fill>
    </dxf>
    <dxf>
      <font>
        <color rgb="FF9C0006"/>
      </font>
    </dxf>
    <dxf>
      <font>
        <color theme="9" tint="-0.24994659260841701"/>
      </font>
      <fill>
        <patternFill>
          <bgColor rgb="FFFFC7CE"/>
        </patternFill>
      </fill>
    </dxf>
    <dxf>
      <font>
        <color theme="9" tint="-0.24994659260841701"/>
      </font>
      <fill>
        <patternFill patternType="none">
          <bgColor auto="1"/>
        </patternFill>
      </fill>
    </dxf>
    <dxf>
      <font>
        <color rgb="FF9C0006"/>
      </font>
    </dxf>
    <dxf>
      <font>
        <color theme="9" tint="-0.24994659260841701"/>
      </font>
      <fill>
        <patternFill>
          <bgColor rgb="FFFFC7CE"/>
        </patternFill>
      </fill>
    </dxf>
    <dxf>
      <font>
        <color theme="9" tint="-0.24994659260841701"/>
      </font>
      <fill>
        <patternFill patternType="none">
          <bgColor auto="1"/>
        </patternFill>
      </fill>
    </dxf>
    <dxf>
      <font>
        <color rgb="FF9C0006"/>
      </font>
    </dxf>
    <dxf>
      <font>
        <color theme="9" tint="-0.24994659260841701"/>
      </font>
      <fill>
        <patternFill>
          <bgColor rgb="FFFFC7CE"/>
        </patternFill>
      </fill>
    </dxf>
    <dxf>
      <font>
        <color theme="9" tint="-0.24994659260841701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</dxf>
    <dxf>
      <font>
        <color theme="9" tint="-0.24994659260841701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  <dxf>
      <font>
        <color rgb="FF9C0006"/>
      </font>
    </dxf>
    <dxf>
      <font>
        <color theme="9" tint="-0.24994659260841701"/>
      </font>
      <fill>
        <patternFill>
          <bgColor rgb="FFFFC7CE"/>
        </patternFill>
      </fill>
    </dxf>
    <dxf>
      <font>
        <color theme="9" tint="-0.24994659260841701"/>
      </font>
      <fill>
        <patternFill patternType="none">
          <bgColor auto="1"/>
        </patternFill>
      </fill>
    </dxf>
    <dxf>
      <font>
        <color rgb="FF9C0006"/>
      </font>
    </dxf>
    <dxf>
      <font>
        <color theme="9" tint="-0.24994659260841701"/>
      </font>
      <fill>
        <patternFill>
          <bgColor rgb="FFFFC7CE"/>
        </patternFill>
      </fill>
    </dxf>
    <dxf>
      <font>
        <color theme="9" tint="-0.24994659260841701"/>
      </font>
      <fill>
        <patternFill patternType="none">
          <bgColor auto="1"/>
        </patternFill>
      </fill>
    </dxf>
    <dxf>
      <font>
        <color rgb="FF9C0006"/>
      </font>
    </dxf>
    <dxf>
      <font>
        <color theme="9" tint="-0.24994659260841701"/>
      </font>
      <fill>
        <patternFill>
          <bgColor rgb="FFFFC7CE"/>
        </patternFill>
      </fill>
    </dxf>
    <dxf>
      <font>
        <color theme="9" tint="-0.24994659260841701"/>
      </font>
      <fill>
        <patternFill patternType="none"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</dxf>
    <dxf>
      <font>
        <color theme="9" tint="-0.24994659260841701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01"/>
      </font>
      <fill>
        <patternFill>
          <bgColor rgb="FFFFC7CE"/>
        </patternFill>
      </fill>
    </dxf>
    <dxf>
      <font>
        <color theme="9" tint="-0.24994659260841701"/>
      </font>
      <fill>
        <patternFill patternType="none">
          <bgColor auto="1"/>
        </patternFill>
      </fill>
    </dxf>
    <dxf>
      <font>
        <color rgb="FF9C0006"/>
      </font>
    </dxf>
    <dxf>
      <font>
        <color theme="9" tint="-0.24994659260841701"/>
      </font>
      <fill>
        <patternFill>
          <bgColor rgb="FFFFC7CE"/>
        </patternFill>
      </fill>
    </dxf>
    <dxf>
      <font>
        <color theme="9" tint="-0.24994659260841701"/>
      </font>
      <fill>
        <patternFill patternType="none">
          <bgColor auto="1"/>
        </patternFill>
      </fill>
    </dxf>
    <dxf>
      <font>
        <color rgb="FF9C0006"/>
      </font>
    </dxf>
    <dxf>
      <font>
        <color theme="9" tint="-0.24994659260841701"/>
      </font>
      <fill>
        <patternFill>
          <bgColor rgb="FFFFC7CE"/>
        </patternFill>
      </fill>
    </dxf>
    <dxf>
      <font>
        <color theme="9" tint="-0.24994659260841701"/>
      </font>
      <fill>
        <patternFill patternType="none">
          <bgColor auto="1"/>
        </patternFill>
      </fill>
    </dxf>
    <dxf>
      <font>
        <color rgb="FF9C0006"/>
      </font>
    </dxf>
    <dxf>
      <font>
        <color theme="9" tint="-0.24994659260841701"/>
      </font>
      <fill>
        <patternFill>
          <bgColor rgb="FFFFC7CE"/>
        </patternFill>
      </fill>
    </dxf>
    <dxf>
      <font>
        <color theme="9" tint="-0.24994659260841701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</dxf>
    <dxf>
      <font>
        <color theme="9" tint="-0.24994659260841701"/>
      </font>
      <fill>
        <patternFill>
          <bgColor rgb="FFFFC7CE"/>
        </patternFill>
      </fill>
    </dxf>
    <dxf>
      <font>
        <color rgb="FF9C0006"/>
      </font>
    </dxf>
    <dxf>
      <font>
        <color theme="9" tint="-0.24994659260841701"/>
      </font>
      <fill>
        <patternFill>
          <bgColor rgb="FFFFC7CE"/>
        </patternFill>
      </fill>
    </dxf>
    <dxf>
      <font>
        <color theme="9" tint="-0.24994659260841701"/>
      </font>
      <fill>
        <patternFill patternType="none">
          <bgColor auto="1"/>
        </patternFill>
      </fill>
    </dxf>
    <dxf>
      <font>
        <color rgb="FF9C0006"/>
      </font>
    </dxf>
    <dxf>
      <font>
        <color theme="9" tint="-0.24994659260841701"/>
      </font>
      <fill>
        <patternFill>
          <bgColor rgb="FFFFC7CE"/>
        </patternFill>
      </fill>
    </dxf>
    <dxf>
      <font>
        <color theme="9" tint="-0.24994659260841701"/>
      </font>
      <fill>
        <patternFill patternType="none">
          <bgColor auto="1"/>
        </patternFill>
      </fill>
    </dxf>
    <dxf>
      <font>
        <color rgb="FF9C0006"/>
      </font>
    </dxf>
    <dxf>
      <font>
        <color theme="9" tint="-0.24994659260841701"/>
      </font>
      <fill>
        <patternFill>
          <bgColor rgb="FFFFC7CE"/>
        </patternFill>
      </fill>
    </dxf>
    <dxf>
      <font>
        <color theme="9" tint="-0.24994659260841701"/>
      </font>
      <fill>
        <patternFill patternType="none">
          <bgColor auto="1"/>
        </patternFill>
      </fill>
    </dxf>
    <dxf>
      <font>
        <color rgb="FF9C0006"/>
      </font>
    </dxf>
    <dxf>
      <font>
        <color theme="9" tint="-0.24994659260841701"/>
      </font>
      <fill>
        <patternFill>
          <bgColor rgb="FFFFC7CE"/>
        </patternFill>
      </fill>
    </dxf>
    <dxf>
      <font>
        <color theme="9" tint="-0.24994659260841701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</dxf>
    <dxf>
      <font>
        <color theme="9" tint="-0.24994659260841701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EB8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147534</xdr:colOff>
      <xdr:row>16</xdr:row>
      <xdr:rowOff>24390</xdr:rowOff>
    </xdr:from>
    <xdr:to>
      <xdr:col>3</xdr:col>
      <xdr:colOff>147534</xdr:colOff>
      <xdr:row>18</xdr:row>
      <xdr:rowOff>196702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91E8A20-7C68-4E15-A45F-D7F9BC46AABB}"/>
            </a:ext>
          </a:extLst>
        </xdr:cNvPr>
        <xdr:cNvCxnSpPr/>
      </xdr:nvCxnSpPr>
      <xdr:spPr>
        <a:xfrm>
          <a:off x="804759" y="3367665"/>
          <a:ext cx="0" cy="62951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161269</xdr:colOff>
      <xdr:row>16</xdr:row>
      <xdr:rowOff>161270</xdr:rowOff>
    </xdr:from>
    <xdr:to>
      <xdr:col>3</xdr:col>
      <xdr:colOff>251983</xdr:colOff>
      <xdr:row>16</xdr:row>
      <xdr:rowOff>161270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80C7317-3BEF-48E2-8828-0864AACC1F35}"/>
            </a:ext>
          </a:extLst>
        </xdr:cNvPr>
        <xdr:cNvCxnSpPr/>
      </xdr:nvCxnSpPr>
      <xdr:spPr>
        <a:xfrm>
          <a:off x="818494" y="3504545"/>
          <a:ext cx="9071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162484</xdr:colOff>
      <xdr:row>17</xdr:row>
      <xdr:rowOff>71763</xdr:rowOff>
    </xdr:from>
    <xdr:to>
      <xdr:col>3</xdr:col>
      <xdr:colOff>253198</xdr:colOff>
      <xdr:row>17</xdr:row>
      <xdr:rowOff>71763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F2D50D8-3F88-4220-9554-960FDCC6B662}"/>
            </a:ext>
          </a:extLst>
        </xdr:cNvPr>
        <xdr:cNvCxnSpPr/>
      </xdr:nvCxnSpPr>
      <xdr:spPr>
        <a:xfrm>
          <a:off x="819709" y="3719838"/>
          <a:ext cx="9071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173770</xdr:colOff>
      <xdr:row>18</xdr:row>
      <xdr:rowOff>183848</xdr:rowOff>
    </xdr:from>
    <xdr:to>
      <xdr:col>3</xdr:col>
      <xdr:colOff>264484</xdr:colOff>
      <xdr:row>18</xdr:row>
      <xdr:rowOff>183848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6366822-9CF8-4CEC-862F-CA1D3B072734}"/>
            </a:ext>
          </a:extLst>
        </xdr:cNvPr>
        <xdr:cNvCxnSpPr/>
      </xdr:nvCxnSpPr>
      <xdr:spPr>
        <a:xfrm>
          <a:off x="830995" y="3984323"/>
          <a:ext cx="9071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144683</xdr:colOff>
      <xdr:row>20</xdr:row>
      <xdr:rowOff>72341</xdr:rowOff>
    </xdr:from>
    <xdr:to>
      <xdr:col>3</xdr:col>
      <xdr:colOff>152721</xdr:colOff>
      <xdr:row>22</xdr:row>
      <xdr:rowOff>120570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2ABC5EC-931A-40E9-8737-56F4178CFBBF}"/>
            </a:ext>
          </a:extLst>
        </xdr:cNvPr>
        <xdr:cNvCxnSpPr/>
      </xdr:nvCxnSpPr>
      <xdr:spPr>
        <a:xfrm>
          <a:off x="801908" y="4425266"/>
          <a:ext cx="8038" cy="53400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161269</xdr:colOff>
      <xdr:row>20</xdr:row>
      <xdr:rowOff>161270</xdr:rowOff>
    </xdr:from>
    <xdr:to>
      <xdr:col>3</xdr:col>
      <xdr:colOff>251983</xdr:colOff>
      <xdr:row>20</xdr:row>
      <xdr:rowOff>161270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A2B3D26-8673-4D87-9307-634C906A3138}"/>
            </a:ext>
          </a:extLst>
        </xdr:cNvPr>
        <xdr:cNvCxnSpPr/>
      </xdr:nvCxnSpPr>
      <xdr:spPr>
        <a:xfrm>
          <a:off x="818494" y="4514195"/>
          <a:ext cx="9071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162484</xdr:colOff>
      <xdr:row>21</xdr:row>
      <xdr:rowOff>112079</xdr:rowOff>
    </xdr:from>
    <xdr:to>
      <xdr:col>3</xdr:col>
      <xdr:colOff>253198</xdr:colOff>
      <xdr:row>21</xdr:row>
      <xdr:rowOff>112079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689DDE5B-55E8-44A9-B8E2-B44FE611A39C}"/>
            </a:ext>
          </a:extLst>
        </xdr:cNvPr>
        <xdr:cNvCxnSpPr/>
      </xdr:nvCxnSpPr>
      <xdr:spPr>
        <a:xfrm>
          <a:off x="819709" y="4731704"/>
          <a:ext cx="9071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163691</xdr:colOff>
      <xdr:row>22</xdr:row>
      <xdr:rowOff>123373</xdr:rowOff>
    </xdr:from>
    <xdr:to>
      <xdr:col>3</xdr:col>
      <xdr:colOff>254405</xdr:colOff>
      <xdr:row>22</xdr:row>
      <xdr:rowOff>123373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A033D21-A05C-4F61-A3F7-918FE0F96C1D}"/>
            </a:ext>
          </a:extLst>
        </xdr:cNvPr>
        <xdr:cNvCxnSpPr/>
      </xdr:nvCxnSpPr>
      <xdr:spPr>
        <a:xfrm>
          <a:off x="820916" y="4962073"/>
          <a:ext cx="9071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41"/>
  <sheetViews>
    <sheetView showGridLines="0" zoomScaleNormal="100" workbookViewId="0">
      <selection activeCell="B5" sqref="B5"/>
    </sheetView>
  </sheetViews>
  <sheetFormatPr defaultColWidth="8.7265625" defaultRowHeight="12" x14ac:dyDescent="0.3"/>
  <cols>
    <col min="1" max="1" width="20.26953125" style="1" bestFit="1" customWidth="1"/>
    <col min="2" max="2" width="9.81640625" style="1" bestFit="1" customWidth="1"/>
    <col min="3" max="4" width="9.7265625" style="1" bestFit="1" customWidth="1"/>
    <col min="5" max="5" width="11.7265625" style="1" bestFit="1" customWidth="1"/>
    <col min="6" max="6" width="11.81640625" style="1" bestFit="1" customWidth="1"/>
    <col min="7" max="7" width="9.7265625" style="1" bestFit="1" customWidth="1"/>
    <col min="8" max="8" width="9.7265625" style="1" customWidth="1"/>
    <col min="9" max="9" width="7.7265625" style="1" customWidth="1"/>
    <col min="10" max="10" width="9.1796875" style="1" customWidth="1"/>
    <col min="11" max="11" width="7.7265625" style="1" customWidth="1"/>
    <col min="12" max="12" width="13.26953125" style="1" customWidth="1"/>
    <col min="13" max="13" width="7.7265625" style="1" customWidth="1"/>
    <col min="14" max="14" width="12.54296875" style="1" customWidth="1"/>
    <col min="15" max="15" width="7.7265625" style="1" customWidth="1"/>
    <col min="16" max="16384" width="8.7265625" style="1"/>
  </cols>
  <sheetData>
    <row r="1" spans="1:15" ht="28.9" customHeight="1" x14ac:dyDescent="0.3">
      <c r="A1" s="291" t="s">
        <v>39</v>
      </c>
      <c r="B1" s="292"/>
      <c r="C1" s="293">
        <f ca="1">TODAY()-1</f>
        <v>45644</v>
      </c>
      <c r="D1" s="294"/>
    </row>
    <row r="2" spans="1:15" customFormat="1" ht="15" thickBot="1" x14ac:dyDescent="0.4">
      <c r="E2" s="1"/>
    </row>
    <row r="3" spans="1:15" ht="18" customHeight="1" thickBot="1" x14ac:dyDescent="0.4">
      <c r="A3" s="295" t="s">
        <v>34</v>
      </c>
      <c r="B3" s="296"/>
      <c r="C3" s="296"/>
      <c r="D3" s="296"/>
      <c r="E3" s="296"/>
      <c r="F3" s="296"/>
      <c r="G3" s="296"/>
      <c r="H3"/>
      <c r="L3" s="39"/>
    </row>
    <row r="4" spans="1:15" ht="19.899999999999999" customHeight="1" thickBot="1" x14ac:dyDescent="0.4">
      <c r="A4" s="47" t="s">
        <v>33</v>
      </c>
      <c r="B4" s="49">
        <f ca="1">TODAY()-1</f>
        <v>45644</v>
      </c>
      <c r="C4" s="45" t="s">
        <v>37</v>
      </c>
      <c r="D4" s="45" t="s">
        <v>30</v>
      </c>
      <c r="E4" s="45" t="s">
        <v>35</v>
      </c>
      <c r="F4" s="45" t="s">
        <v>36</v>
      </c>
      <c r="G4" s="46" t="s">
        <v>38</v>
      </c>
      <c r="H4"/>
      <c r="I4"/>
      <c r="J4"/>
      <c r="K4"/>
    </row>
    <row r="5" spans="1:15" ht="19.149999999999999" customHeight="1" x14ac:dyDescent="0.35">
      <c r="A5" s="44" t="s">
        <v>1</v>
      </c>
      <c r="B5" s="28">
        <v>0.99790000000000001</v>
      </c>
      <c r="C5" s="28">
        <v>0.9879</v>
      </c>
      <c r="D5" s="29">
        <v>0.99</v>
      </c>
      <c r="E5" s="30">
        <v>-1.1299999999999999</v>
      </c>
      <c r="F5" s="30">
        <v>-1.1299999999999999</v>
      </c>
      <c r="G5" s="27">
        <v>3</v>
      </c>
      <c r="H5"/>
      <c r="I5"/>
      <c r="J5"/>
      <c r="K5"/>
    </row>
    <row r="6" spans="1:15" ht="19.899999999999999" customHeight="1" x14ac:dyDescent="0.35">
      <c r="A6" s="44" t="s">
        <v>32</v>
      </c>
      <c r="B6" s="28">
        <v>0.72199999999999998</v>
      </c>
      <c r="C6" s="28">
        <v>0.72199999999999998</v>
      </c>
      <c r="D6" s="29">
        <v>0.9</v>
      </c>
      <c r="E6" s="30">
        <v>-1.1299999999999999</v>
      </c>
      <c r="F6" s="30">
        <v>-0.24</v>
      </c>
      <c r="G6" s="27">
        <v>1</v>
      </c>
      <c r="H6"/>
      <c r="I6"/>
      <c r="J6"/>
      <c r="K6"/>
    </row>
    <row r="7" spans="1:15" ht="19.149999999999999" customHeight="1" x14ac:dyDescent="0.35">
      <c r="A7" s="43" t="s">
        <v>0</v>
      </c>
      <c r="B7" s="32">
        <v>0.81</v>
      </c>
      <c r="C7" s="32">
        <v>0.72199999999999998</v>
      </c>
      <c r="D7" s="33">
        <v>0.8</v>
      </c>
      <c r="E7" s="34">
        <v>-6.4</v>
      </c>
      <c r="F7" s="35">
        <v>4.4000000000000004</v>
      </c>
      <c r="G7" s="36">
        <v>2</v>
      </c>
      <c r="H7"/>
      <c r="I7"/>
      <c r="J7"/>
      <c r="K7"/>
    </row>
    <row r="8" spans="1:15" ht="19.899999999999999" customHeight="1" x14ac:dyDescent="0.3">
      <c r="A8" s="43" t="s">
        <v>48</v>
      </c>
      <c r="B8" s="32">
        <v>0.81</v>
      </c>
      <c r="C8" s="32">
        <v>0.72199999999999998</v>
      </c>
      <c r="D8" s="33">
        <v>0.8</v>
      </c>
    </row>
    <row r="9" spans="1:15" ht="20.5" customHeight="1" x14ac:dyDescent="0.35">
      <c r="A9" s="44" t="s">
        <v>31</v>
      </c>
      <c r="B9" s="28">
        <v>0.84399999999999997</v>
      </c>
      <c r="C9" s="28">
        <v>0.84399999999999997</v>
      </c>
      <c r="D9" s="29">
        <v>0.9</v>
      </c>
      <c r="E9"/>
      <c r="F9"/>
      <c r="G9"/>
      <c r="I9"/>
      <c r="J9"/>
      <c r="K9"/>
      <c r="L9"/>
    </row>
    <row r="10" spans="1:15" ht="19.899999999999999" customHeight="1" x14ac:dyDescent="0.3">
      <c r="A10" s="44" t="s">
        <v>2</v>
      </c>
      <c r="B10" s="28">
        <v>0.99039999999999995</v>
      </c>
      <c r="C10" s="28">
        <v>0.99039999999999995</v>
      </c>
      <c r="D10" s="29">
        <v>0.99</v>
      </c>
    </row>
    <row r="14" spans="1:15" ht="12.5" thickBot="1" x14ac:dyDescent="0.35">
      <c r="B14" s="2"/>
    </row>
    <row r="15" spans="1:15" ht="15" thickBot="1" x14ac:dyDescent="0.4">
      <c r="A15" s="295" t="s">
        <v>27</v>
      </c>
      <c r="B15" s="296"/>
      <c r="C15" s="296"/>
      <c r="D15" s="296"/>
      <c r="E15" s="296"/>
      <c r="F15" s="296"/>
      <c r="G15" s="296"/>
      <c r="H15" s="296"/>
      <c r="I15" s="296"/>
      <c r="J15" s="296"/>
      <c r="K15" s="296"/>
      <c r="L15" s="296"/>
      <c r="M15" s="296"/>
      <c r="N15" s="296"/>
      <c r="O15"/>
    </row>
    <row r="16" spans="1:15" ht="11.5" customHeight="1" x14ac:dyDescent="0.3">
      <c r="A16" s="24" t="s">
        <v>3</v>
      </c>
      <c r="B16" s="4" t="s">
        <v>4</v>
      </c>
      <c r="C16" s="5" t="s">
        <v>6</v>
      </c>
      <c r="D16" s="5" t="s">
        <v>8</v>
      </c>
      <c r="E16" s="5" t="s">
        <v>10</v>
      </c>
      <c r="F16" s="5" t="s">
        <v>11</v>
      </c>
      <c r="G16" s="5" t="s">
        <v>13</v>
      </c>
      <c r="H16" s="31" t="s">
        <v>14</v>
      </c>
      <c r="I16" s="31" t="s">
        <v>15</v>
      </c>
      <c r="J16" s="285" t="s">
        <v>16</v>
      </c>
      <c r="K16" s="287" t="s">
        <v>29</v>
      </c>
      <c r="L16" s="289" t="s">
        <v>47</v>
      </c>
      <c r="M16" s="289" t="s">
        <v>17</v>
      </c>
      <c r="N16" s="289" t="s">
        <v>46</v>
      </c>
    </row>
    <row r="17" spans="1:15" ht="13.5" thickBot="1" x14ac:dyDescent="0.35">
      <c r="A17" s="25"/>
      <c r="B17" s="6" t="s">
        <v>5</v>
      </c>
      <c r="C17" s="7" t="s">
        <v>7</v>
      </c>
      <c r="D17" s="7" t="s">
        <v>9</v>
      </c>
      <c r="E17" s="7" t="s">
        <v>9</v>
      </c>
      <c r="F17" s="7" t="s">
        <v>12</v>
      </c>
      <c r="G17" s="7" t="s">
        <v>9</v>
      </c>
      <c r="H17" s="7" t="s">
        <v>9</v>
      </c>
      <c r="I17" s="26"/>
      <c r="J17" s="286"/>
      <c r="K17" s="288"/>
      <c r="L17" s="290"/>
      <c r="M17" s="290"/>
      <c r="N17" s="290"/>
    </row>
    <row r="18" spans="1:15" ht="13" x14ac:dyDescent="0.3">
      <c r="A18" s="10" t="s">
        <v>18</v>
      </c>
      <c r="B18" s="11">
        <v>426</v>
      </c>
      <c r="C18" s="12"/>
      <c r="D18" s="19"/>
      <c r="E18" s="48">
        <v>19</v>
      </c>
      <c r="F18" s="19"/>
      <c r="G18" s="19"/>
      <c r="H18" s="19"/>
      <c r="I18" s="19"/>
      <c r="J18" s="19"/>
      <c r="K18" s="37">
        <v>19</v>
      </c>
      <c r="L18" s="37" t="s">
        <v>41</v>
      </c>
      <c r="M18" s="14">
        <v>3</v>
      </c>
      <c r="N18" s="40">
        <v>4</v>
      </c>
    </row>
    <row r="19" spans="1:15" ht="13" x14ac:dyDescent="0.3">
      <c r="A19" s="15" t="s">
        <v>19</v>
      </c>
      <c r="B19" s="16">
        <v>923</v>
      </c>
      <c r="C19" s="17">
        <v>7</v>
      </c>
      <c r="D19" s="17">
        <v>3</v>
      </c>
      <c r="E19" s="17">
        <v>1</v>
      </c>
      <c r="F19" s="17"/>
      <c r="G19" s="17"/>
      <c r="H19" s="17"/>
      <c r="I19" s="17"/>
      <c r="J19" s="17"/>
      <c r="K19" s="18">
        <v>11</v>
      </c>
      <c r="L19" s="18" t="s">
        <v>42</v>
      </c>
      <c r="M19" s="18">
        <v>2</v>
      </c>
      <c r="N19" s="16"/>
    </row>
    <row r="20" spans="1:15" ht="13" x14ac:dyDescent="0.3">
      <c r="A20" s="10" t="s">
        <v>20</v>
      </c>
      <c r="B20" s="11">
        <v>205</v>
      </c>
      <c r="C20" s="12"/>
      <c r="D20" s="19"/>
      <c r="E20" s="19"/>
      <c r="F20" s="19"/>
      <c r="G20" s="19"/>
      <c r="H20" s="19"/>
      <c r="I20" s="19"/>
      <c r="J20" s="19"/>
      <c r="K20" s="42" t="s">
        <v>40</v>
      </c>
      <c r="L20" s="38"/>
      <c r="M20" s="14"/>
      <c r="N20" s="40"/>
    </row>
    <row r="21" spans="1:15" ht="13" x14ac:dyDescent="0.3">
      <c r="A21" s="15" t="s">
        <v>21</v>
      </c>
      <c r="B21" s="16">
        <v>315</v>
      </c>
      <c r="C21" s="17">
        <v>5</v>
      </c>
      <c r="D21" s="17"/>
      <c r="E21" s="17">
        <v>1</v>
      </c>
      <c r="F21" s="17"/>
      <c r="G21" s="17"/>
      <c r="H21" s="17">
        <v>3</v>
      </c>
      <c r="I21" s="17"/>
      <c r="J21" s="17"/>
      <c r="K21" s="18">
        <v>9</v>
      </c>
      <c r="L21" s="18" t="s">
        <v>43</v>
      </c>
      <c r="M21" s="18">
        <v>1</v>
      </c>
      <c r="N21" s="16"/>
    </row>
    <row r="22" spans="1:15" ht="13" x14ac:dyDescent="0.3">
      <c r="A22" s="10" t="s">
        <v>22</v>
      </c>
      <c r="B22" s="11">
        <v>90</v>
      </c>
      <c r="C22" s="12"/>
      <c r="D22" s="19"/>
      <c r="E22" s="19"/>
      <c r="F22" s="19"/>
      <c r="G22" s="19"/>
      <c r="H22" s="19"/>
      <c r="I22" s="19"/>
      <c r="J22" s="19"/>
      <c r="K22" s="42" t="s">
        <v>40</v>
      </c>
      <c r="L22" s="38" t="s">
        <v>44</v>
      </c>
      <c r="M22" s="14"/>
      <c r="N22" s="40"/>
    </row>
    <row r="23" spans="1:15" ht="13" x14ac:dyDescent="0.3">
      <c r="A23" s="15" t="s">
        <v>23</v>
      </c>
      <c r="B23" s="16">
        <v>171</v>
      </c>
      <c r="C23" s="17"/>
      <c r="D23" s="17"/>
      <c r="E23" s="17"/>
      <c r="F23" s="17"/>
      <c r="G23" s="17"/>
      <c r="H23" s="17"/>
      <c r="I23" s="17"/>
      <c r="J23" s="17"/>
      <c r="K23" s="41" t="s">
        <v>40</v>
      </c>
      <c r="L23" s="18"/>
      <c r="M23" s="18"/>
      <c r="N23" s="16"/>
    </row>
    <row r="24" spans="1:15" ht="13" x14ac:dyDescent="0.3">
      <c r="A24" s="10" t="s">
        <v>24</v>
      </c>
      <c r="B24" s="11">
        <v>383</v>
      </c>
      <c r="C24" s="12"/>
      <c r="D24" s="12">
        <v>4</v>
      </c>
      <c r="E24" s="12"/>
      <c r="F24" s="12"/>
      <c r="G24" s="19"/>
      <c r="H24" s="19"/>
      <c r="I24" s="19"/>
      <c r="J24" s="19"/>
      <c r="K24" s="38">
        <v>4</v>
      </c>
      <c r="L24" s="38"/>
      <c r="M24" s="14"/>
      <c r="N24" s="40"/>
    </row>
    <row r="25" spans="1:15" ht="13.5" thickBot="1" x14ac:dyDescent="0.35">
      <c r="A25" s="15" t="s">
        <v>25</v>
      </c>
      <c r="B25" s="16">
        <v>292</v>
      </c>
      <c r="C25" s="17"/>
      <c r="D25" s="17"/>
      <c r="E25" s="17"/>
      <c r="F25" s="17"/>
      <c r="G25" s="17"/>
      <c r="H25" s="17">
        <v>4</v>
      </c>
      <c r="I25" s="17"/>
      <c r="J25" s="17"/>
      <c r="K25" s="18">
        <v>4</v>
      </c>
      <c r="L25" s="18" t="s">
        <v>45</v>
      </c>
      <c r="M25" s="18">
        <v>3</v>
      </c>
      <c r="N25" s="16">
        <v>2</v>
      </c>
    </row>
    <row r="26" spans="1:15" ht="13.5" thickBot="1" x14ac:dyDescent="0.35">
      <c r="A26" s="20" t="s">
        <v>26</v>
      </c>
      <c r="B26" s="21">
        <v>2805</v>
      </c>
      <c r="C26" s="22">
        <f>SUM(C18:C25)</f>
        <v>12</v>
      </c>
      <c r="D26" s="22">
        <v>7</v>
      </c>
      <c r="E26" s="22">
        <v>21</v>
      </c>
      <c r="F26" s="22"/>
      <c r="G26" s="22"/>
      <c r="H26" s="22">
        <v>7</v>
      </c>
      <c r="I26" s="22"/>
      <c r="J26" s="22"/>
      <c r="K26" s="23">
        <f>SUM(K18:K25)</f>
        <v>47</v>
      </c>
      <c r="L26" s="23"/>
      <c r="M26" s="23">
        <f>SUM(M18:M25)</f>
        <v>9</v>
      </c>
      <c r="N26" s="23">
        <f>SUM(N18:N25)</f>
        <v>6</v>
      </c>
    </row>
    <row r="27" spans="1:15" ht="9.4" customHeight="1" x14ac:dyDescent="0.35">
      <c r="A27" s="8"/>
      <c r="B27" s="9"/>
      <c r="C27"/>
      <c r="D27"/>
      <c r="E27"/>
      <c r="F27"/>
      <c r="G27" s="9"/>
      <c r="H27" s="9"/>
      <c r="I27" s="9"/>
      <c r="J27" s="9"/>
      <c r="K27" s="9"/>
      <c r="L27" s="9"/>
      <c r="M27" s="9"/>
      <c r="N27" s="9"/>
      <c r="O27" s="9"/>
    </row>
    <row r="28" spans="1:15" ht="9.4" customHeight="1" x14ac:dyDescent="0.35">
      <c r="A28" s="8"/>
      <c r="B28" s="9"/>
      <c r="C28"/>
      <c r="D28"/>
      <c r="E28"/>
      <c r="F28"/>
      <c r="G28" s="9"/>
      <c r="H28" s="9"/>
      <c r="I28" s="9"/>
      <c r="J28" s="9"/>
      <c r="K28" s="9"/>
      <c r="L28" s="9"/>
      <c r="M28" s="9"/>
      <c r="N28" s="9"/>
      <c r="O28" s="9"/>
    </row>
    <row r="29" spans="1:15" ht="9.4" customHeight="1" thickBot="1" x14ac:dyDescent="0.35"/>
    <row r="30" spans="1:15" ht="15" thickBot="1" x14ac:dyDescent="0.4">
      <c r="A30" s="283" t="s">
        <v>28</v>
      </c>
      <c r="B30" s="284"/>
      <c r="C30" s="284"/>
      <c r="D30" s="284"/>
      <c r="E30" s="284"/>
      <c r="F30" s="284"/>
      <c r="G30" s="284"/>
      <c r="H30" s="284"/>
      <c r="I30" s="284"/>
      <c r="J30" s="284"/>
      <c r="K30" s="284"/>
      <c r="L30" s="284"/>
      <c r="M30" s="284"/>
      <c r="N30" s="284"/>
      <c r="O30"/>
    </row>
    <row r="31" spans="1:15" ht="9.4" customHeight="1" x14ac:dyDescent="0.3">
      <c r="A31" s="24" t="s">
        <v>3</v>
      </c>
      <c r="B31" s="4" t="s">
        <v>4</v>
      </c>
      <c r="C31" s="5" t="s">
        <v>6</v>
      </c>
      <c r="D31" s="5" t="s">
        <v>8</v>
      </c>
      <c r="E31" s="5" t="s">
        <v>10</v>
      </c>
      <c r="F31" s="5" t="s">
        <v>11</v>
      </c>
      <c r="G31" s="5" t="s">
        <v>13</v>
      </c>
      <c r="H31" s="31" t="s">
        <v>14</v>
      </c>
      <c r="I31" s="31" t="s">
        <v>15</v>
      </c>
      <c r="J31" s="285" t="s">
        <v>16</v>
      </c>
      <c r="K31" s="287" t="s">
        <v>29</v>
      </c>
      <c r="L31" s="289" t="s">
        <v>47</v>
      </c>
      <c r="M31" s="289" t="s">
        <v>17</v>
      </c>
      <c r="N31" s="289" t="s">
        <v>46</v>
      </c>
    </row>
    <row r="32" spans="1:15" ht="13.5" thickBot="1" x14ac:dyDescent="0.35">
      <c r="A32" s="25"/>
      <c r="B32" s="6" t="s">
        <v>5</v>
      </c>
      <c r="C32" s="7" t="s">
        <v>7</v>
      </c>
      <c r="D32" s="7" t="s">
        <v>9</v>
      </c>
      <c r="E32" s="7" t="s">
        <v>9</v>
      </c>
      <c r="F32" s="7" t="s">
        <v>12</v>
      </c>
      <c r="G32" s="7" t="s">
        <v>9</v>
      </c>
      <c r="H32" s="7" t="s">
        <v>9</v>
      </c>
      <c r="I32" s="26"/>
      <c r="J32" s="286"/>
      <c r="K32" s="288"/>
      <c r="L32" s="290"/>
      <c r="M32" s="290"/>
      <c r="N32" s="290"/>
    </row>
    <row r="33" spans="1:14" ht="13" x14ac:dyDescent="0.3">
      <c r="A33" s="10" t="s">
        <v>18</v>
      </c>
      <c r="B33" s="11">
        <v>426</v>
      </c>
      <c r="C33" s="12"/>
      <c r="D33" s="19"/>
      <c r="E33" s="13">
        <v>2</v>
      </c>
      <c r="F33" s="19"/>
      <c r="G33" s="19"/>
      <c r="H33" s="19"/>
      <c r="I33" s="19"/>
      <c r="J33" s="19"/>
      <c r="K33" s="37">
        <v>2</v>
      </c>
      <c r="L33" s="37"/>
      <c r="M33" s="14"/>
      <c r="N33" s="38"/>
    </row>
    <row r="34" spans="1:14" ht="13" x14ac:dyDescent="0.3">
      <c r="A34" s="15" t="s">
        <v>19</v>
      </c>
      <c r="B34" s="16">
        <v>923</v>
      </c>
      <c r="C34" s="17">
        <v>1</v>
      </c>
      <c r="D34" s="17"/>
      <c r="E34" s="17">
        <v>1</v>
      </c>
      <c r="F34" s="17"/>
      <c r="G34" s="17"/>
      <c r="H34" s="17"/>
      <c r="I34" s="17"/>
      <c r="J34" s="17"/>
      <c r="K34" s="18">
        <v>2</v>
      </c>
      <c r="L34" s="18"/>
      <c r="M34" s="18"/>
      <c r="N34" s="18">
        <v>3</v>
      </c>
    </row>
    <row r="35" spans="1:14" ht="13" x14ac:dyDescent="0.3">
      <c r="A35" s="10" t="s">
        <v>20</v>
      </c>
      <c r="B35" s="11">
        <v>205</v>
      </c>
      <c r="C35" s="12"/>
      <c r="D35" s="19"/>
      <c r="E35" s="19"/>
      <c r="F35" s="19"/>
      <c r="G35" s="19"/>
      <c r="H35" s="19"/>
      <c r="I35" s="19"/>
      <c r="J35" s="19"/>
      <c r="K35" s="42" t="s">
        <v>40</v>
      </c>
      <c r="L35" s="38"/>
      <c r="M35" s="14"/>
      <c r="N35" s="38"/>
    </row>
    <row r="36" spans="1:14" ht="13" x14ac:dyDescent="0.3">
      <c r="A36" s="15" t="s">
        <v>21</v>
      </c>
      <c r="B36" s="16">
        <v>315</v>
      </c>
      <c r="C36" s="17"/>
      <c r="D36" s="17"/>
      <c r="E36" s="17"/>
      <c r="F36" s="17">
        <v>1</v>
      </c>
      <c r="G36" s="17"/>
      <c r="H36" s="17"/>
      <c r="I36" s="17"/>
      <c r="J36" s="17"/>
      <c r="K36" s="41">
        <v>1</v>
      </c>
      <c r="L36" s="18"/>
      <c r="M36" s="18"/>
      <c r="N36" s="18"/>
    </row>
    <row r="37" spans="1:14" ht="13" x14ac:dyDescent="0.3">
      <c r="A37" s="10" t="s">
        <v>22</v>
      </c>
      <c r="B37" s="11">
        <v>90</v>
      </c>
      <c r="C37" s="12"/>
      <c r="D37" s="19"/>
      <c r="E37" s="19"/>
      <c r="F37" s="19"/>
      <c r="G37" s="19"/>
      <c r="H37" s="19"/>
      <c r="I37" s="19"/>
      <c r="J37" s="19"/>
      <c r="K37" s="42" t="s">
        <v>40</v>
      </c>
      <c r="L37" s="38" t="s">
        <v>44</v>
      </c>
      <c r="M37" s="14">
        <v>7</v>
      </c>
      <c r="N37" s="38"/>
    </row>
    <row r="38" spans="1:14" ht="13" x14ac:dyDescent="0.3">
      <c r="A38" s="15" t="s">
        <v>23</v>
      </c>
      <c r="B38" s="16">
        <v>171</v>
      </c>
      <c r="C38" s="17"/>
      <c r="D38" s="17"/>
      <c r="E38" s="17"/>
      <c r="F38" s="17"/>
      <c r="G38" s="17"/>
      <c r="H38" s="17"/>
      <c r="I38" s="17"/>
      <c r="J38" s="17"/>
      <c r="K38" s="41" t="s">
        <v>40</v>
      </c>
      <c r="L38" s="18"/>
      <c r="M38" s="18"/>
      <c r="N38" s="18"/>
    </row>
    <row r="39" spans="1:14" ht="13" x14ac:dyDescent="0.3">
      <c r="A39" s="10" t="s">
        <v>24</v>
      </c>
      <c r="B39" s="11">
        <v>383</v>
      </c>
      <c r="C39" s="12"/>
      <c r="D39" s="19">
        <v>3</v>
      </c>
      <c r="E39" s="19"/>
      <c r="F39" s="19"/>
      <c r="G39" s="19"/>
      <c r="H39" s="19"/>
      <c r="I39" s="19"/>
      <c r="J39" s="19"/>
      <c r="K39" s="38">
        <v>3</v>
      </c>
      <c r="L39" s="38"/>
      <c r="M39" s="14"/>
      <c r="N39" s="38"/>
    </row>
    <row r="40" spans="1:14" ht="13.5" thickBot="1" x14ac:dyDescent="0.35">
      <c r="A40" s="15" t="s">
        <v>25</v>
      </c>
      <c r="B40" s="16">
        <v>292</v>
      </c>
      <c r="C40" s="17"/>
      <c r="D40" s="17"/>
      <c r="E40" s="17"/>
      <c r="F40" s="17"/>
      <c r="G40" s="17"/>
      <c r="H40" s="17"/>
      <c r="I40" s="17"/>
      <c r="J40" s="17"/>
      <c r="K40" s="41" t="s">
        <v>40</v>
      </c>
      <c r="L40" s="18" t="s">
        <v>41</v>
      </c>
      <c r="M40" s="18">
        <v>3</v>
      </c>
      <c r="N40" s="18">
        <v>2</v>
      </c>
    </row>
    <row r="41" spans="1:14" ht="13.5" thickBot="1" x14ac:dyDescent="0.35">
      <c r="A41" s="20" t="s">
        <v>26</v>
      </c>
      <c r="B41" s="21">
        <v>2805</v>
      </c>
      <c r="C41" s="22">
        <v>1</v>
      </c>
      <c r="D41" s="22">
        <v>3</v>
      </c>
      <c r="E41" s="22">
        <v>3</v>
      </c>
      <c r="F41" s="22"/>
      <c r="G41" s="22"/>
      <c r="H41" s="22"/>
      <c r="I41" s="22"/>
      <c r="J41" s="22"/>
      <c r="K41" s="23">
        <f>SUM(K33:K40)</f>
        <v>8</v>
      </c>
      <c r="L41" s="23"/>
      <c r="M41" s="23">
        <f>SUM(M33:M40)</f>
        <v>10</v>
      </c>
      <c r="N41" s="23">
        <f>SUM(N33:N40)</f>
        <v>5</v>
      </c>
    </row>
  </sheetData>
  <mergeCells count="15">
    <mergeCell ref="A1:B1"/>
    <mergeCell ref="C1:D1"/>
    <mergeCell ref="A3:G3"/>
    <mergeCell ref="A15:N15"/>
    <mergeCell ref="J16:J17"/>
    <mergeCell ref="K16:K17"/>
    <mergeCell ref="L16:L17"/>
    <mergeCell ref="M16:M17"/>
    <mergeCell ref="N16:N17"/>
    <mergeCell ref="A30:N30"/>
    <mergeCell ref="J31:J32"/>
    <mergeCell ref="K31:K32"/>
    <mergeCell ref="L31:L32"/>
    <mergeCell ref="M31:M32"/>
    <mergeCell ref="N31:N32"/>
  </mergeCells>
  <conditionalFormatting sqref="C8">
    <cfRule type="iconSet" priority="2">
      <iconSet>
        <cfvo type="percent" val="0"/>
        <cfvo type="percent" val="33"/>
        <cfvo type="percent" val="67"/>
      </iconSet>
    </cfRule>
  </conditionalFormatting>
  <conditionalFormatting sqref="C9:C10 C5:C7">
    <cfRule type="iconSet" priority="18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scale="81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0E9B2B36-2AD5-4C7A-8FF6-3290A5D54CCC}">
            <x14:iconSet custom="1">
              <x14:cfvo type="percent">
                <xm:f>0</xm:f>
              </x14:cfvo>
              <x14:cfvo type="percent">
                <xm:f>$D$7</xm:f>
              </x14:cfvo>
              <x14:cfvo type="percent">
                <xm:f>$D$7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B8</xm:sqref>
        </x14:conditionalFormatting>
        <x14:conditionalFormatting xmlns:xm="http://schemas.microsoft.com/office/excel/2006/main">
          <x14:cfRule type="iconSet" priority="15" id="{281D864F-4407-4750-B33B-66BCD395111F}">
            <x14:iconSet iconSet="3Triangles" custom="1">
              <x14:cfvo type="percent">
                <xm:f>0</xm:f>
              </x14:cfvo>
              <x14:cfvo type="percent">
                <xm:f>2</xm:f>
              </x14:cfvo>
              <x14:cfvo type="percent" gte="0">
                <xm:f>2</xm:f>
              </x14:cfvo>
              <x14:cfIcon iconSet="3Triangles" iconId="2"/>
              <x14:cfIcon iconSet="3Triangles" iconId="1"/>
              <x14:cfIcon iconSet="3Triangles" iconId="0"/>
            </x14:iconSet>
          </x14:cfRule>
          <x14:cfRule type="iconSet" priority="16" id="{FEEF3C72-59E7-4DFA-A4DE-58B4BAAF3FE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14:cfRule type="iconSet" priority="17" id="{ACCAE624-CC12-4BD9-94C5-AC16B6B9128D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G5:G7</xm:sqref>
        </x14:conditionalFormatting>
        <x14:conditionalFormatting xmlns:xm="http://schemas.microsoft.com/office/excel/2006/main">
          <x14:cfRule type="iconSet" priority="21" id="{D8A312E5-E096-4C69-B669-9517A37748A2}">
            <x14:iconSet custom="1">
              <x14:cfvo type="percent">
                <xm:f>0</xm:f>
              </x14:cfvo>
              <x14:cfvo type="percent">
                <xm:f>$D$7</xm:f>
              </x14:cfvo>
              <x14:cfvo type="percent">
                <xm:f>$D$7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B9:B10 B5:B7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6">
    <tabColor theme="7" tint="0.79998168889431442"/>
  </sheetPr>
  <dimension ref="A1:A2"/>
  <sheetViews>
    <sheetView workbookViewId="0">
      <selection activeCell="I23" sqref="I23"/>
    </sheetView>
  </sheetViews>
  <sheetFormatPr defaultRowHeight="14.5" x14ac:dyDescent="0.35"/>
  <sheetData>
    <row r="1" spans="1:1" x14ac:dyDescent="0.35">
      <c r="A1" t="s">
        <v>74</v>
      </c>
    </row>
    <row r="2" spans="1:1" x14ac:dyDescent="0.35">
      <c r="A2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7">
    <tabColor theme="9" tint="-0.249977111117893"/>
    <pageSetUpPr fitToPage="1"/>
  </sheetPr>
  <dimension ref="B1:X44"/>
  <sheetViews>
    <sheetView showGridLines="0" zoomScale="85" zoomScaleNormal="85" workbookViewId="0">
      <selection activeCell="T17" sqref="T17"/>
    </sheetView>
  </sheetViews>
  <sheetFormatPr defaultColWidth="8.7265625" defaultRowHeight="12" x14ac:dyDescent="0.3"/>
  <cols>
    <col min="1" max="1" width="6" style="1" customWidth="1"/>
    <col min="2" max="2" width="21.26953125" style="1" customWidth="1"/>
    <col min="3" max="3" width="10.81640625" style="1" bestFit="1" customWidth="1"/>
    <col min="4" max="4" width="10.453125" style="1" customWidth="1"/>
    <col min="5" max="5" width="9.7265625" style="1" bestFit="1" customWidth="1"/>
    <col min="6" max="6" width="11.7265625" style="1" bestFit="1" customWidth="1"/>
    <col min="7" max="7" width="11.81640625" style="1" bestFit="1" customWidth="1"/>
    <col min="8" max="8" width="10.54296875" style="1" customWidth="1"/>
    <col min="9" max="9" width="9.7265625" style="1" bestFit="1" customWidth="1"/>
    <col min="10" max="10" width="5.453125" style="1" bestFit="1" customWidth="1"/>
    <col min="11" max="11" width="9.7265625" style="1" customWidth="1"/>
    <col min="12" max="12" width="7.7265625" style="1" customWidth="1"/>
    <col min="13" max="13" width="11.26953125" style="1" bestFit="1" customWidth="1"/>
    <col min="14" max="14" width="12.26953125" style="1" bestFit="1" customWidth="1"/>
    <col min="15" max="15" width="7.54296875" style="1" customWidth="1"/>
    <col min="16" max="16" width="11.7265625" style="1" customWidth="1"/>
    <col min="17" max="17" width="6.7265625" style="1" customWidth="1"/>
    <col min="18" max="16384" width="8.7265625" style="1"/>
  </cols>
  <sheetData>
    <row r="1" spans="2:24" ht="21" customHeight="1" thickBot="1" x14ac:dyDescent="0.35"/>
    <row r="2" spans="2:24" ht="28.9" customHeight="1" x14ac:dyDescent="0.3">
      <c r="B2" s="291" t="s">
        <v>39</v>
      </c>
      <c r="C2" s="292"/>
      <c r="D2" s="293">
        <f ca="1">TODAY()-1</f>
        <v>45644</v>
      </c>
      <c r="E2" s="294"/>
    </row>
    <row r="3" spans="2:24" customFormat="1" ht="15" thickBot="1" x14ac:dyDescent="0.4">
      <c r="F3" s="1"/>
      <c r="I3" s="85"/>
      <c r="J3" s="85"/>
      <c r="K3" s="85"/>
      <c r="L3" s="85"/>
      <c r="M3" s="84"/>
    </row>
    <row r="4" spans="2:24" ht="18" customHeight="1" thickBot="1" x14ac:dyDescent="0.35">
      <c r="B4" s="297" t="s">
        <v>34</v>
      </c>
      <c r="C4" s="298"/>
      <c r="D4" s="298"/>
      <c r="E4" s="298"/>
      <c r="F4" s="298"/>
      <c r="G4" s="298"/>
      <c r="H4" s="298"/>
      <c r="I4" s="60"/>
      <c r="J4" s="301" t="s">
        <v>101</v>
      </c>
      <c r="K4" s="302"/>
      <c r="L4" s="302"/>
      <c r="M4" s="302"/>
      <c r="N4" s="302"/>
      <c r="O4" s="302"/>
      <c r="P4" s="302"/>
      <c r="Q4" s="302"/>
      <c r="R4" s="302"/>
      <c r="S4" s="302"/>
    </row>
    <row r="5" spans="2:24" ht="19.899999999999999" customHeight="1" thickBot="1" x14ac:dyDescent="0.35">
      <c r="B5" s="64" t="s">
        <v>33</v>
      </c>
      <c r="C5" s="49">
        <f ca="1">TODAY()-1</f>
        <v>45644</v>
      </c>
      <c r="D5" s="45" t="s">
        <v>37</v>
      </c>
      <c r="E5" s="45" t="s">
        <v>30</v>
      </c>
      <c r="F5" s="45" t="s">
        <v>77</v>
      </c>
      <c r="G5" s="45" t="s">
        <v>78</v>
      </c>
      <c r="H5" s="46" t="s">
        <v>38</v>
      </c>
      <c r="I5" s="60">
        <f ca="1">MONTH(TODAY()-1)</f>
        <v>12</v>
      </c>
      <c r="J5" s="88" t="s">
        <v>89</v>
      </c>
      <c r="K5" s="89" t="s">
        <v>99</v>
      </c>
      <c r="L5" s="90" t="s">
        <v>98</v>
      </c>
      <c r="M5" s="90" t="s">
        <v>77</v>
      </c>
      <c r="N5" s="90" t="s">
        <v>78</v>
      </c>
      <c r="O5" s="91" t="s">
        <v>38</v>
      </c>
      <c r="P5" s="99" t="s">
        <v>1</v>
      </c>
      <c r="Q5" s="90" t="s">
        <v>77</v>
      </c>
      <c r="R5" s="90" t="s">
        <v>78</v>
      </c>
      <c r="S5" s="91" t="s">
        <v>38</v>
      </c>
    </row>
    <row r="6" spans="2:24" ht="19.149999999999999" customHeight="1" x14ac:dyDescent="0.3">
      <c r="B6" s="62" t="s">
        <v>1</v>
      </c>
      <c r="C6" s="77">
        <f>UA_SQL_1!N2/UA_SQL_1!M2</f>
        <v>852.5</v>
      </c>
      <c r="D6" s="77">
        <f>UA_SQL_1!F2/UA_SQL_1!E2</f>
        <v>4.0492957746478871E-3</v>
      </c>
      <c r="E6" s="29">
        <f ca="1">SUMIF(EX_Goals!$B:$B,'PAGE_1 (2)'!$I$5,EX_Goals!$E:$E)</f>
        <v>0.97009999999999996</v>
      </c>
      <c r="F6" s="83">
        <f>((UA_SQL_1!$N$2/UA_SQL_1!$M$2)-(SUMIF(OA_SQL_1!$A$1:$A$3,"DL",OA_SQL_1!$K$1:$K$3)/SUMIF(OA_SQL_1!$A$1:$A$3,"DL",OA_SQL_1!$I$1:$I$3)))*100</f>
        <v>85218.585966791652</v>
      </c>
      <c r="G6" s="83">
        <f>((UA_SQL_1!$N$2/UA_SQL_1!$M$2)-(SUMIF(OA_SQL_1!$A$1:$A$3,"AA",OA_SQL_1!$K$1:$K$3)/SUMIF(OA_SQL_1!$A$1:$A$3,"AA",OA_SQL_1!$I$1:$I$3)))*100</f>
        <v>85221.572787125086</v>
      </c>
      <c r="H6" s="52">
        <f>RANK!F2</f>
        <v>3</v>
      </c>
      <c r="I6" s="60"/>
      <c r="J6" s="92" t="s">
        <v>90</v>
      </c>
      <c r="K6" s="93"/>
      <c r="L6" s="93"/>
      <c r="M6" s="94"/>
      <c r="N6" s="95"/>
      <c r="O6" s="100"/>
      <c r="P6" s="97"/>
      <c r="Q6" s="93"/>
      <c r="R6" s="93"/>
      <c r="S6" s="93"/>
    </row>
    <row r="7" spans="2:24" ht="19.899999999999999" customHeight="1" x14ac:dyDescent="0.3">
      <c r="B7" s="62" t="s">
        <v>32</v>
      </c>
      <c r="C7" s="77">
        <f>UA_SQL_1!Q2/UA_SQL_1!M2</f>
        <v>665.5</v>
      </c>
      <c r="D7" s="77">
        <f>UA_SQL_1!I2/UA_SQL_1!E2</f>
        <v>0.64154929577464792</v>
      </c>
      <c r="E7" s="29">
        <f ca="1">SUMIF(EX_Goals!$B:$B,'PAGE_1 (2)'!$I$5,EX_Goals!$D:$D)</f>
        <v>0.5766</v>
      </c>
      <c r="F7" s="83">
        <f>((UA_SQL_1!$Q$2/UA_SQL_1!$M$2)-(SUMIF(OA_SQL_1!$A$1:$A$3,"DL",OA_SQL_1!$L$1:$L$3)/SUMIF(OA_SQL_1!$A$1:$A$3,"DL",OA_SQL_1!$I$1:$I$3)))*100</f>
        <v>66504.525977504018</v>
      </c>
      <c r="G7" s="83">
        <f>((UA_SQL_1!$Q$2/UA_SQL_1!$M$2)-(SUMIF(OA_SQL_1!$A$1:$A$3,"AA",OA_SQL_1!$L$1:$L$3)/SUMIF(OA_SQL_1!$A$1:$A$3,"AA",OA_SQL_1!$I$1:$I$3)))*100</f>
        <v>66511.170446232631</v>
      </c>
      <c r="H7" s="52">
        <f>RANK!F3</f>
        <v>1</v>
      </c>
      <c r="I7" s="60"/>
      <c r="J7" s="92" t="s">
        <v>91</v>
      </c>
      <c r="K7" s="93"/>
      <c r="L7" s="93"/>
      <c r="M7" s="93"/>
      <c r="N7" s="93"/>
      <c r="O7" s="101"/>
      <c r="P7" s="98"/>
      <c r="Q7" s="93"/>
      <c r="R7" s="93"/>
      <c r="S7" s="93"/>
    </row>
    <row r="8" spans="2:24" ht="19.149999999999999" customHeight="1" x14ac:dyDescent="0.3">
      <c r="B8" s="63" t="s">
        <v>48</v>
      </c>
      <c r="C8" s="77">
        <f>UA_SQL_1!P2/UA_SQL_1!M2</f>
        <v>648.5</v>
      </c>
      <c r="D8" s="78">
        <f>UA_SQL_1!H2/UA_SQL_1!E2</f>
        <v>0.71795774647887323</v>
      </c>
      <c r="E8" s="29">
        <f ca="1">SUMIF(EX_Goals!$B:$B,'PAGE_1 (2)'!$I$5,EX_Goals!$C:$C)</f>
        <v>0.64219999999999999</v>
      </c>
      <c r="F8" s="83">
        <f>((UA_SQL_1!$P$2/UA_SQL_1!$M$2)-(SUMIF(OA_SQL_1!$A$1:$A$3,"DL",OA_SQL_1!$J$1:$J$3)/SUMIF(OA_SQL_1!$A$1:$A$3,"DL",OA_SQL_1!$I$1:$I$3)))*100</f>
        <v>64804.124263524376</v>
      </c>
      <c r="G8" s="83">
        <f>((UA_SQL_1!$P$2/UA_SQL_1!$M$2)-(SUMIF(OA_SQL_1!$A$1:$A$3,"AA",OA_SQL_1!$J$1:$J$3)/SUMIF(OA_SQL_1!$A$1:$A$3,"AA",OA_SQL_1!$I$1:$I$3)))*100</f>
        <v>64811.155815654718</v>
      </c>
      <c r="H8" s="52">
        <f>RANK!F4</f>
        <v>1</v>
      </c>
      <c r="I8" s="60"/>
      <c r="J8" s="96" t="s">
        <v>92</v>
      </c>
      <c r="K8" s="93"/>
      <c r="L8" s="93"/>
      <c r="M8" s="93"/>
      <c r="N8" s="93"/>
      <c r="O8" s="101"/>
      <c r="P8" s="98"/>
      <c r="Q8" s="93"/>
      <c r="R8" s="93"/>
      <c r="S8" s="93"/>
    </row>
    <row r="9" spans="2:24" ht="19.899999999999999" customHeight="1" x14ac:dyDescent="0.3">
      <c r="B9" s="63" t="s">
        <v>0</v>
      </c>
      <c r="C9" s="77">
        <f>UA_SQL_1!O2/UA_SQL_1!M2</f>
        <v>5.5</v>
      </c>
      <c r="D9" s="78">
        <f>UA_SQL_1!G2/UA_SQL_1!E2</f>
        <v>0.69436619718309855</v>
      </c>
      <c r="E9" s="29">
        <f ca="1">SUMIF(EX_Goals!$B:$B,'PAGE_1 (2)'!$I$5,EX_Goals!$C:$C)</f>
        <v>0.64219999999999999</v>
      </c>
      <c r="F9" s="75"/>
      <c r="G9" s="75"/>
      <c r="H9" s="75"/>
      <c r="I9" s="60"/>
      <c r="J9" s="96" t="s">
        <v>94</v>
      </c>
      <c r="K9" s="93"/>
      <c r="L9" s="93"/>
      <c r="M9" s="93"/>
      <c r="N9" s="93"/>
      <c r="O9" s="101"/>
      <c r="P9" s="98"/>
      <c r="Q9" s="93"/>
      <c r="R9" s="93"/>
      <c r="S9" s="93"/>
    </row>
    <row r="10" spans="2:24" ht="20.5" customHeight="1" x14ac:dyDescent="0.35">
      <c r="B10" s="62" t="s">
        <v>31</v>
      </c>
      <c r="C10" s="77">
        <f>UA_SQL_1!S2/UA_SQL_1!R2</f>
        <v>1.1911402789171452</v>
      </c>
      <c r="D10" s="77">
        <f>UA_SQL_1!K2/UA_SQL_1!J2</f>
        <v>0.19176262178919398</v>
      </c>
      <c r="E10" s="29">
        <f ca="1">SUMIF(EX_Goals!$B:$B,'PAGE_1 (2)'!$I$5,EX_Goals!$F:$F)</f>
        <v>0.7736160581599999</v>
      </c>
      <c r="F10" s="76"/>
      <c r="G10" s="76"/>
      <c r="H10" s="76"/>
      <c r="I10" s="60"/>
      <c r="J10" s="92" t="s">
        <v>95</v>
      </c>
      <c r="K10" s="93"/>
      <c r="L10" s="93"/>
      <c r="M10" s="93"/>
      <c r="N10" s="93"/>
      <c r="O10" s="101"/>
      <c r="P10" s="98"/>
      <c r="Q10" s="93"/>
      <c r="R10" s="93"/>
      <c r="S10" s="93"/>
    </row>
    <row r="11" spans="2:24" ht="19.899999999999999" customHeight="1" x14ac:dyDescent="0.3">
      <c r="B11" s="62" t="s">
        <v>2</v>
      </c>
      <c r="C11" s="79">
        <f>(UA_SQL_1!M2-UA_SQL_1!T2)/UA_SQL_1!M2</f>
        <v>-135.5</v>
      </c>
      <c r="D11" s="79">
        <f>(UA_SQL_1!E2-UA_SQL_1!L2)/UA_SQL_1!E2</f>
        <v>0.87552816901408448</v>
      </c>
      <c r="E11" s="65">
        <f ca="1">SUMIF(EX_Goals!$B:$B,'PAGE_1 (2)'!$I$5,EX_Goals!$G:$G)</f>
        <v>0.99734315588</v>
      </c>
      <c r="F11" s="75"/>
      <c r="G11" s="75"/>
      <c r="H11" s="75"/>
      <c r="I11" s="59"/>
      <c r="J11" s="92" t="s">
        <v>93</v>
      </c>
      <c r="K11" s="93"/>
      <c r="L11" s="93"/>
      <c r="M11" s="93"/>
      <c r="N11" s="93"/>
      <c r="O11" s="101"/>
      <c r="P11" s="98"/>
      <c r="Q11" s="93"/>
      <c r="R11" s="93"/>
      <c r="S11" s="93"/>
    </row>
    <row r="12" spans="2:24" ht="19.899999999999999" customHeight="1" x14ac:dyDescent="0.3">
      <c r="B12" s="62" t="s">
        <v>87</v>
      </c>
      <c r="C12" s="87">
        <f>SUMIFS(TOTAL_DIVERTS_SQL_5!$B:$B,TOTAL_DIVERTS_SQL_5!A:A,"YEST")</f>
        <v>3</v>
      </c>
      <c r="D12" s="87">
        <f>SUMIFS(TOTAL_DIVERTS_SQL_5!$B:$B,TOTAL_DIVERTS_SQL_5!A:A,"MTD")</f>
        <v>9</v>
      </c>
      <c r="E12" s="86"/>
      <c r="F12" s="75"/>
      <c r="G12" s="75"/>
      <c r="H12" s="75"/>
      <c r="I12" s="59"/>
      <c r="J12" s="92" t="s">
        <v>96</v>
      </c>
      <c r="K12" s="93"/>
      <c r="L12" s="93"/>
      <c r="M12" s="93"/>
      <c r="N12" s="93"/>
      <c r="O12" s="101"/>
      <c r="P12" s="98"/>
      <c r="Q12" s="93"/>
      <c r="R12" s="93"/>
      <c r="S12" s="93"/>
    </row>
    <row r="13" spans="2:24" ht="19.899999999999999" customHeight="1" thickBot="1" x14ac:dyDescent="0.35">
      <c r="B13" s="62" t="s">
        <v>88</v>
      </c>
      <c r="C13" s="87">
        <f>SUMIF(DIVERTS_RECOVERED_SQL_6!$A:$A,"YEST",DIVERTS_RECOVERED_SQL_6!$C:$C)</f>
        <v>1</v>
      </c>
      <c r="D13" s="87">
        <f>SUMIF(DIVERTS_RECOVERED_SQL_6!$A:$A,"MTD",DIVERTS_RECOVERED_SQL_6!$C:$C)</f>
        <v>6</v>
      </c>
      <c r="E13" s="86"/>
      <c r="F13" s="75"/>
      <c r="G13" s="75"/>
      <c r="H13" s="75"/>
      <c r="I13" s="59"/>
      <c r="J13" s="102" t="s">
        <v>97</v>
      </c>
      <c r="K13" s="103"/>
      <c r="L13" s="103"/>
      <c r="M13" s="103"/>
      <c r="N13" s="103"/>
      <c r="O13" s="104"/>
      <c r="P13" s="105"/>
      <c r="Q13" s="103"/>
      <c r="R13" s="103"/>
      <c r="S13" s="103"/>
    </row>
    <row r="14" spans="2:24" x14ac:dyDescent="0.3">
      <c r="I14" s="59"/>
      <c r="J14" s="59"/>
      <c r="K14" s="59"/>
      <c r="L14" s="59"/>
      <c r="M14" s="59"/>
      <c r="N14" s="59"/>
      <c r="O14" s="57"/>
      <c r="P14" s="57"/>
    </row>
    <row r="15" spans="2:24" x14ac:dyDescent="0.3">
      <c r="N15" s="58"/>
      <c r="O15" s="58"/>
      <c r="P15" s="58"/>
      <c r="Q15" s="59"/>
      <c r="R15" s="59"/>
      <c r="S15" s="59"/>
      <c r="T15" s="59"/>
      <c r="U15" s="59"/>
      <c r="V15" s="59"/>
      <c r="W15" s="57"/>
      <c r="X15" s="57"/>
    </row>
    <row r="16" spans="2:24" x14ac:dyDescent="0.3">
      <c r="N16" s="58"/>
      <c r="O16" s="58"/>
      <c r="P16" s="58"/>
      <c r="Q16" s="59"/>
      <c r="R16" s="59"/>
      <c r="S16" s="59"/>
      <c r="T16" s="59"/>
      <c r="U16" s="59"/>
      <c r="V16" s="59"/>
      <c r="W16" s="57"/>
      <c r="X16" s="57"/>
    </row>
    <row r="17" spans="2:24" x14ac:dyDescent="0.3">
      <c r="N17" s="58"/>
      <c r="O17" s="58"/>
      <c r="P17" s="58"/>
      <c r="Q17" s="59"/>
      <c r="R17" s="59"/>
      <c r="S17" s="59"/>
      <c r="T17" s="59"/>
      <c r="U17" s="59"/>
      <c r="V17" s="59"/>
      <c r="W17" s="57"/>
      <c r="X17" s="57"/>
    </row>
    <row r="18" spans="2:24" ht="12.5" thickBot="1" x14ac:dyDescent="0.35">
      <c r="C18" s="2"/>
      <c r="Q18" s="59"/>
      <c r="R18" s="59"/>
      <c r="S18" s="59"/>
      <c r="T18" s="59"/>
      <c r="U18" s="59"/>
      <c r="V18" s="59"/>
      <c r="W18" s="57"/>
      <c r="X18" s="57"/>
    </row>
    <row r="19" spans="2:24" ht="16" thickBot="1" x14ac:dyDescent="0.35">
      <c r="B19" s="297" t="s">
        <v>27</v>
      </c>
      <c r="C19" s="298"/>
      <c r="D19" s="298"/>
      <c r="E19" s="298"/>
      <c r="F19" s="298"/>
      <c r="G19" s="298"/>
      <c r="H19" s="298"/>
      <c r="I19" s="298"/>
      <c r="J19" s="298"/>
      <c r="K19" s="298"/>
      <c r="L19" s="298"/>
      <c r="M19" s="298"/>
      <c r="N19" s="298"/>
      <c r="O19" s="298"/>
      <c r="P19" s="298"/>
      <c r="Q19" s="59"/>
      <c r="R19" s="60"/>
      <c r="S19" s="60"/>
      <c r="T19" s="60"/>
      <c r="U19" s="60"/>
      <c r="V19" s="59"/>
      <c r="W19" s="57"/>
      <c r="X19" s="57"/>
    </row>
    <row r="20" spans="2:24" ht="30.65" customHeight="1" thickBot="1" x14ac:dyDescent="0.35">
      <c r="B20" s="70" t="s">
        <v>3</v>
      </c>
      <c r="C20" s="71" t="s">
        <v>85</v>
      </c>
      <c r="D20" s="72" t="s">
        <v>79</v>
      </c>
      <c r="E20" s="72" t="s">
        <v>80</v>
      </c>
      <c r="F20" s="72" t="s">
        <v>81</v>
      </c>
      <c r="G20" s="72" t="s">
        <v>82</v>
      </c>
      <c r="H20" s="72" t="s">
        <v>83</v>
      </c>
      <c r="I20" s="72" t="s">
        <v>84</v>
      </c>
      <c r="J20" s="72" t="s">
        <v>15</v>
      </c>
      <c r="K20" s="72" t="s">
        <v>16</v>
      </c>
      <c r="L20" s="72" t="s">
        <v>66</v>
      </c>
      <c r="M20" s="73" t="s">
        <v>29</v>
      </c>
      <c r="N20" s="74" t="s">
        <v>47</v>
      </c>
      <c r="O20" s="74" t="s">
        <v>73</v>
      </c>
      <c r="P20" s="74" t="s">
        <v>46</v>
      </c>
      <c r="Q20" s="59"/>
      <c r="R20" s="60"/>
      <c r="S20" s="60"/>
      <c r="T20" s="60"/>
      <c r="U20" s="60"/>
      <c r="V20" s="59"/>
      <c r="W20" s="57"/>
      <c r="X20" s="57"/>
    </row>
    <row r="21" spans="2:24" ht="14.5" x14ac:dyDescent="0.35">
      <c r="B21" s="66" t="s">
        <v>18</v>
      </c>
      <c r="C21" s="80">
        <f>SUMIF(SCH_DEP_SQL_4!$A:$A,'PAGE_1 (2)'!R21,SCH_DEP_SQL_4!$E:$E)</f>
        <v>0</v>
      </c>
      <c r="D21" s="12" t="str">
        <f>IF(SUMIFS(CNXL_SQL_2!$F:$F,CNXL_SQL_2!$A:$A,'PAGE_1 (2)'!$R21,CNXL_SQL_2!$D:$D,'PAGE_1 (2)'!$S$21)=0,"",SUMIFS(CNXL_SQL_2!$F:$F,CNXL_SQL_2!$A:$A,'PAGE_1 (2)'!$R21,CNXL_SQL_2!$D:$D,'PAGE_1 (2)'!$S$21))</f>
        <v/>
      </c>
      <c r="E21" s="12" t="str">
        <f>IF(SUMIFS(CNXL_SQL_2!$F:$F,CNXL_SQL_2!$A:$A,'PAGE_1 (2)'!$R21,CNXL_SQL_2!$D:$D,'PAGE_1 (2)'!$S$22)=0,"",SUMIFS(CNXL_SQL_2!$F:$F,CNXL_SQL_2!$A:$A,'PAGE_1 (2)'!$R21,CNXL_SQL_2!$D:$D,'PAGE_1 (2)'!$S$22))</f>
        <v/>
      </c>
      <c r="F21" s="12" t="str">
        <f>IF(SUMIFS(CNXL_SQL_2!$F:$F,CNXL_SQL_2!$A:$A,'PAGE_1 (2)'!$R21,CNXL_SQL_2!$D:$D,'PAGE_1 (2)'!$S$23)=0,"",SUMIFS(CNXL_SQL_2!$F:$F,CNXL_SQL_2!$A:$A,'PAGE_1 (2)'!$R21,CNXL_SQL_2!$D:$D,'PAGE_1 (2)'!$S$23))</f>
        <v/>
      </c>
      <c r="G21" s="12" t="str">
        <f>IF(SUMIFS(CNXL_SQL_2!$F:$F,CNXL_SQL_2!$A:$A,'PAGE_1 (2)'!$R21,CNXL_SQL_2!$D:$D,'PAGE_1 (2)'!$S$24)=0,"",SUMIFS(CNXL_SQL_2!$F:$F,CNXL_SQL_2!$A:$A,'PAGE_1 (2)'!$R21,CNXL_SQL_2!$D:$D,'PAGE_1 (2)'!$S$24))</f>
        <v/>
      </c>
      <c r="H21" s="12" t="str">
        <f>IF(SUMIFS(CNXL_SQL_2!$F:$F,CNXL_SQL_2!$A:$A,'PAGE_1 (2)'!$R21,CNXL_SQL_2!$D:$D,'PAGE_1 (2)'!$S$25)=0,"",SUMIFS(CNXL_SQL_2!$F:$F,CNXL_SQL_2!$A:$A,'PAGE_1 (2)'!$R21,CNXL_SQL_2!$D:$D,'PAGE_1 (2)'!$S$25))</f>
        <v/>
      </c>
      <c r="I21" s="12" t="str">
        <f>IF(SUMIFS(CNXL_SQL_2!$F:$F,CNXL_SQL_2!$A:$A,'PAGE_1 (2)'!$R21,CNXL_SQL_2!$D:$D,'PAGE_1 (2)'!$S$26)=0,"",SUMIFS(CNXL_SQL_2!$F:$F,CNXL_SQL_2!$A:$A,'PAGE_1 (2)'!$R21,CNXL_SQL_2!$D:$D,'PAGE_1 (2)'!$S$26))</f>
        <v/>
      </c>
      <c r="J21" s="12" t="str">
        <f>IF(SUMIFS(CNXL_SQL_2!$F:$F,CNXL_SQL_2!$A:$A,'PAGE_1 (2)'!$R21,CNXL_SQL_2!$D:$D,'PAGE_1 (2)'!$S$27)=0,"",SUMIFS(CNXL_SQL_2!$F:$F,CNXL_SQL_2!$A:$A,'PAGE_1 (2)'!$R21,CNXL_SQL_2!$D:$D,'PAGE_1 (2)'!$S$27))</f>
        <v/>
      </c>
      <c r="K21" s="12" t="str">
        <f>IF(SUMIFS(CNXL_SQL_2!$F:$F,CNXL_SQL_2!$A:$A,'PAGE_1 (2)'!$R21,CNXL_SQL_2!$D:$D,'PAGE_1 (2)'!$S$28)=0,"",SUMIFS(CNXL_SQL_2!$F:$F,CNXL_SQL_2!$A:$A,'PAGE_1 (2)'!$R21,CNXL_SQL_2!$D:$D,'PAGE_1 (2)'!$S$28))</f>
        <v/>
      </c>
      <c r="L21" s="12" t="str">
        <f>IF(SUMIFS(CNXL_SQL_2!$F:$F,CNXL_SQL_2!$A:$A,'PAGE_1 (2)'!$R21,CNXL_SQL_2!$D:$D,'PAGE_1 (2)'!$S$29)=0,"",SUMIFS(CNXL_SQL_2!$F:$F,CNXL_SQL_2!$A:$A,'PAGE_1 (2)'!$R21,CNXL_SQL_2!$D:$D,'PAGE_1 (2)'!$S$29))</f>
        <v/>
      </c>
      <c r="M21" s="37" t="str">
        <f>IF(SUM(D21:L21)=0,"",SUM(D21:L21))</f>
        <v/>
      </c>
      <c r="N21" s="37" t="str">
        <f>ES_MATRIX!K3</f>
        <v/>
      </c>
      <c r="O21" s="14" t="str">
        <f>IFERROR(M21-ES_MATRIX!L3,"")</f>
        <v/>
      </c>
      <c r="P21" s="40" t="str">
        <f>IF(SUMIF(CNXL_SQL_2!$E:$E,'PAGE_1 (2)'!R21,CNXL_SQL_2!$F:$F)=0,"",SUMIF(CNXL_SQL_2!$E:$E,'PAGE_1 (2)'!R21,CNXL_SQL_2!$F:$F))</f>
        <v/>
      </c>
      <c r="Q21" s="59"/>
      <c r="R21" s="61" t="s">
        <v>57</v>
      </c>
      <c r="S21" s="61" t="s">
        <v>56</v>
      </c>
      <c r="T21" s="60"/>
      <c r="U21" s="60"/>
      <c r="V21" s="59"/>
      <c r="W21" s="57"/>
      <c r="X21" s="57"/>
    </row>
    <row r="22" spans="2:24" ht="14.5" x14ac:dyDescent="0.35">
      <c r="B22" s="67" t="s">
        <v>19</v>
      </c>
      <c r="C22" s="81">
        <f>SUMIF(SCH_DEP_SQL_4!$A:$A,'PAGE_1 (2)'!R22,SCH_DEP_SQL_4!$E:$E)</f>
        <v>816</v>
      </c>
      <c r="D22" s="17">
        <f>IF(SUMIFS(CNXL_SQL_2!$F:$F,CNXL_SQL_2!$A:$A,'PAGE_1 (2)'!$R22,CNXL_SQL_2!$D:$D,'PAGE_1 (2)'!$S$21)=0,"",SUMIFS(CNXL_SQL_2!$F:$F,CNXL_SQL_2!$A:$A,'PAGE_1 (2)'!$R22,CNXL_SQL_2!$D:$D,'PAGE_1 (2)'!$S$21))</f>
        <v>10</v>
      </c>
      <c r="E22" s="17" t="str">
        <f>IF(SUMIFS(CNXL_SQL_2!$F:$F,CNXL_SQL_2!$A:$A,'PAGE_1 (2)'!$R22,CNXL_SQL_2!$D:$D,'PAGE_1 (2)'!$S$22)=0,"",SUMIFS(CNXL_SQL_2!$F:$F,CNXL_SQL_2!$A:$A,'PAGE_1 (2)'!$R22,CNXL_SQL_2!$D:$D,'PAGE_1 (2)'!$S$22))</f>
        <v/>
      </c>
      <c r="F22" s="17" t="str">
        <f>IF(SUMIFS(CNXL_SQL_2!$F:$F,CNXL_SQL_2!$A:$A,'PAGE_1 (2)'!$R22,CNXL_SQL_2!$D:$D,'PAGE_1 (2)'!$S$23)=0,"",SUMIFS(CNXL_SQL_2!$F:$F,CNXL_SQL_2!$A:$A,'PAGE_1 (2)'!$R22,CNXL_SQL_2!$D:$D,'PAGE_1 (2)'!$S$23))</f>
        <v/>
      </c>
      <c r="G22" s="17" t="str">
        <f>IF(SUMIFS(CNXL_SQL_2!$F:$F,CNXL_SQL_2!$A:$A,'PAGE_1 (2)'!$R22,CNXL_SQL_2!$D:$D,'PAGE_1 (2)'!$S$24)=0,"",SUMIFS(CNXL_SQL_2!$F:$F,CNXL_SQL_2!$A:$A,'PAGE_1 (2)'!$R22,CNXL_SQL_2!$D:$D,'PAGE_1 (2)'!$S$24))</f>
        <v/>
      </c>
      <c r="H22" s="17" t="str">
        <f>IF(SUMIFS(CNXL_SQL_2!$F:$F,CNXL_SQL_2!$A:$A,'PAGE_1 (2)'!$R22,CNXL_SQL_2!$D:$D,'PAGE_1 (2)'!$S$25)=0,"",SUMIFS(CNXL_SQL_2!$F:$F,CNXL_SQL_2!$A:$A,'PAGE_1 (2)'!$R22,CNXL_SQL_2!$D:$D,'PAGE_1 (2)'!$S$25))</f>
        <v/>
      </c>
      <c r="I22" s="17" t="str">
        <f>IF(SUMIFS(CNXL_SQL_2!$F:$F,CNXL_SQL_2!$A:$A,'PAGE_1 (2)'!$R22,CNXL_SQL_2!$D:$D,'PAGE_1 (2)'!$S$26)=0,"",SUMIFS(CNXL_SQL_2!$F:$F,CNXL_SQL_2!$A:$A,'PAGE_1 (2)'!$R22,CNXL_SQL_2!$D:$D,'PAGE_1 (2)'!$S$26))</f>
        <v/>
      </c>
      <c r="J22" s="17" t="str">
        <f>IF(SUMIFS(CNXL_SQL_2!$F:$F,CNXL_SQL_2!$A:$A,'PAGE_1 (2)'!$R22,CNXL_SQL_2!$D:$D,'PAGE_1 (2)'!$S$27)=0,"",SUMIFS(CNXL_SQL_2!$F:$F,CNXL_SQL_2!$A:$A,'PAGE_1 (2)'!$R22,CNXL_SQL_2!$D:$D,'PAGE_1 (2)'!$S$27))</f>
        <v/>
      </c>
      <c r="K22" s="17" t="str">
        <f>IF(SUMIFS(CNXL_SQL_2!$F:$F,CNXL_SQL_2!$A:$A,'PAGE_1 (2)'!$R22,CNXL_SQL_2!$D:$D,'PAGE_1 (2)'!$S$28)=0,"",SUMIFS(CNXL_SQL_2!$F:$F,CNXL_SQL_2!$A:$A,'PAGE_1 (2)'!$R22,CNXL_SQL_2!$D:$D,'PAGE_1 (2)'!$S$28))</f>
        <v/>
      </c>
      <c r="L22" s="17" t="str">
        <f>IF(SUMIFS(CNXL_SQL_2!$F:$F,CNXL_SQL_2!$A:$A,'PAGE_1 (2)'!$R22,CNXL_SQL_2!$D:$D,'PAGE_1 (2)'!$S$29)=0,"",SUMIFS(CNXL_SQL_2!$F:$F,CNXL_SQL_2!$A:$A,'PAGE_1 (2)'!$R22,CNXL_SQL_2!$D:$D,'PAGE_1 (2)'!$S$29))</f>
        <v/>
      </c>
      <c r="M22" s="18">
        <f t="shared" ref="M22:M28" si="0">IF(SUM(D22:L22)=0,"",SUM(D22:L22))</f>
        <v>10</v>
      </c>
      <c r="N22" s="18" t="str">
        <f>ES_MATRIX!K4</f>
        <v/>
      </c>
      <c r="O22" s="18">
        <f>IFERROR(M22-ES_MATRIX!L4,"")</f>
        <v>10</v>
      </c>
      <c r="P22" s="16" t="str">
        <f>IF(SUMIF(CNXL_SQL_2!$E:$E,'PAGE_1 (2)'!R22,CNXL_SQL_2!$F:$F)=0,"",SUMIF(CNXL_SQL_2!$E:$E,'PAGE_1 (2)'!R22,CNXL_SQL_2!$F:$F))</f>
        <v/>
      </c>
      <c r="Q22" s="59"/>
      <c r="R22" s="60" t="s">
        <v>60</v>
      </c>
      <c r="S22" s="61" t="s">
        <v>61</v>
      </c>
      <c r="T22" s="60"/>
      <c r="U22" s="60"/>
      <c r="V22" s="59"/>
      <c r="W22" s="57"/>
      <c r="X22" s="57"/>
    </row>
    <row r="23" spans="2:24" ht="14.5" x14ac:dyDescent="0.35">
      <c r="B23" s="66" t="s">
        <v>20</v>
      </c>
      <c r="C23" s="80">
        <f>SUMIF(SCH_DEP_SQL_4!$A:$A,'PAGE_1 (2)'!R23,SCH_DEP_SQL_4!$E:$E)</f>
        <v>0</v>
      </c>
      <c r="D23" s="12" t="str">
        <f>IF(SUMIFS(CNXL_SQL_2!$F:$F,CNXL_SQL_2!$A:$A,'PAGE_1 (2)'!$R23,CNXL_SQL_2!$D:$D,'PAGE_1 (2)'!$S$21)=0,"",SUMIFS(CNXL_SQL_2!$F:$F,CNXL_SQL_2!$A:$A,'PAGE_1 (2)'!$R23,CNXL_SQL_2!$D:$D,'PAGE_1 (2)'!$S$21))</f>
        <v/>
      </c>
      <c r="E23" s="12" t="str">
        <f>IF(SUMIFS(CNXL_SQL_2!$F:$F,CNXL_SQL_2!$A:$A,'PAGE_1 (2)'!$R23,CNXL_SQL_2!$D:$D,'PAGE_1 (2)'!$S$22)=0,"",SUMIFS(CNXL_SQL_2!$F:$F,CNXL_SQL_2!$A:$A,'PAGE_1 (2)'!$R23,CNXL_SQL_2!$D:$D,'PAGE_1 (2)'!$S$22))</f>
        <v/>
      </c>
      <c r="F23" s="12" t="str">
        <f>IF(SUMIFS(CNXL_SQL_2!$F:$F,CNXL_SQL_2!$A:$A,'PAGE_1 (2)'!$R23,CNXL_SQL_2!$D:$D,'PAGE_1 (2)'!$S$23)=0,"",SUMIFS(CNXL_SQL_2!$F:$F,CNXL_SQL_2!$A:$A,'PAGE_1 (2)'!$R23,CNXL_SQL_2!$D:$D,'PAGE_1 (2)'!$S$23))</f>
        <v/>
      </c>
      <c r="G23" s="12" t="str">
        <f>IF(SUMIFS(CNXL_SQL_2!$F:$F,CNXL_SQL_2!$A:$A,'PAGE_1 (2)'!$R23,CNXL_SQL_2!$D:$D,'PAGE_1 (2)'!$S$24)=0,"",SUMIFS(CNXL_SQL_2!$F:$F,CNXL_SQL_2!$A:$A,'PAGE_1 (2)'!$R23,CNXL_SQL_2!$D:$D,'PAGE_1 (2)'!$S$24))</f>
        <v/>
      </c>
      <c r="H23" s="12" t="str">
        <f>IF(SUMIFS(CNXL_SQL_2!$F:$F,CNXL_SQL_2!$A:$A,'PAGE_1 (2)'!$R23,CNXL_SQL_2!$D:$D,'PAGE_1 (2)'!$S$25)=0,"",SUMIFS(CNXL_SQL_2!$F:$F,CNXL_SQL_2!$A:$A,'PAGE_1 (2)'!$R23,CNXL_SQL_2!$D:$D,'PAGE_1 (2)'!$S$25))</f>
        <v/>
      </c>
      <c r="I23" s="12" t="str">
        <f>IF(SUMIFS(CNXL_SQL_2!$F:$F,CNXL_SQL_2!$A:$A,'PAGE_1 (2)'!$R23,CNXL_SQL_2!$D:$D,'PAGE_1 (2)'!$S$26)=0,"",SUMIFS(CNXL_SQL_2!$F:$F,CNXL_SQL_2!$A:$A,'PAGE_1 (2)'!$R23,CNXL_SQL_2!$D:$D,'PAGE_1 (2)'!$S$26))</f>
        <v/>
      </c>
      <c r="J23" s="12" t="str">
        <f>IF(SUMIFS(CNXL_SQL_2!$F:$F,CNXL_SQL_2!$A:$A,'PAGE_1 (2)'!$R23,CNXL_SQL_2!$D:$D,'PAGE_1 (2)'!$S$27)=0,"",SUMIFS(CNXL_SQL_2!$F:$F,CNXL_SQL_2!$A:$A,'PAGE_1 (2)'!$R23,CNXL_SQL_2!$D:$D,'PAGE_1 (2)'!$S$27))</f>
        <v/>
      </c>
      <c r="K23" s="12" t="str">
        <f>IF(SUMIFS(CNXL_SQL_2!$F:$F,CNXL_SQL_2!$A:$A,'PAGE_1 (2)'!$R23,CNXL_SQL_2!$D:$D,'PAGE_1 (2)'!$S$28)=0,"",SUMIFS(CNXL_SQL_2!$F:$F,CNXL_SQL_2!$A:$A,'PAGE_1 (2)'!$R23,CNXL_SQL_2!$D:$D,'PAGE_1 (2)'!$S$28))</f>
        <v/>
      </c>
      <c r="L23" s="12" t="str">
        <f>IF(SUMIFS(CNXL_SQL_2!$F:$F,CNXL_SQL_2!$A:$A,'PAGE_1 (2)'!$R23,CNXL_SQL_2!$D:$D,'PAGE_1 (2)'!$S$29)=0,"",SUMIFS(CNXL_SQL_2!$F:$F,CNXL_SQL_2!$A:$A,'PAGE_1 (2)'!$R23,CNXL_SQL_2!$D:$D,'PAGE_1 (2)'!$S$29))</f>
        <v/>
      </c>
      <c r="M23" s="42" t="str">
        <f t="shared" si="0"/>
        <v/>
      </c>
      <c r="N23" s="38" t="str">
        <f>ES_MATRIX!K5</f>
        <v/>
      </c>
      <c r="O23" s="14" t="str">
        <f>IFERROR(M23-ES_MATRIX!L5,"")</f>
        <v/>
      </c>
      <c r="P23" s="40" t="str">
        <f>IF(SUMIF(CNXL_SQL_2!$E:$E,'PAGE_1 (2)'!R23,CNXL_SQL_2!$F:$F)=0,"",SUMIF(CNXL_SQL_2!$E:$E,'PAGE_1 (2)'!R23,CNXL_SQL_2!$F:$F))</f>
        <v/>
      </c>
      <c r="Q23" s="59"/>
      <c r="R23" s="60" t="s">
        <v>64</v>
      </c>
      <c r="S23" s="61" t="s">
        <v>58</v>
      </c>
      <c r="T23" s="60"/>
      <c r="U23" s="60"/>
      <c r="V23" s="59"/>
      <c r="W23" s="57"/>
      <c r="X23" s="57"/>
    </row>
    <row r="24" spans="2:24" ht="14.5" x14ac:dyDescent="0.35">
      <c r="B24" s="67" t="s">
        <v>21</v>
      </c>
      <c r="C24" s="81">
        <f>SUMIF(SCH_DEP_SQL_4!$A:$A,'PAGE_1 (2)'!R24,SCH_DEP_SQL_4!$E:$E)</f>
        <v>297</v>
      </c>
      <c r="D24" s="17" t="str">
        <f>IF(SUMIFS(CNXL_SQL_2!$F:$F,CNXL_SQL_2!$A:$A,'PAGE_1 (2)'!$R24,CNXL_SQL_2!$D:$D,'PAGE_1 (2)'!$S$21)=0,"",SUMIFS(CNXL_SQL_2!$F:$F,CNXL_SQL_2!$A:$A,'PAGE_1 (2)'!$R24,CNXL_SQL_2!$D:$D,'PAGE_1 (2)'!$S$21))</f>
        <v/>
      </c>
      <c r="E24" s="17" t="str">
        <f>IF(SUMIFS(CNXL_SQL_2!$F:$F,CNXL_SQL_2!$A:$A,'PAGE_1 (2)'!$R24,CNXL_SQL_2!$D:$D,'PAGE_1 (2)'!$S$22)=0,"",SUMIFS(CNXL_SQL_2!$F:$F,CNXL_SQL_2!$A:$A,'PAGE_1 (2)'!$R24,CNXL_SQL_2!$D:$D,'PAGE_1 (2)'!$S$22))</f>
        <v/>
      </c>
      <c r="F24" s="17" t="str">
        <f>IF(SUMIFS(CNXL_SQL_2!$F:$F,CNXL_SQL_2!$A:$A,'PAGE_1 (2)'!$R24,CNXL_SQL_2!$D:$D,'PAGE_1 (2)'!$S$23)=0,"",SUMIFS(CNXL_SQL_2!$F:$F,CNXL_SQL_2!$A:$A,'PAGE_1 (2)'!$R24,CNXL_SQL_2!$D:$D,'PAGE_1 (2)'!$S$23))</f>
        <v/>
      </c>
      <c r="G24" s="17" t="str">
        <f>IF(SUMIFS(CNXL_SQL_2!$F:$F,CNXL_SQL_2!$A:$A,'PAGE_1 (2)'!$R24,CNXL_SQL_2!$D:$D,'PAGE_1 (2)'!$S$24)=0,"",SUMIFS(CNXL_SQL_2!$F:$F,CNXL_SQL_2!$A:$A,'PAGE_1 (2)'!$R24,CNXL_SQL_2!$D:$D,'PAGE_1 (2)'!$S$24))</f>
        <v/>
      </c>
      <c r="H24" s="17" t="str">
        <f>IF(SUMIFS(CNXL_SQL_2!$F:$F,CNXL_SQL_2!$A:$A,'PAGE_1 (2)'!$R24,CNXL_SQL_2!$D:$D,'PAGE_1 (2)'!$S$25)=0,"",SUMIFS(CNXL_SQL_2!$F:$F,CNXL_SQL_2!$A:$A,'PAGE_1 (2)'!$R24,CNXL_SQL_2!$D:$D,'PAGE_1 (2)'!$S$25))</f>
        <v/>
      </c>
      <c r="I24" s="17" t="str">
        <f>IF(SUMIFS(CNXL_SQL_2!$F:$F,CNXL_SQL_2!$A:$A,'PAGE_1 (2)'!$R24,CNXL_SQL_2!$D:$D,'PAGE_1 (2)'!$S$26)=0,"",SUMIFS(CNXL_SQL_2!$F:$F,CNXL_SQL_2!$A:$A,'PAGE_1 (2)'!$R24,CNXL_SQL_2!$D:$D,'PAGE_1 (2)'!$S$26))</f>
        <v/>
      </c>
      <c r="J24" s="17" t="str">
        <f>IF(SUMIFS(CNXL_SQL_2!$F:$F,CNXL_SQL_2!$A:$A,'PAGE_1 (2)'!$R24,CNXL_SQL_2!$D:$D,'PAGE_1 (2)'!$S$27)=0,"",SUMIFS(CNXL_SQL_2!$F:$F,CNXL_SQL_2!$A:$A,'PAGE_1 (2)'!$R24,CNXL_SQL_2!$D:$D,'PAGE_1 (2)'!$S$27))</f>
        <v/>
      </c>
      <c r="K24" s="17" t="str">
        <f>IF(SUMIFS(CNXL_SQL_2!$F:$F,CNXL_SQL_2!$A:$A,'PAGE_1 (2)'!$R24,CNXL_SQL_2!$D:$D,'PAGE_1 (2)'!$S$28)=0,"",SUMIFS(CNXL_SQL_2!$F:$F,CNXL_SQL_2!$A:$A,'PAGE_1 (2)'!$R24,CNXL_SQL_2!$D:$D,'PAGE_1 (2)'!$S$28))</f>
        <v/>
      </c>
      <c r="L24" s="17" t="str">
        <f>IF(SUMIFS(CNXL_SQL_2!$F:$F,CNXL_SQL_2!$A:$A,'PAGE_1 (2)'!$R24,CNXL_SQL_2!$D:$D,'PAGE_1 (2)'!$S$29)=0,"",SUMIFS(CNXL_SQL_2!$F:$F,CNXL_SQL_2!$A:$A,'PAGE_1 (2)'!$R24,CNXL_SQL_2!$D:$D,'PAGE_1 (2)'!$S$29))</f>
        <v/>
      </c>
      <c r="M24" s="18" t="str">
        <f t="shared" si="0"/>
        <v/>
      </c>
      <c r="N24" s="18" t="str">
        <f>ES_MATRIX!K6</f>
        <v/>
      </c>
      <c r="O24" s="18" t="str">
        <f>IFERROR(M24-ES_MATRIX!L6,"")</f>
        <v/>
      </c>
      <c r="P24" s="16" t="str">
        <f>IF(SUMIF(CNXL_SQL_2!$E:$E,'PAGE_1 (2)'!R24,CNXL_SQL_2!$F:$F)=0,"",SUMIF(CNXL_SQL_2!$E:$E,'PAGE_1 (2)'!R24,CNXL_SQL_2!$F:$F))</f>
        <v/>
      </c>
      <c r="Q24" s="59"/>
      <c r="R24" s="60" t="s">
        <v>63</v>
      </c>
      <c r="S24" s="61" t="s">
        <v>69</v>
      </c>
      <c r="T24" s="60"/>
      <c r="U24" s="60"/>
      <c r="V24" s="59"/>
      <c r="W24" s="57"/>
      <c r="X24" s="57"/>
    </row>
    <row r="25" spans="2:24" ht="14.5" x14ac:dyDescent="0.35">
      <c r="B25" s="66" t="s">
        <v>22</v>
      </c>
      <c r="C25" s="80">
        <f>SUMIF(SCH_DEP_SQL_4!$A:$A,'PAGE_1 (2)'!R25,SCH_DEP_SQL_4!$E:$E)</f>
        <v>186</v>
      </c>
      <c r="D25" s="12" t="str">
        <f>IF(SUMIFS(CNXL_SQL_2!$F:$F,CNXL_SQL_2!$A:$A,'PAGE_1 (2)'!$R25,CNXL_SQL_2!$D:$D,'PAGE_1 (2)'!$S$21)=0,"",SUMIFS(CNXL_SQL_2!$F:$F,CNXL_SQL_2!$A:$A,'PAGE_1 (2)'!$R25,CNXL_SQL_2!$D:$D,'PAGE_1 (2)'!$S$21))</f>
        <v/>
      </c>
      <c r="E25" s="12" t="str">
        <f>IF(SUMIFS(CNXL_SQL_2!$F:$F,CNXL_SQL_2!$A:$A,'PAGE_1 (2)'!$R25,CNXL_SQL_2!$D:$D,'PAGE_1 (2)'!$S$22)=0,"",SUMIFS(CNXL_SQL_2!$F:$F,CNXL_SQL_2!$A:$A,'PAGE_1 (2)'!$R25,CNXL_SQL_2!$D:$D,'PAGE_1 (2)'!$S$22))</f>
        <v/>
      </c>
      <c r="F25" s="12" t="str">
        <f>IF(SUMIFS(CNXL_SQL_2!$F:$F,CNXL_SQL_2!$A:$A,'PAGE_1 (2)'!$R25,CNXL_SQL_2!$D:$D,'PAGE_1 (2)'!$S$23)=0,"",SUMIFS(CNXL_SQL_2!$F:$F,CNXL_SQL_2!$A:$A,'PAGE_1 (2)'!$R25,CNXL_SQL_2!$D:$D,'PAGE_1 (2)'!$S$23))</f>
        <v/>
      </c>
      <c r="G25" s="12" t="str">
        <f>IF(SUMIFS(CNXL_SQL_2!$F:$F,CNXL_SQL_2!$A:$A,'PAGE_1 (2)'!$R25,CNXL_SQL_2!$D:$D,'PAGE_1 (2)'!$S$24)=0,"",SUMIFS(CNXL_SQL_2!$F:$F,CNXL_SQL_2!$A:$A,'PAGE_1 (2)'!$R25,CNXL_SQL_2!$D:$D,'PAGE_1 (2)'!$S$24))</f>
        <v/>
      </c>
      <c r="H25" s="12" t="str">
        <f>IF(SUMIFS(CNXL_SQL_2!$F:$F,CNXL_SQL_2!$A:$A,'PAGE_1 (2)'!$R25,CNXL_SQL_2!$D:$D,'PAGE_1 (2)'!$S$25)=0,"",SUMIFS(CNXL_SQL_2!$F:$F,CNXL_SQL_2!$A:$A,'PAGE_1 (2)'!$R25,CNXL_SQL_2!$D:$D,'PAGE_1 (2)'!$S$25))</f>
        <v/>
      </c>
      <c r="I25" s="12" t="str">
        <f>IF(SUMIFS(CNXL_SQL_2!$F:$F,CNXL_SQL_2!$A:$A,'PAGE_1 (2)'!$R25,CNXL_SQL_2!$D:$D,'PAGE_1 (2)'!$S$26)=0,"",SUMIFS(CNXL_SQL_2!$F:$F,CNXL_SQL_2!$A:$A,'PAGE_1 (2)'!$R25,CNXL_SQL_2!$D:$D,'PAGE_1 (2)'!$S$26))</f>
        <v/>
      </c>
      <c r="J25" s="12" t="str">
        <f>IF(SUMIFS(CNXL_SQL_2!$F:$F,CNXL_SQL_2!$A:$A,'PAGE_1 (2)'!$R25,CNXL_SQL_2!$D:$D,'PAGE_1 (2)'!$S$27)=0,"",SUMIFS(CNXL_SQL_2!$F:$F,CNXL_SQL_2!$A:$A,'PAGE_1 (2)'!$R25,CNXL_SQL_2!$D:$D,'PAGE_1 (2)'!$S$27))</f>
        <v/>
      </c>
      <c r="K25" s="12" t="str">
        <f>IF(SUMIFS(CNXL_SQL_2!$F:$F,CNXL_SQL_2!$A:$A,'PAGE_1 (2)'!$R25,CNXL_SQL_2!$D:$D,'PAGE_1 (2)'!$S$28)=0,"",SUMIFS(CNXL_SQL_2!$F:$F,CNXL_SQL_2!$A:$A,'PAGE_1 (2)'!$R25,CNXL_SQL_2!$D:$D,'PAGE_1 (2)'!$S$28))</f>
        <v/>
      </c>
      <c r="L25" s="12" t="str">
        <f>IF(SUMIFS(CNXL_SQL_2!$F:$F,CNXL_SQL_2!$A:$A,'PAGE_1 (2)'!$R25,CNXL_SQL_2!$D:$D,'PAGE_1 (2)'!$S$29)=0,"",SUMIFS(CNXL_SQL_2!$F:$F,CNXL_SQL_2!$A:$A,'PAGE_1 (2)'!$R25,CNXL_SQL_2!$D:$D,'PAGE_1 (2)'!$S$29))</f>
        <v/>
      </c>
      <c r="M25" s="42" t="str">
        <f t="shared" si="0"/>
        <v/>
      </c>
      <c r="N25" s="38" t="str">
        <f>ES_MATRIX!K7</f>
        <v/>
      </c>
      <c r="O25" s="14" t="str">
        <f>IFERROR(M25-ES_MATRIX!L7,"")</f>
        <v/>
      </c>
      <c r="P25" s="40" t="str">
        <f>IF(SUMIF(CNXL_SQL_2!$E:$E,'PAGE_1 (2)'!R25,CNXL_SQL_2!$F:$F)=0,"",SUMIF(CNXL_SQL_2!$E:$E,'PAGE_1 (2)'!R25,CNXL_SQL_2!$F:$F))</f>
        <v/>
      </c>
      <c r="Q25" s="59"/>
      <c r="R25" s="60" t="s">
        <v>65</v>
      </c>
      <c r="S25" s="61" t="s">
        <v>67</v>
      </c>
      <c r="T25" s="60"/>
      <c r="U25" s="60"/>
      <c r="V25" s="59"/>
      <c r="W25" s="57"/>
      <c r="X25" s="57"/>
    </row>
    <row r="26" spans="2:24" ht="14.5" x14ac:dyDescent="0.35">
      <c r="B26" s="67" t="s">
        <v>23</v>
      </c>
      <c r="C26" s="81">
        <f>SUMIF(SCH_DEP_SQL_4!$A:$A,'PAGE_1 (2)'!R26,SCH_DEP_SQL_4!$E:$E)</f>
        <v>193</v>
      </c>
      <c r="D26" s="17">
        <f>IF(SUMIFS(CNXL_SQL_2!$F:$F,CNXL_SQL_2!$A:$A,'PAGE_1 (2)'!$R26,CNXL_SQL_2!$D:$D,'PAGE_1 (2)'!$S$21)=0,"",SUMIFS(CNXL_SQL_2!$F:$F,CNXL_SQL_2!$A:$A,'PAGE_1 (2)'!$R26,CNXL_SQL_2!$D:$D,'PAGE_1 (2)'!$S$21))</f>
        <v>1</v>
      </c>
      <c r="E26" s="17" t="str">
        <f>IF(SUMIFS(CNXL_SQL_2!$F:$F,CNXL_SQL_2!$A:$A,'PAGE_1 (2)'!$R26,CNXL_SQL_2!$D:$D,'PAGE_1 (2)'!$S$22)=0,"",SUMIFS(CNXL_SQL_2!$F:$F,CNXL_SQL_2!$A:$A,'PAGE_1 (2)'!$R26,CNXL_SQL_2!$D:$D,'PAGE_1 (2)'!$S$22))</f>
        <v/>
      </c>
      <c r="F26" s="17" t="str">
        <f>IF(SUMIFS(CNXL_SQL_2!$F:$F,CNXL_SQL_2!$A:$A,'PAGE_1 (2)'!$R26,CNXL_SQL_2!$D:$D,'PAGE_1 (2)'!$S$23)=0,"",SUMIFS(CNXL_SQL_2!$F:$F,CNXL_SQL_2!$A:$A,'PAGE_1 (2)'!$R26,CNXL_SQL_2!$D:$D,'PAGE_1 (2)'!$S$23))</f>
        <v/>
      </c>
      <c r="G26" s="17" t="str">
        <f>IF(SUMIFS(CNXL_SQL_2!$F:$F,CNXL_SQL_2!$A:$A,'PAGE_1 (2)'!$R26,CNXL_SQL_2!$D:$D,'PAGE_1 (2)'!$S$24)=0,"",SUMIFS(CNXL_SQL_2!$F:$F,CNXL_SQL_2!$A:$A,'PAGE_1 (2)'!$R26,CNXL_SQL_2!$D:$D,'PAGE_1 (2)'!$S$24))</f>
        <v/>
      </c>
      <c r="H26" s="17" t="str">
        <f>IF(SUMIFS(CNXL_SQL_2!$F:$F,CNXL_SQL_2!$A:$A,'PAGE_1 (2)'!$R26,CNXL_SQL_2!$D:$D,'PAGE_1 (2)'!$S$25)=0,"",SUMIFS(CNXL_SQL_2!$F:$F,CNXL_SQL_2!$A:$A,'PAGE_1 (2)'!$R26,CNXL_SQL_2!$D:$D,'PAGE_1 (2)'!$S$25))</f>
        <v/>
      </c>
      <c r="I26" s="17" t="str">
        <f>IF(SUMIFS(CNXL_SQL_2!$F:$F,CNXL_SQL_2!$A:$A,'PAGE_1 (2)'!$R26,CNXL_SQL_2!$D:$D,'PAGE_1 (2)'!$S$26)=0,"",SUMIFS(CNXL_SQL_2!$F:$F,CNXL_SQL_2!$A:$A,'PAGE_1 (2)'!$R26,CNXL_SQL_2!$D:$D,'PAGE_1 (2)'!$S$26))</f>
        <v/>
      </c>
      <c r="J26" s="17" t="str">
        <f>IF(SUMIFS(CNXL_SQL_2!$F:$F,CNXL_SQL_2!$A:$A,'PAGE_1 (2)'!$R26,CNXL_SQL_2!$D:$D,'PAGE_1 (2)'!$S$27)=0,"",SUMIFS(CNXL_SQL_2!$F:$F,CNXL_SQL_2!$A:$A,'PAGE_1 (2)'!$R26,CNXL_SQL_2!$D:$D,'PAGE_1 (2)'!$S$27))</f>
        <v/>
      </c>
      <c r="K26" s="17" t="str">
        <f>IF(SUMIFS(CNXL_SQL_2!$F:$F,CNXL_SQL_2!$A:$A,'PAGE_1 (2)'!$R26,CNXL_SQL_2!$D:$D,'PAGE_1 (2)'!$S$28)=0,"",SUMIFS(CNXL_SQL_2!$F:$F,CNXL_SQL_2!$A:$A,'PAGE_1 (2)'!$R26,CNXL_SQL_2!$D:$D,'PAGE_1 (2)'!$S$28))</f>
        <v/>
      </c>
      <c r="L26" s="17" t="str">
        <f>IF(SUMIFS(CNXL_SQL_2!$F:$F,CNXL_SQL_2!$A:$A,'PAGE_1 (2)'!$R26,CNXL_SQL_2!$D:$D,'PAGE_1 (2)'!$S$29)=0,"",SUMIFS(CNXL_SQL_2!$F:$F,CNXL_SQL_2!$A:$A,'PAGE_1 (2)'!$R26,CNXL_SQL_2!$D:$D,'PAGE_1 (2)'!$S$29))</f>
        <v/>
      </c>
      <c r="M26" s="41">
        <f t="shared" si="0"/>
        <v>1</v>
      </c>
      <c r="N26" s="18" t="str">
        <f>ES_MATRIX!K8</f>
        <v/>
      </c>
      <c r="O26" s="18">
        <f>IFERROR(M26-ES_MATRIX!L8,"")</f>
        <v>1</v>
      </c>
      <c r="P26" s="16" t="str">
        <f>IF(SUMIF(CNXL_SQL_2!$E:$E,'PAGE_1 (2)'!R26,CNXL_SQL_2!$F:$F)=0,"",SUMIF(CNXL_SQL_2!$E:$E,'PAGE_1 (2)'!R26,CNXL_SQL_2!$F:$F))</f>
        <v/>
      </c>
      <c r="Q26" s="59"/>
      <c r="R26" s="60" t="s">
        <v>55</v>
      </c>
      <c r="S26" s="61" t="s">
        <v>70</v>
      </c>
      <c r="T26" s="60"/>
      <c r="U26" s="60"/>
      <c r="V26" s="59"/>
      <c r="W26" s="57"/>
      <c r="X26" s="57"/>
    </row>
    <row r="27" spans="2:24" ht="14.5" x14ac:dyDescent="0.35">
      <c r="B27" s="66" t="s">
        <v>24</v>
      </c>
      <c r="C27" s="80">
        <f>SUMIF(SCH_DEP_SQL_4!$A:$A,'PAGE_1 (2)'!R27,SCH_DEP_SQL_4!$E:$E)</f>
        <v>213</v>
      </c>
      <c r="D27" s="12" t="str">
        <f>IF(SUMIFS(CNXL_SQL_2!$F:$F,CNXL_SQL_2!$A:$A,'PAGE_1 (2)'!$R27,CNXL_SQL_2!$D:$D,'PAGE_1 (2)'!$S$21)=0,"",SUMIFS(CNXL_SQL_2!$F:$F,CNXL_SQL_2!$A:$A,'PAGE_1 (2)'!$R27,CNXL_SQL_2!$D:$D,'PAGE_1 (2)'!$S$21))</f>
        <v/>
      </c>
      <c r="E27" s="12" t="str">
        <f>IF(SUMIFS(CNXL_SQL_2!$F:$F,CNXL_SQL_2!$A:$A,'PAGE_1 (2)'!$R27,CNXL_SQL_2!$D:$D,'PAGE_1 (2)'!$S$22)=0,"",SUMIFS(CNXL_SQL_2!$F:$F,CNXL_SQL_2!$A:$A,'PAGE_1 (2)'!$R27,CNXL_SQL_2!$D:$D,'PAGE_1 (2)'!$S$22))</f>
        <v/>
      </c>
      <c r="F27" s="12" t="str">
        <f>IF(SUMIFS(CNXL_SQL_2!$F:$F,CNXL_SQL_2!$A:$A,'PAGE_1 (2)'!$R27,CNXL_SQL_2!$D:$D,'PAGE_1 (2)'!$S$23)=0,"",SUMIFS(CNXL_SQL_2!$F:$F,CNXL_SQL_2!$A:$A,'PAGE_1 (2)'!$R27,CNXL_SQL_2!$D:$D,'PAGE_1 (2)'!$S$23))</f>
        <v/>
      </c>
      <c r="G27" s="12" t="str">
        <f>IF(SUMIFS(CNXL_SQL_2!$F:$F,CNXL_SQL_2!$A:$A,'PAGE_1 (2)'!$R27,CNXL_SQL_2!$D:$D,'PAGE_1 (2)'!$S$24)=0,"",SUMIFS(CNXL_SQL_2!$F:$F,CNXL_SQL_2!$A:$A,'PAGE_1 (2)'!$R27,CNXL_SQL_2!$D:$D,'PAGE_1 (2)'!$S$24))</f>
        <v/>
      </c>
      <c r="H27" s="12" t="str">
        <f>IF(SUMIFS(CNXL_SQL_2!$F:$F,CNXL_SQL_2!$A:$A,'PAGE_1 (2)'!$R27,CNXL_SQL_2!$D:$D,'PAGE_1 (2)'!$S$25)=0,"",SUMIFS(CNXL_SQL_2!$F:$F,CNXL_SQL_2!$A:$A,'PAGE_1 (2)'!$R27,CNXL_SQL_2!$D:$D,'PAGE_1 (2)'!$S$25))</f>
        <v/>
      </c>
      <c r="I27" s="12" t="str">
        <f>IF(SUMIFS(CNXL_SQL_2!$F:$F,CNXL_SQL_2!$A:$A,'PAGE_1 (2)'!$R27,CNXL_SQL_2!$D:$D,'PAGE_1 (2)'!$S$26)=0,"",SUMIFS(CNXL_SQL_2!$F:$F,CNXL_SQL_2!$A:$A,'PAGE_1 (2)'!$R27,CNXL_SQL_2!$D:$D,'PAGE_1 (2)'!$S$26))</f>
        <v/>
      </c>
      <c r="J27" s="12" t="str">
        <f>IF(SUMIFS(CNXL_SQL_2!$F:$F,CNXL_SQL_2!$A:$A,'PAGE_1 (2)'!$R27,CNXL_SQL_2!$D:$D,'PAGE_1 (2)'!$S$27)=0,"",SUMIFS(CNXL_SQL_2!$F:$F,CNXL_SQL_2!$A:$A,'PAGE_1 (2)'!$R27,CNXL_SQL_2!$D:$D,'PAGE_1 (2)'!$S$27))</f>
        <v/>
      </c>
      <c r="K27" s="12" t="str">
        <f>IF(SUMIFS(CNXL_SQL_2!$F:$F,CNXL_SQL_2!$A:$A,'PAGE_1 (2)'!$R27,CNXL_SQL_2!$D:$D,'PAGE_1 (2)'!$S$28)=0,"",SUMIFS(CNXL_SQL_2!$F:$F,CNXL_SQL_2!$A:$A,'PAGE_1 (2)'!$R27,CNXL_SQL_2!$D:$D,'PAGE_1 (2)'!$S$28))</f>
        <v/>
      </c>
      <c r="L27" s="12" t="str">
        <f>IF(SUMIFS(CNXL_SQL_2!$F:$F,CNXL_SQL_2!$A:$A,'PAGE_1 (2)'!$R27,CNXL_SQL_2!$D:$D,'PAGE_1 (2)'!$S$29)=0,"",SUMIFS(CNXL_SQL_2!$F:$F,CNXL_SQL_2!$A:$A,'PAGE_1 (2)'!$R27,CNXL_SQL_2!$D:$D,'PAGE_1 (2)'!$S$29))</f>
        <v/>
      </c>
      <c r="M27" s="38" t="str">
        <f t="shared" si="0"/>
        <v/>
      </c>
      <c r="N27" s="38" t="str">
        <f>ES_MATRIX!K9</f>
        <v/>
      </c>
      <c r="O27" s="14" t="str">
        <f>IFERROR(M27-ES_MATRIX!L9,"")</f>
        <v/>
      </c>
      <c r="P27" s="40" t="str">
        <f>IF(SUMIF(CNXL_SQL_2!$E:$E,'PAGE_1 (2)'!R27,CNXL_SQL_2!$F:$F)=0,"",SUMIF(CNXL_SQL_2!$E:$E,'PAGE_1 (2)'!R27,CNXL_SQL_2!$F:$F))</f>
        <v/>
      </c>
      <c r="Q27" s="59"/>
      <c r="R27" s="60" t="s">
        <v>62</v>
      </c>
      <c r="S27" s="61" t="s">
        <v>72</v>
      </c>
      <c r="T27" s="60"/>
      <c r="U27" s="60"/>
      <c r="V27" s="59"/>
      <c r="W27" s="57"/>
      <c r="X27" s="57"/>
    </row>
    <row r="28" spans="2:24" ht="15" thickBot="1" x14ac:dyDescent="0.4">
      <c r="B28" s="67" t="s">
        <v>25</v>
      </c>
      <c r="C28" s="81">
        <f>SUMIF(SCH_DEP_SQL_4!$A:$A,'PAGE_1 (2)'!R28,SCH_DEP_SQL_4!$E:$E)</f>
        <v>0</v>
      </c>
      <c r="D28" s="17" t="str">
        <f>IF(SUMIFS(CNXL_SQL_2!$F:$F,CNXL_SQL_2!$A:$A,'PAGE_1 (2)'!$R28,CNXL_SQL_2!$D:$D,'PAGE_1 (2)'!$S$21)=0,"",SUMIFS(CNXL_SQL_2!$F:$F,CNXL_SQL_2!$A:$A,'PAGE_1 (2)'!$R28,CNXL_SQL_2!$D:$D,'PAGE_1 (2)'!$S$21))</f>
        <v/>
      </c>
      <c r="E28" s="17" t="str">
        <f>IF(SUMIFS(CNXL_SQL_2!$F:$F,CNXL_SQL_2!$A:$A,'PAGE_1 (2)'!$R28,CNXL_SQL_2!$D:$D,'PAGE_1 (2)'!$S$22)=0,"",SUMIFS(CNXL_SQL_2!$F:$F,CNXL_SQL_2!$A:$A,'PAGE_1 (2)'!$R28,CNXL_SQL_2!$D:$D,'PAGE_1 (2)'!$S$22))</f>
        <v/>
      </c>
      <c r="F28" s="17" t="str">
        <f>IF(SUMIFS(CNXL_SQL_2!$F:$F,CNXL_SQL_2!$A:$A,'PAGE_1 (2)'!$R28,CNXL_SQL_2!$D:$D,'PAGE_1 (2)'!$S$23)=0,"",SUMIFS(CNXL_SQL_2!$F:$F,CNXL_SQL_2!$A:$A,'PAGE_1 (2)'!$R28,CNXL_SQL_2!$D:$D,'PAGE_1 (2)'!$S$23))</f>
        <v/>
      </c>
      <c r="G28" s="17" t="str">
        <f>IF(SUMIFS(CNXL_SQL_2!$F:$F,CNXL_SQL_2!$A:$A,'PAGE_1 (2)'!$R28,CNXL_SQL_2!$D:$D,'PAGE_1 (2)'!$S$24)=0,"",SUMIFS(CNXL_SQL_2!$F:$F,CNXL_SQL_2!$A:$A,'PAGE_1 (2)'!$R28,CNXL_SQL_2!$D:$D,'PAGE_1 (2)'!$S$24))</f>
        <v/>
      </c>
      <c r="H28" s="17" t="str">
        <f>IF(SUMIFS(CNXL_SQL_2!$F:$F,CNXL_SQL_2!$A:$A,'PAGE_1 (2)'!$R28,CNXL_SQL_2!$D:$D,'PAGE_1 (2)'!$S$25)=0,"",SUMIFS(CNXL_SQL_2!$F:$F,CNXL_SQL_2!$A:$A,'PAGE_1 (2)'!$R28,CNXL_SQL_2!$D:$D,'PAGE_1 (2)'!$S$25))</f>
        <v/>
      </c>
      <c r="I28" s="17" t="str">
        <f>IF(SUMIFS(CNXL_SQL_2!$F:$F,CNXL_SQL_2!$A:$A,'PAGE_1 (2)'!$R28,CNXL_SQL_2!$D:$D,'PAGE_1 (2)'!$S$26)=0,"",SUMIFS(CNXL_SQL_2!$F:$F,CNXL_SQL_2!$A:$A,'PAGE_1 (2)'!$R28,CNXL_SQL_2!$D:$D,'PAGE_1 (2)'!$S$26))</f>
        <v/>
      </c>
      <c r="J28" s="17" t="str">
        <f>IF(SUMIFS(CNXL_SQL_2!$F:$F,CNXL_SQL_2!$A:$A,'PAGE_1 (2)'!$R28,CNXL_SQL_2!$D:$D,'PAGE_1 (2)'!$S$27)=0,"",SUMIFS(CNXL_SQL_2!$F:$F,CNXL_SQL_2!$A:$A,'PAGE_1 (2)'!$R28,CNXL_SQL_2!$D:$D,'PAGE_1 (2)'!$S$27))</f>
        <v/>
      </c>
      <c r="K28" s="17" t="str">
        <f>IF(SUMIFS(CNXL_SQL_2!$F:$F,CNXL_SQL_2!$A:$A,'PAGE_1 (2)'!$R28,CNXL_SQL_2!$D:$D,'PAGE_1 (2)'!$S$28)=0,"",SUMIFS(CNXL_SQL_2!$F:$F,CNXL_SQL_2!$A:$A,'PAGE_1 (2)'!$R28,CNXL_SQL_2!$D:$D,'PAGE_1 (2)'!$S$28))</f>
        <v/>
      </c>
      <c r="L28" s="17" t="str">
        <f>IF(SUMIFS(CNXL_SQL_2!$F:$F,CNXL_SQL_2!$A:$A,'PAGE_1 (2)'!$R28,CNXL_SQL_2!$D:$D,'PAGE_1 (2)'!$S$29)=0,"",SUMIFS(CNXL_SQL_2!$F:$F,CNXL_SQL_2!$A:$A,'PAGE_1 (2)'!$R28,CNXL_SQL_2!$D:$D,'PAGE_1 (2)'!$S$29))</f>
        <v/>
      </c>
      <c r="M28" s="18" t="str">
        <f t="shared" si="0"/>
        <v/>
      </c>
      <c r="N28" s="18" t="str">
        <f>ES_MATRIX!K10</f>
        <v/>
      </c>
      <c r="O28" s="18" t="str">
        <f>IFERROR(M28-ES_MATRIX!L10,"")</f>
        <v/>
      </c>
      <c r="P28" s="16" t="str">
        <f>IF(SUMIF(CNXL_SQL_2!$E:$E,'PAGE_1 (2)'!R28,CNXL_SQL_2!$F:$F)=0,"",SUMIF(CNXL_SQL_2!$E:$E,'PAGE_1 (2)'!R28,CNXL_SQL_2!$F:$F))</f>
        <v/>
      </c>
      <c r="Q28" s="59"/>
      <c r="R28" s="60" t="s">
        <v>59</v>
      </c>
      <c r="S28" s="61" t="s">
        <v>68</v>
      </c>
      <c r="T28" s="60"/>
      <c r="U28" s="60"/>
      <c r="V28" s="59"/>
      <c r="W28" s="57"/>
      <c r="X28" s="57"/>
    </row>
    <row r="29" spans="2:24" ht="15" thickBot="1" x14ac:dyDescent="0.4">
      <c r="B29" s="68" t="s">
        <v>26</v>
      </c>
      <c r="C29" s="82">
        <f>SUM(C21:C28)</f>
        <v>1705</v>
      </c>
      <c r="D29" s="22">
        <f>IF(SUM(D21:D28)=0,"",SUM(D21:D28))</f>
        <v>11</v>
      </c>
      <c r="E29" s="22" t="str">
        <f t="shared" ref="E29:L29" si="1">IF(SUM(E21:E28)=0,"",SUM(E21:E28))</f>
        <v/>
      </c>
      <c r="F29" s="22" t="str">
        <f>IF(SUM(F21:F28)=0,"",SUM(F21:F28))</f>
        <v/>
      </c>
      <c r="G29" s="22" t="str">
        <f t="shared" si="1"/>
        <v/>
      </c>
      <c r="H29" s="22" t="str">
        <f t="shared" si="1"/>
        <v/>
      </c>
      <c r="I29" s="22" t="str">
        <f t="shared" si="1"/>
        <v/>
      </c>
      <c r="J29" s="22" t="str">
        <f t="shared" si="1"/>
        <v/>
      </c>
      <c r="K29" s="22" t="str">
        <f t="shared" si="1"/>
        <v/>
      </c>
      <c r="L29" s="22" t="str">
        <f t="shared" si="1"/>
        <v/>
      </c>
      <c r="M29" s="23">
        <f>SUM(M21:M28)</f>
        <v>11</v>
      </c>
      <c r="N29" s="23"/>
      <c r="O29" s="23">
        <f>SUM(O21:O28)</f>
        <v>11</v>
      </c>
      <c r="P29" s="23">
        <f>SUM(P21:P28)</f>
        <v>0</v>
      </c>
      <c r="Q29" s="59"/>
      <c r="R29" s="60"/>
      <c r="S29" s="61" t="s">
        <v>71</v>
      </c>
      <c r="T29" s="60"/>
      <c r="U29" s="60"/>
      <c r="V29" s="59"/>
      <c r="W29" s="57"/>
      <c r="X29" s="57"/>
    </row>
    <row r="30" spans="2:24" ht="9.4" customHeight="1" x14ac:dyDescent="0.35">
      <c r="B30" s="8"/>
      <c r="C30" s="9"/>
      <c r="D30"/>
      <c r="E30"/>
      <c r="F30"/>
      <c r="G30"/>
      <c r="H30" s="9"/>
      <c r="I30" s="9"/>
      <c r="J30" s="9"/>
      <c r="K30" s="9"/>
      <c r="L30" s="9"/>
      <c r="M30" s="9"/>
      <c r="N30" s="9"/>
      <c r="O30" s="9"/>
      <c r="P30" s="9"/>
      <c r="Q30" s="59"/>
      <c r="R30" s="60"/>
      <c r="S30" s="60"/>
      <c r="T30" s="60"/>
      <c r="U30" s="60"/>
      <c r="V30" s="59"/>
      <c r="W30" s="57"/>
      <c r="X30" s="57"/>
    </row>
    <row r="31" spans="2:24" ht="9.4" customHeight="1" x14ac:dyDescent="0.35">
      <c r="B31" s="8"/>
      <c r="C31" s="9"/>
      <c r="D31"/>
      <c r="E31"/>
      <c r="F31"/>
      <c r="G31"/>
      <c r="H31" s="9"/>
      <c r="I31" s="9"/>
      <c r="J31" s="9"/>
      <c r="K31" s="9"/>
      <c r="L31" s="9"/>
      <c r="M31" s="9"/>
      <c r="N31" s="9"/>
      <c r="O31" s="9"/>
      <c r="P31" s="9"/>
      <c r="Q31" s="59"/>
      <c r="R31" s="60"/>
      <c r="S31" s="60"/>
      <c r="T31" s="60"/>
      <c r="U31" s="60"/>
      <c r="V31" s="59"/>
      <c r="W31" s="57"/>
      <c r="X31" s="57"/>
    </row>
    <row r="32" spans="2:24" ht="9.4" customHeight="1" thickBot="1" x14ac:dyDescent="0.35">
      <c r="Q32" s="59"/>
      <c r="R32" s="60"/>
      <c r="S32" s="60"/>
      <c r="T32" s="60"/>
      <c r="U32" s="60"/>
      <c r="V32" s="59"/>
      <c r="W32" s="57"/>
      <c r="X32" s="57"/>
    </row>
    <row r="33" spans="2:24" ht="16" thickBot="1" x14ac:dyDescent="0.35">
      <c r="B33" s="299" t="s">
        <v>28</v>
      </c>
      <c r="C33" s="300"/>
      <c r="D33" s="300"/>
      <c r="E33" s="300"/>
      <c r="F33" s="300"/>
      <c r="G33" s="300"/>
      <c r="H33" s="300"/>
      <c r="I33" s="300"/>
      <c r="J33" s="300"/>
      <c r="K33" s="300"/>
      <c r="L33" s="300"/>
      <c r="M33" s="300"/>
      <c r="N33" s="300"/>
      <c r="O33" s="300"/>
      <c r="P33" s="300"/>
      <c r="Q33" s="59"/>
      <c r="R33" s="60"/>
      <c r="S33" s="60"/>
      <c r="T33" s="60"/>
      <c r="U33" s="60"/>
      <c r="V33" s="59"/>
      <c r="W33" s="57"/>
      <c r="X33" s="57"/>
    </row>
    <row r="34" spans="2:24" ht="30.65" customHeight="1" thickBot="1" x14ac:dyDescent="0.35">
      <c r="B34" s="70" t="s">
        <v>3</v>
      </c>
      <c r="C34" s="71" t="s">
        <v>85</v>
      </c>
      <c r="D34" s="72" t="s">
        <v>79</v>
      </c>
      <c r="E34" s="72" t="s">
        <v>80</v>
      </c>
      <c r="F34" s="72" t="s">
        <v>81</v>
      </c>
      <c r="G34" s="72" t="s">
        <v>82</v>
      </c>
      <c r="H34" s="72" t="s">
        <v>83</v>
      </c>
      <c r="I34" s="72" t="s">
        <v>84</v>
      </c>
      <c r="J34" s="72" t="s">
        <v>15</v>
      </c>
      <c r="K34" s="72" t="s">
        <v>16</v>
      </c>
      <c r="L34" s="72" t="s">
        <v>66</v>
      </c>
      <c r="M34" s="73" t="s">
        <v>29</v>
      </c>
      <c r="N34" s="74" t="s">
        <v>47</v>
      </c>
      <c r="O34" s="74" t="s">
        <v>73</v>
      </c>
      <c r="P34" s="74" t="s">
        <v>46</v>
      </c>
      <c r="Q34" s="59"/>
      <c r="R34" s="59"/>
      <c r="S34" s="59"/>
      <c r="T34" s="59"/>
      <c r="U34" s="59"/>
      <c r="V34" s="59"/>
      <c r="W34" s="57"/>
      <c r="X34" s="57"/>
    </row>
    <row r="35" spans="2:24" ht="13" x14ac:dyDescent="0.3">
      <c r="B35" s="66" t="s">
        <v>18</v>
      </c>
      <c r="C35" s="80">
        <f>SUMIF(SCH_DEP_SQL_4!$A:$A,'PAGE_1 (2)'!R21,SCH_DEP_SQL_4!$E:$E)</f>
        <v>0</v>
      </c>
      <c r="D35" s="12" t="str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2" t="str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2" t="str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2" t="str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2" t="str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2" t="str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2" t="str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2" t="str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2" t="str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7" t="str">
        <f>IF(SUM(D35:L35)=0,"",SUM(D35:L35))</f>
        <v/>
      </c>
      <c r="N35" s="37" t="str">
        <f>ES_MATRIX!K14</f>
        <v/>
      </c>
      <c r="O35" s="14" t="str">
        <f>IFERROR(M35-ES_MATRIX!L14,"")</f>
        <v/>
      </c>
      <c r="P35" s="40" t="str">
        <f>IF(SUMIF(RES_CNXL_SQL_3!$E:$E,'PAGE_1 (2)'!R21,RES_CNXL_SQL_3!$F:$F)=0,"",SUMIF(RES_CNXL_SQL_3!$E:$E,'PAGE_1 (2)'!R21,RES_CNXL_SQL_3!$F:$F))</f>
        <v/>
      </c>
      <c r="Q35" s="57"/>
      <c r="R35" s="57"/>
      <c r="S35" s="57"/>
      <c r="T35" s="57"/>
      <c r="U35" s="57"/>
      <c r="V35" s="57"/>
      <c r="W35" s="57"/>
      <c r="X35" s="57"/>
    </row>
    <row r="36" spans="2:24" ht="13" x14ac:dyDescent="0.3">
      <c r="B36" s="67" t="s">
        <v>19</v>
      </c>
      <c r="C36" s="81">
        <f>SUMIF(SCH_DEP_SQL_4!$A:$A,'PAGE_1 (2)'!R22,SCH_DEP_SQL_4!$E:$E)</f>
        <v>816</v>
      </c>
      <c r="D36" s="17">
        <f>IF(SUMIFS(RES_CNXL_SQL_3!$F:$F,RES_CNXL_SQL_3!$A:$A,'PAGE_1 (2)'!$R22,RES_CNXL_SQL_3!$D:$D,'PAGE_1 (2)'!$S$21)=0,"",SUMIFS(RES_CNXL_SQL_3!$F:$F,RES_CNXL_SQL_3!$A:$A,'PAGE_1 (2)'!$R22,RES_CNXL_SQL_3!$D:$D,'PAGE_1 (2)'!$S$21))</f>
        <v>6</v>
      </c>
      <c r="E36" s="17" t="str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7" t="str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7" t="str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7" t="str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7" t="str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7" t="str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7" t="str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7" t="str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8">
        <f t="shared" ref="M36:M42" si="2">IF(SUM(D36:L36)=0,"",SUM(D36:L36))</f>
        <v>6</v>
      </c>
      <c r="N36" s="18" t="str">
        <f>ES_MATRIX!K15</f>
        <v/>
      </c>
      <c r="O36" s="18">
        <f>IFERROR(M36-ES_MATRIX!L15,"")</f>
        <v>6</v>
      </c>
      <c r="P36" s="16" t="str">
        <f>IF(SUMIF(RES_CNXL_SQL_3!$E:$E,'PAGE_1 (2)'!R22,RES_CNXL_SQL_3!$F:$F)=0,"",SUMIF(RES_CNXL_SQL_3!$E:$E,'PAGE_1 (2)'!R22,RES_CNXL_SQL_3!$F:$F))</f>
        <v/>
      </c>
    </row>
    <row r="37" spans="2:24" ht="13" x14ac:dyDescent="0.3">
      <c r="B37" s="66" t="s">
        <v>20</v>
      </c>
      <c r="C37" s="80">
        <f>SUMIF(SCH_DEP_SQL_4!$A:$A,'PAGE_1 (2)'!R23,SCH_DEP_SQL_4!$E:$E)</f>
        <v>0</v>
      </c>
      <c r="D37" s="12" t="str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2" t="str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2" t="str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2" t="str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2" t="str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2" t="str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2" t="str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2" t="str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2" t="str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42" t="str">
        <f t="shared" si="2"/>
        <v/>
      </c>
      <c r="N37" s="38" t="str">
        <f>ES_MATRIX!K16</f>
        <v/>
      </c>
      <c r="O37" s="14" t="str">
        <f>IFERROR(M37-ES_MATRIX!L16,"")</f>
        <v/>
      </c>
      <c r="P37" s="40" t="str">
        <f>IF(SUMIF(RES_CNXL_SQL_3!$E:$E,'PAGE_1 (2)'!R23,RES_CNXL_SQL_3!$F:$F)=0,"",SUMIF(RES_CNXL_SQL_3!$E:$E,'PAGE_1 (2)'!R23,RES_CNXL_SQL_3!$F:$F))</f>
        <v/>
      </c>
    </row>
    <row r="38" spans="2:24" ht="13" x14ac:dyDescent="0.3">
      <c r="B38" s="67" t="s">
        <v>21</v>
      </c>
      <c r="C38" s="81">
        <f>SUMIF(SCH_DEP_SQL_4!$A:$A,'PAGE_1 (2)'!R24,SCH_DEP_SQL_4!$E:$E)</f>
        <v>297</v>
      </c>
      <c r="D38" s="17" t="str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7" t="str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7" t="str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7" t="str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7" t="str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7" t="str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7" t="str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7" t="str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7" t="str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8" t="str">
        <f t="shared" si="2"/>
        <v/>
      </c>
      <c r="N38" s="18" t="str">
        <f>ES_MATRIX!K17</f>
        <v/>
      </c>
      <c r="O38" s="18" t="str">
        <f>IFERROR(M38-ES_MATRIX!L17,"")</f>
        <v/>
      </c>
      <c r="P38" s="16" t="str">
        <f>IF(SUMIF(RES_CNXL_SQL_3!$E:$E,'PAGE_1 (2)'!R24,RES_CNXL_SQL_3!$F:$F)=0,"",SUMIF(RES_CNXL_SQL_3!$E:$E,'PAGE_1 (2)'!R24,RES_CNXL_SQL_3!$F:$F))</f>
        <v/>
      </c>
    </row>
    <row r="39" spans="2:24" ht="13" x14ac:dyDescent="0.3">
      <c r="B39" s="66" t="s">
        <v>22</v>
      </c>
      <c r="C39" s="80">
        <f>SUMIF(SCH_DEP_SQL_4!$A:$A,'PAGE_1 (2)'!R25,SCH_DEP_SQL_4!$E:$E)</f>
        <v>186</v>
      </c>
      <c r="D39" s="12" t="str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2" t="str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2" t="str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2" t="str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2">
        <f>IF(SUMIFS(RES_CNXL_SQL_3!$F:$F,RES_CNXL_SQL_3!$A:$A,'PAGE_1 (2)'!$R25,RES_CNXL_SQL_3!$D:$D,'PAGE_1 (2)'!$S$25)=0,"",SUMIFS(RES_CNXL_SQL_3!$F:$F,RES_CNXL_SQL_3!$A:$A,'PAGE_1 (2)'!$R25,RES_CNXL_SQL_3!$D:$D,'PAGE_1 (2)'!$S$25))</f>
        <v>1</v>
      </c>
      <c r="I39" s="12" t="str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2" t="str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2" t="str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2" t="str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42">
        <f t="shared" si="2"/>
        <v>1</v>
      </c>
      <c r="N39" s="38" t="str">
        <f>ES_MATRIX!K18</f>
        <v/>
      </c>
      <c r="O39" s="14">
        <f>IFERROR(M39-ES_MATRIX!L18,"")</f>
        <v>1</v>
      </c>
      <c r="P39" s="40" t="str">
        <f>IF(SUMIF(RES_CNXL_SQL_3!$E:$E,'PAGE_1 (2)'!R25,RES_CNXL_SQL_3!$F:$F)=0,"",SUMIF(RES_CNXL_SQL_3!$E:$E,'PAGE_1 (2)'!R25,RES_CNXL_SQL_3!$F:$F))</f>
        <v/>
      </c>
    </row>
    <row r="40" spans="2:24" ht="13" x14ac:dyDescent="0.3">
      <c r="B40" s="67" t="s">
        <v>23</v>
      </c>
      <c r="C40" s="81">
        <f>SUMIF(SCH_DEP_SQL_4!$A:$A,'PAGE_1 (2)'!R26,SCH_DEP_SQL_4!$E:$E)</f>
        <v>193</v>
      </c>
      <c r="D40" s="17" t="str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7" t="str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7" t="str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7" t="str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7" t="str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7" t="str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7" t="str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7" t="str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7" t="str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41" t="str">
        <f t="shared" si="2"/>
        <v/>
      </c>
      <c r="N40" s="18" t="str">
        <f>ES_MATRIX!K19</f>
        <v/>
      </c>
      <c r="O40" s="18" t="str">
        <f>IFERROR(M40-ES_MATRIX!L19,"")</f>
        <v/>
      </c>
      <c r="P40" s="16" t="str">
        <f>IF(SUMIF(RES_CNXL_SQL_3!$E:$E,'PAGE_1 (2)'!R26,RES_CNXL_SQL_3!$F:$F)=0,"",SUMIF(RES_CNXL_SQL_3!$E:$E,'PAGE_1 (2)'!R26,RES_CNXL_SQL_3!$F:$F))</f>
        <v/>
      </c>
    </row>
    <row r="41" spans="2:24" ht="13" x14ac:dyDescent="0.3">
      <c r="B41" s="66" t="s">
        <v>24</v>
      </c>
      <c r="C41" s="80">
        <f>SUMIF(SCH_DEP_SQL_4!$A:$A,'PAGE_1 (2)'!R27,SCH_DEP_SQL_4!$E:$E)</f>
        <v>213</v>
      </c>
      <c r="D41" s="12" t="str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2" t="str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2" t="str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2" t="str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2" t="str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2" t="str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2" t="str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2" t="str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2" t="str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8" t="str">
        <f t="shared" si="2"/>
        <v/>
      </c>
      <c r="N41" s="38" t="str">
        <f>ES_MATRIX!K20</f>
        <v/>
      </c>
      <c r="O41" s="14" t="str">
        <f>IFERROR(M41-ES_MATRIX!L20,"")</f>
        <v/>
      </c>
      <c r="P41" s="40" t="str">
        <f>IF(SUMIF(RES_CNXL_SQL_3!$E:$E,'PAGE_1 (2)'!R27,RES_CNXL_SQL_3!$F:$F)=0,"",SUMIF(RES_CNXL_SQL_3!$E:$E,'PAGE_1 (2)'!R27,RES_CNXL_SQL_3!$F:$F))</f>
        <v/>
      </c>
    </row>
    <row r="42" spans="2:24" ht="13.5" thickBot="1" x14ac:dyDescent="0.35">
      <c r="B42" s="67" t="s">
        <v>25</v>
      </c>
      <c r="C42" s="81">
        <f>SUMIF(SCH_DEP_SQL_4!$A:$A,'PAGE_1 (2)'!R28,SCH_DEP_SQL_4!$E:$E)</f>
        <v>0</v>
      </c>
      <c r="D42" s="17" t="str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7" t="str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7" t="str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7" t="str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7" t="str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7" t="str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7" t="str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7" t="str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7" t="str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8" t="str">
        <f t="shared" si="2"/>
        <v/>
      </c>
      <c r="N42" s="18" t="str">
        <f>ES_MATRIX!K21</f>
        <v/>
      </c>
      <c r="O42" s="18" t="str">
        <f>IFERROR(M42-ES_MATRIX!L21,"")</f>
        <v/>
      </c>
      <c r="P42" s="16" t="str">
        <f>IF(SUMIF(RES_CNXL_SQL_3!$E:$E,'PAGE_1 (2)'!R28,RES_CNXL_SQL_3!$F:$F)=0,"",SUMIF(RES_CNXL_SQL_3!$E:$E,'PAGE_1 (2)'!R28,RES_CNXL_SQL_3!$F:$F))</f>
        <v/>
      </c>
    </row>
    <row r="43" spans="2:24" ht="13.5" thickBot="1" x14ac:dyDescent="0.35">
      <c r="B43" s="68" t="s">
        <v>26</v>
      </c>
      <c r="C43" s="82">
        <f>SUM(C35:C42)</f>
        <v>1705</v>
      </c>
      <c r="D43" s="22">
        <f>IF(SUM(D35:D42)=0,"",SUM(D35:D42))</f>
        <v>6</v>
      </c>
      <c r="E43" s="22" t="str">
        <f t="shared" ref="E43:L43" si="3">IF(SUM(E35:E42)=0,"",SUM(E35:E42))</f>
        <v/>
      </c>
      <c r="F43" s="22" t="str">
        <f t="shared" si="3"/>
        <v/>
      </c>
      <c r="G43" s="22" t="str">
        <f t="shared" si="3"/>
        <v/>
      </c>
      <c r="H43" s="22">
        <f t="shared" si="3"/>
        <v>1</v>
      </c>
      <c r="I43" s="22" t="str">
        <f t="shared" si="3"/>
        <v/>
      </c>
      <c r="J43" s="22" t="str">
        <f t="shared" si="3"/>
        <v/>
      </c>
      <c r="K43" s="22" t="str">
        <f t="shared" si="3"/>
        <v/>
      </c>
      <c r="L43" s="22" t="str">
        <f t="shared" si="3"/>
        <v/>
      </c>
      <c r="M43" s="23">
        <f>SUM(M35:M42)</f>
        <v>7</v>
      </c>
      <c r="N43" s="23"/>
      <c r="O43" s="23">
        <f>SUM(O35:O42)</f>
        <v>7</v>
      </c>
      <c r="P43" s="23">
        <f>SUM(P35:P42)</f>
        <v>0</v>
      </c>
    </row>
    <row r="44" spans="2:24" ht="21" customHeight="1" x14ac:dyDescent="0.3">
      <c r="C44" s="69"/>
    </row>
  </sheetData>
  <mergeCells count="6">
    <mergeCell ref="B2:C2"/>
    <mergeCell ref="D2:E2"/>
    <mergeCell ref="B4:H4"/>
    <mergeCell ref="B19:P19"/>
    <mergeCell ref="B33:P33"/>
    <mergeCell ref="J4:S4"/>
  </mergeCells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dxfId="201" priority="95" rank="1"/>
  </conditionalFormatting>
  <conditionalFormatting sqref="E21:E28">
    <cfRule type="top10" dxfId="200" priority="94" rank="1"/>
  </conditionalFormatting>
  <conditionalFormatting sqref="F21:F28">
    <cfRule type="top10" dxfId="199" priority="93" rank="1"/>
  </conditionalFormatting>
  <conditionalFormatting sqref="G21:G28">
    <cfRule type="top10" dxfId="198" priority="92" rank="1"/>
  </conditionalFormatting>
  <conditionalFormatting sqref="H21:H28">
    <cfRule type="top10" dxfId="197" priority="91" rank="1"/>
  </conditionalFormatting>
  <conditionalFormatting sqref="I21:I28">
    <cfRule type="top10" dxfId="196" priority="90" rank="1"/>
  </conditionalFormatting>
  <conditionalFormatting sqref="J21:J28">
    <cfRule type="top10" dxfId="195" priority="89" rank="1"/>
  </conditionalFormatting>
  <conditionalFormatting sqref="K21:K28">
    <cfRule type="top10" dxfId="194" priority="88" rank="1"/>
  </conditionalFormatting>
  <conditionalFormatting sqref="L21:L28">
    <cfRule type="top10" dxfId="193" priority="87" rank="1"/>
  </conditionalFormatting>
  <conditionalFormatting sqref="D35:D42">
    <cfRule type="top10" dxfId="192" priority="86" rank="1"/>
  </conditionalFormatting>
  <conditionalFormatting sqref="E35:E42">
    <cfRule type="top10" dxfId="191" priority="85" rank="1"/>
  </conditionalFormatting>
  <conditionalFormatting sqref="F35:F42">
    <cfRule type="top10" dxfId="190" priority="84" rank="1"/>
  </conditionalFormatting>
  <conditionalFormatting sqref="G35:G42">
    <cfRule type="top10" dxfId="189" priority="83" rank="1"/>
  </conditionalFormatting>
  <conditionalFormatting sqref="H35:H42">
    <cfRule type="top10" dxfId="188" priority="82" rank="1"/>
  </conditionalFormatting>
  <conditionalFormatting sqref="I35:I42">
    <cfRule type="top10" dxfId="187" priority="81" rank="1"/>
  </conditionalFormatting>
  <conditionalFormatting sqref="J35:J42">
    <cfRule type="top10" dxfId="186" priority="80" rank="1"/>
  </conditionalFormatting>
  <conditionalFormatting sqref="K35:K42">
    <cfRule type="top10" dxfId="185" priority="79" rank="1"/>
  </conditionalFormatting>
  <conditionalFormatting sqref="L35:L42">
    <cfRule type="top10" dxfId="184" priority="78" rank="1"/>
  </conditionalFormatting>
  <conditionalFormatting sqref="F6">
    <cfRule type="cellIs" dxfId="183" priority="75" operator="greaterThan">
      <formula>0</formula>
    </cfRule>
    <cfRule type="cellIs" dxfId="182" priority="77" operator="lessThan">
      <formula>0</formula>
    </cfRule>
  </conditionalFormatting>
  <conditionalFormatting sqref="F7">
    <cfRule type="cellIs" dxfId="181" priority="76" operator="lessThan">
      <formula>0</formula>
    </cfRule>
  </conditionalFormatting>
  <conditionalFormatting sqref="G6">
    <cfRule type="cellIs" dxfId="180" priority="72" operator="greaterThan">
      <formula>0</formula>
    </cfRule>
    <cfRule type="cellIs" dxfId="179" priority="73" operator="greaterThan">
      <formula>0</formula>
    </cfRule>
    <cfRule type="cellIs" dxfId="178" priority="74" operator="lessThan">
      <formula>0</formula>
    </cfRule>
  </conditionalFormatting>
  <conditionalFormatting sqref="G7">
    <cfRule type="cellIs" dxfId="177" priority="69" operator="greaterThan">
      <formula>0</formula>
    </cfRule>
    <cfRule type="cellIs" dxfId="176" priority="70" operator="greaterThan">
      <formula>0</formula>
    </cfRule>
    <cfRule type="cellIs" dxfId="175" priority="71" operator="lessThan">
      <formula>0</formula>
    </cfRule>
  </conditionalFormatting>
  <conditionalFormatting sqref="G8">
    <cfRule type="cellIs" dxfId="174" priority="66" operator="greaterThan">
      <formula>0</formula>
    </cfRule>
    <cfRule type="cellIs" dxfId="173" priority="67" operator="greaterThan">
      <formula>0</formula>
    </cfRule>
    <cfRule type="cellIs" dxfId="172" priority="68" operator="lessThan">
      <formula>0</formula>
    </cfRule>
  </conditionalFormatting>
  <conditionalFormatting sqref="F8">
    <cfRule type="cellIs" dxfId="171" priority="63" operator="greaterThan">
      <formula>0</formula>
    </cfRule>
    <cfRule type="cellIs" dxfId="170" priority="64" operator="greaterThan">
      <formula>0</formula>
    </cfRule>
    <cfRule type="cellIs" dxfId="169" priority="65" operator="lessThan">
      <formula>0</formula>
    </cfRule>
  </conditionalFormatting>
  <conditionalFormatting sqref="N6">
    <cfRule type="cellIs" dxfId="168" priority="15" operator="greaterThan">
      <formula>0</formula>
    </cfRule>
    <cfRule type="cellIs" dxfId="167" priority="17" operator="lessThan">
      <formula>0</formula>
    </cfRule>
  </conditionalFormatting>
  <conditionalFormatting sqref="N7">
    <cfRule type="cellIs" dxfId="166" priority="16" operator="lessThan">
      <formula>0</formula>
    </cfRule>
  </conditionalFormatting>
  <conditionalFormatting sqref="O6">
    <cfRule type="cellIs" dxfId="165" priority="12" operator="greaterThan">
      <formula>0</formula>
    </cfRule>
    <cfRule type="cellIs" dxfId="164" priority="13" operator="greaterThan">
      <formula>0</formula>
    </cfRule>
    <cfRule type="cellIs" dxfId="163" priority="14" operator="lessThan">
      <formula>0</formula>
    </cfRule>
  </conditionalFormatting>
  <conditionalFormatting sqref="O7">
    <cfRule type="cellIs" dxfId="162" priority="9" operator="greaterThan">
      <formula>0</formula>
    </cfRule>
    <cfRule type="cellIs" dxfId="161" priority="10" operator="greaterThan">
      <formula>0</formula>
    </cfRule>
    <cfRule type="cellIs" dxfId="160" priority="11" operator="lessThan">
      <formula>0</formula>
    </cfRule>
  </conditionalFormatting>
  <conditionalFormatting sqref="O8">
    <cfRule type="cellIs" dxfId="159" priority="6" operator="greaterThan">
      <formula>0</formula>
    </cfRule>
    <cfRule type="cellIs" dxfId="158" priority="7" operator="greaterThan">
      <formula>0</formula>
    </cfRule>
    <cfRule type="cellIs" dxfId="157" priority="8" operator="lessThan">
      <formula>0</formula>
    </cfRule>
  </conditionalFormatting>
  <conditionalFormatting sqref="N8">
    <cfRule type="cellIs" dxfId="156" priority="3" operator="greaterThan">
      <formula>0</formula>
    </cfRule>
    <cfRule type="cellIs" dxfId="155" priority="4" operator="greaterThan">
      <formula>0</formula>
    </cfRule>
    <cfRule type="cellIs" dxfId="154" priority="5" operator="lessThan">
      <formula>0</formula>
    </cfRule>
  </conditionalFormatting>
  <pageMargins left="1" right="1" top="1" bottom="1" header="0.5" footer="0.5"/>
  <pageSetup scale="64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8" id="{62DE090B-1E1A-45B5-B3E8-813BC4BB8BAA}">
            <x14:iconSet iconSet="3Triangles" custom="1">
              <x14:cfvo type="percent">
                <xm:f>0</xm:f>
              </x14:cfvo>
              <x14:cfvo type="num">
                <xm:f>RANK!$M$2</xm:f>
              </x14:cfvo>
              <x14:cfvo type="num" gte="0">
                <xm:f>RANK!$M$2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H6</xm:sqref>
        </x14:conditionalFormatting>
        <x14:conditionalFormatting xmlns:xm="http://schemas.microsoft.com/office/excel/2006/main">
          <x14:cfRule type="iconSet" priority="110" id="{E3EF4A9F-9292-4DED-A792-D0A6ECA11A44}">
            <x14:iconSet custom="1">
              <x14:cfvo type="percent">
                <xm:f>0</xm:f>
              </x14:cfvo>
              <x14:cfvo type="num">
                <xm:f>$E$6</xm:f>
              </x14:cfvo>
              <x14:cfvo type="num">
                <xm:f>$E$6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C6</xm:sqref>
        </x14:conditionalFormatting>
        <x14:conditionalFormatting xmlns:xm="http://schemas.microsoft.com/office/excel/2006/main">
          <x14:cfRule type="iconSet" priority="106" id="{6058AEB0-97DB-46BC-AC3C-1540FCA7E531}">
            <x14:iconSet iconSet="3Triangles" custom="1">
              <x14:cfvo type="percent">
                <xm:f>0</xm:f>
              </x14:cfvo>
              <x14:cfvo type="num">
                <xm:f>RANK!$M$3</xm:f>
              </x14:cfvo>
              <x14:cfvo type="num" gte="0">
                <xm:f>RANK!$M$3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H7</xm:sqref>
        </x14:conditionalFormatting>
        <x14:conditionalFormatting xmlns:xm="http://schemas.microsoft.com/office/excel/2006/main">
          <x14:cfRule type="iconSet" priority="105" id="{9D1DF864-F97F-43BF-99C2-889CC964C8D8}">
            <x14:iconSet iconSet="3Triangles" custom="1">
              <x14:cfvo type="percent">
                <xm:f>0</xm:f>
              </x14:cfvo>
              <x14:cfvo type="num">
                <xm:f>RANK!$M$4</xm:f>
              </x14:cfvo>
              <x14:cfvo type="num" gte="0">
                <xm:f>RANK!$M$4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H8</xm:sqref>
        </x14:conditionalFormatting>
        <x14:conditionalFormatting xmlns:xm="http://schemas.microsoft.com/office/excel/2006/main">
          <x14:cfRule type="iconSet" priority="29" id="{387C22BA-F32C-47FB-A0F0-993E9FC15F75}">
            <x14:iconSet>
              <x14:cfvo type="percent">
                <xm:f>0</xm:f>
              </x14:cfvo>
              <x14:cfvo type="num">
                <xm:f>PAGE_1_old!$E$8</xm:f>
              </x14:cfvo>
              <x14:cfvo type="num">
                <xm:f>PAGE_1_old!$E$8</xm:f>
              </x14:cfvo>
            </x14:iconSet>
          </x14:cfRule>
          <xm:sqref>L8</xm:sqref>
        </x14:conditionalFormatting>
        <x14:conditionalFormatting xmlns:xm="http://schemas.microsoft.com/office/excel/2006/main">
          <x14:cfRule type="iconSet" priority="31" id="{A10212D1-5F70-4914-9779-C5950B2BD062}">
            <x14:iconSet>
              <x14:cfvo type="percent">
                <xm:f>0</xm:f>
              </x14:cfvo>
              <x14:cfvo type="num">
                <xm:f>PAGE_1_old!$E$6</xm:f>
              </x14:cfvo>
              <x14:cfvo type="num">
                <xm:f>PAGE_1_old!$E$6</xm:f>
              </x14:cfvo>
            </x14:iconSet>
          </x14:cfRule>
          <xm:sqref>L6</xm:sqref>
        </x14:conditionalFormatting>
        <x14:conditionalFormatting xmlns:xm="http://schemas.microsoft.com/office/excel/2006/main">
          <x14:cfRule type="iconSet" priority="26" id="{7A4C9F66-EB29-41F2-9F52-749AD46351A9}">
            <x14:iconSet>
              <x14:cfvo type="percent">
                <xm:f>0</xm:f>
              </x14:cfvo>
              <x14:cfvo type="num">
                <xm:f>PAGE_1_old!$E$7</xm:f>
              </x14:cfvo>
              <x14:cfvo type="num">
                <xm:f>PAGE_1_old!$E$7</xm:f>
              </x14:cfvo>
            </x14:iconSet>
          </x14:cfRule>
          <xm:sqref>K7:P13</xm:sqref>
        </x14:conditionalFormatting>
        <x14:conditionalFormatting xmlns:xm="http://schemas.microsoft.com/office/excel/2006/main">
          <x14:cfRule type="iconSet" priority="25" id="{EF6AD0E0-B731-470E-9012-13F4779AC986}">
            <x14:iconSet>
              <x14:cfvo type="percent">
                <xm:f>0</xm:f>
              </x14:cfvo>
              <x14:cfvo type="num">
                <xm:f>PAGE_1_old!$E$8</xm:f>
              </x14:cfvo>
              <x14:cfvo type="num">
                <xm:f>PAGE_1_old!$E$8</xm:f>
              </x14:cfvo>
            </x14:iconSet>
          </x14:cfRule>
          <xm:sqref>K8</xm:sqref>
        </x14:conditionalFormatting>
        <x14:conditionalFormatting xmlns:xm="http://schemas.microsoft.com/office/excel/2006/main">
          <x14:cfRule type="iconSet" priority="24" id="{AD2F2E23-9322-4090-9C42-E1F54561421E}">
            <x14:iconSet>
              <x14:cfvo type="percent">
                <xm:f>0</xm:f>
              </x14:cfvo>
              <x14:cfvo type="num">
                <xm:f>PAGE_1_old!$E$9</xm:f>
              </x14:cfvo>
              <x14:cfvo type="num">
                <xm:f>PAGE_1_old!$E$9</xm:f>
              </x14:cfvo>
            </x14:iconSet>
          </x14:cfRule>
          <xm:sqref>K9</xm:sqref>
        </x14:conditionalFormatting>
        <x14:conditionalFormatting xmlns:xm="http://schemas.microsoft.com/office/excel/2006/main">
          <x14:cfRule type="iconSet" priority="23" id="{AF569D62-138D-48D4-8342-F70967D81420}">
            <x14:iconSet>
              <x14:cfvo type="percent">
                <xm:f>0</xm:f>
              </x14:cfvo>
              <x14:cfvo type="num">
                <xm:f>PAGE_1_old!$E$10</xm:f>
              </x14:cfvo>
              <x14:cfvo type="num">
                <xm:f>PAGE_1_old!$E$10</xm:f>
              </x14:cfvo>
            </x14:iconSet>
          </x14:cfRule>
          <xm:sqref>K10</xm:sqref>
        </x14:conditionalFormatting>
        <x14:conditionalFormatting xmlns:xm="http://schemas.microsoft.com/office/excel/2006/main">
          <x14:cfRule type="iconSet" priority="22" id="{F514C4A9-7B13-41FD-8764-A6523CE2659E}">
            <x14:iconSet>
              <x14:cfvo type="percent">
                <xm:f>0</xm:f>
              </x14:cfvo>
              <x14:cfvo type="num">
                <xm:f>PAGE_1_old!$E$11</xm:f>
              </x14:cfvo>
              <x14:cfvo type="num">
                <xm:f>PAGE_1_old!$E$11</xm:f>
              </x14:cfvo>
            </x14:iconSet>
          </x14:cfRule>
          <xm:sqref>K11</xm:sqref>
        </x14:conditionalFormatting>
        <x14:conditionalFormatting xmlns:xm="http://schemas.microsoft.com/office/excel/2006/main">
          <x14:cfRule type="iconSet" priority="21" id="{C512392F-E352-499B-AAD7-24DD453E0E1E}">
            <x14:iconSet>
              <x14:cfvo type="percent">
                <xm:f>0</xm:f>
              </x14:cfvo>
              <x14:cfvo type="num">
                <xm:f>PAGE_1_old!$E$7</xm:f>
              </x14:cfvo>
              <x14:cfvo type="num">
                <xm:f>PAGE_1_old!$E$7</xm:f>
              </x14:cfvo>
            </x14:iconSet>
          </x14:cfRule>
          <xm:sqref>L7</xm:sqref>
        </x14:conditionalFormatting>
        <x14:conditionalFormatting xmlns:xm="http://schemas.microsoft.com/office/excel/2006/main">
          <x14:cfRule type="iconSet" priority="20" id="{BD6A69AB-2466-4CB4-AF7C-5F20D404801E}">
            <x14:iconSet>
              <x14:cfvo type="percent">
                <xm:f>0</xm:f>
              </x14:cfvo>
              <x14:cfvo type="num">
                <xm:f>PAGE_1_old!$E$9</xm:f>
              </x14:cfvo>
              <x14:cfvo type="num">
                <xm:f>PAGE_1_old!$E$9</xm:f>
              </x14:cfvo>
            </x14:iconSet>
          </x14:cfRule>
          <xm:sqref>L9</xm:sqref>
        </x14:conditionalFormatting>
        <x14:conditionalFormatting xmlns:xm="http://schemas.microsoft.com/office/excel/2006/main">
          <x14:cfRule type="iconSet" priority="19" id="{CDDD95E6-E761-4433-B8A9-E71A88CFDC68}">
            <x14:iconSet>
              <x14:cfvo type="percent">
                <xm:f>0</xm:f>
              </x14:cfvo>
              <x14:cfvo type="num">
                <xm:f>PAGE_1_old!$E$10</xm:f>
              </x14:cfvo>
              <x14:cfvo type="num">
                <xm:f>PAGE_1_old!$E$10</xm:f>
              </x14:cfvo>
            </x14:iconSet>
          </x14:cfRule>
          <xm:sqref>L10</xm:sqref>
        </x14:conditionalFormatting>
        <x14:conditionalFormatting xmlns:xm="http://schemas.microsoft.com/office/excel/2006/main">
          <x14:cfRule type="iconSet" priority="18" id="{B3DC4382-2FBE-4BF8-8797-E17123A25026}">
            <x14:iconSet>
              <x14:cfvo type="percent">
                <xm:f>0</xm:f>
              </x14:cfvo>
              <x14:cfvo type="num">
                <xm:f>PAGE_1_old!$E$11</xm:f>
              </x14:cfvo>
              <x14:cfvo type="num">
                <xm:f>PAGE_1_old!$E$11</xm:f>
              </x14:cfvo>
            </x14:iconSet>
          </x14:cfRule>
          <xm:sqref>L11</xm:sqref>
        </x14:conditionalFormatting>
        <x14:conditionalFormatting xmlns:xm="http://schemas.microsoft.com/office/excel/2006/main">
          <x14:cfRule type="iconSet" priority="30" id="{5A91E7FE-F133-4998-ABF6-829DADA83149}">
            <x14:iconSet iconSet="3Triangles" custom="1">
              <x14:cfvo type="percent">
                <xm:f>0</xm:f>
              </x14:cfvo>
              <x14:cfvo type="num">
                <xm:f>RANK!$M$2</xm:f>
              </x14:cfvo>
              <x14:cfvo type="num" gte="0">
                <xm:f>RANK!$M$2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P6</xm:sqref>
        </x14:conditionalFormatting>
        <x14:conditionalFormatting xmlns:xm="http://schemas.microsoft.com/office/excel/2006/main">
          <x14:cfRule type="iconSet" priority="32" id="{F0721EF5-2130-4754-8DF3-5151B7C153F7}">
            <x14:iconSet custom="1">
              <x14:cfvo type="percent">
                <xm:f>0</xm:f>
              </x14:cfvo>
              <x14:cfvo type="num">
                <xm:f>PAGE_1_old!$E$6</xm:f>
              </x14:cfvo>
              <x14:cfvo type="num">
                <xm:f>PAGE_1_old!$E$6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K6</xm:sqref>
        </x14:conditionalFormatting>
        <x14:conditionalFormatting xmlns:xm="http://schemas.microsoft.com/office/excel/2006/main">
          <x14:cfRule type="iconSet" priority="28" id="{1BCF002E-EF73-4A95-8A60-E375C7B9B386}">
            <x14:iconSet iconSet="3Triangles" custom="1">
              <x14:cfvo type="percent">
                <xm:f>0</xm:f>
              </x14:cfvo>
              <x14:cfvo type="num">
                <xm:f>RANK!$M$3</xm:f>
              </x14:cfvo>
              <x14:cfvo type="num" gte="0">
                <xm:f>RANK!$M$3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P7</xm:sqref>
        </x14:conditionalFormatting>
        <x14:conditionalFormatting xmlns:xm="http://schemas.microsoft.com/office/excel/2006/main">
          <x14:cfRule type="iconSet" priority="27" id="{2E1D1634-4C4F-44AC-AD39-D02137D825D9}">
            <x14:iconSet iconSet="3Triangles" custom="1">
              <x14:cfvo type="percent">
                <xm:f>0</xm:f>
              </x14:cfvo>
              <x14:cfvo type="num">
                <xm:f>RANK!$M$4</xm:f>
              </x14:cfvo>
              <x14:cfvo type="num" gte="0">
                <xm:f>RANK!$M$4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P8</xm:sqref>
        </x14:conditionalFormatting>
        <x14:conditionalFormatting xmlns:xm="http://schemas.microsoft.com/office/excel/2006/main">
          <x14:cfRule type="iconSet" priority="1" id="{C223CD91-C082-43A1-908B-79AB878718A0}">
            <x14:iconSet>
              <x14:cfvo type="percent">
                <xm:f>0</xm:f>
              </x14:cfvo>
              <x14:cfvo type="num">
                <xm:f>PAGE_1_old!$E$7</xm:f>
              </x14:cfvo>
              <x14:cfvo type="num">
                <xm:f>PAGE_1_old!$E$7</xm:f>
              </x14:cfvo>
            </x14:iconSet>
          </x14:cfRule>
          <xm:sqref>Q6:S13</xm:sqref>
        </x14:conditionalFormatting>
        <x14:conditionalFormatting xmlns:xm="http://schemas.microsoft.com/office/excel/2006/main">
          <x14:cfRule type="iconSet" priority="2" id="{48C44D79-20F7-460A-82EC-50E7478784FF}">
            <x14:iconSet iconSet="3Triangles" custom="1">
              <x14:cfvo type="percent">
                <xm:f>0</xm:f>
              </x14:cfvo>
              <x14:cfvo type="num">
                <xm:f>RANK!$M$4</xm:f>
              </x14:cfvo>
              <x14:cfvo type="num" gte="0">
                <xm:f>RANK!$M$4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Q6:S13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9">
    <tabColor theme="9" tint="-0.249977111117893"/>
    <pageSetUpPr fitToPage="1"/>
  </sheetPr>
  <dimension ref="B1:X52"/>
  <sheetViews>
    <sheetView showGridLines="0" topLeftCell="A9" zoomScaleNormal="100" workbookViewId="0">
      <selection activeCell="E25" sqref="E25"/>
    </sheetView>
  </sheetViews>
  <sheetFormatPr defaultColWidth="8.7265625" defaultRowHeight="12" x14ac:dyDescent="0.3"/>
  <cols>
    <col min="1" max="1" width="6" style="1" customWidth="1"/>
    <col min="2" max="2" width="21.26953125" style="1" customWidth="1"/>
    <col min="3" max="3" width="10.81640625" style="1" bestFit="1" customWidth="1"/>
    <col min="4" max="4" width="11" style="1" customWidth="1"/>
    <col min="5" max="5" width="10.26953125" style="1" customWidth="1"/>
    <col min="6" max="6" width="11" style="1" customWidth="1"/>
    <col min="7" max="7" width="11.81640625" style="1" bestFit="1" customWidth="1"/>
    <col min="8" max="8" width="10.54296875" style="1" customWidth="1"/>
    <col min="9" max="9" width="10.7265625" style="1" customWidth="1"/>
    <col min="10" max="10" width="11.1796875" style="1" customWidth="1"/>
    <col min="11" max="11" width="11.7265625" style="1" customWidth="1"/>
    <col min="12" max="12" width="9" style="1" customWidth="1"/>
    <col min="13" max="13" width="10.81640625" style="1" customWidth="1"/>
    <col min="14" max="14" width="16.1796875" style="1" customWidth="1"/>
    <col min="15" max="15" width="7.54296875" style="1" customWidth="1"/>
    <col min="16" max="16" width="11.7265625" style="1" customWidth="1"/>
    <col min="17" max="17" width="6.7265625" style="1" customWidth="1"/>
    <col min="18" max="16384" width="8.7265625" style="1"/>
  </cols>
  <sheetData>
    <row r="1" spans="2:24" ht="21" customHeight="1" thickBot="1" x14ac:dyDescent="0.35"/>
    <row r="2" spans="2:24" ht="28.9" customHeight="1" x14ac:dyDescent="0.3">
      <c r="B2" s="291" t="s">
        <v>39</v>
      </c>
      <c r="C2" s="292"/>
      <c r="D2" s="293">
        <f ca="1">TODAY()-1</f>
        <v>45644</v>
      </c>
      <c r="E2" s="294"/>
    </row>
    <row r="3" spans="2:24" customFormat="1" ht="15" thickBot="1" x14ac:dyDescent="0.4">
      <c r="F3" s="1"/>
      <c r="J3" s="85"/>
      <c r="K3" s="85"/>
      <c r="L3" s="85"/>
      <c r="M3" s="84"/>
    </row>
    <row r="4" spans="2:24" ht="18" customHeight="1" thickBot="1" x14ac:dyDescent="0.4">
      <c r="B4" s="297" t="s">
        <v>100</v>
      </c>
      <c r="C4" s="298"/>
      <c r="D4" s="298"/>
      <c r="E4" s="298"/>
      <c r="F4" s="298"/>
      <c r="G4" s="298"/>
      <c r="H4" s="298"/>
      <c r="I4"/>
    </row>
    <row r="5" spans="2:24" ht="19.899999999999999" customHeight="1" thickBot="1" x14ac:dyDescent="0.4">
      <c r="B5" s="64" t="s">
        <v>33</v>
      </c>
      <c r="C5" s="49">
        <f ca="1">TODAY()-1</f>
        <v>45644</v>
      </c>
      <c r="D5" s="45" t="s">
        <v>37</v>
      </c>
      <c r="E5" s="45" t="s">
        <v>30</v>
      </c>
      <c r="F5" s="45" t="s">
        <v>77</v>
      </c>
      <c r="G5" s="45" t="s">
        <v>78</v>
      </c>
      <c r="H5" s="46" t="s">
        <v>38</v>
      </c>
      <c r="I5"/>
    </row>
    <row r="6" spans="2:24" ht="19.149999999999999" customHeight="1" x14ac:dyDescent="0.35">
      <c r="B6" s="62" t="s">
        <v>1</v>
      </c>
      <c r="C6" s="77">
        <f>UA_SQL_1!N2/UA_SQL_1!M2</f>
        <v>852.5</v>
      </c>
      <c r="D6" s="77">
        <f>UA_SQL_1!F2/UA_SQL_1!E2</f>
        <v>4.0492957746478871E-3</v>
      </c>
      <c r="E6" s="29">
        <f>SUMIF(EX_Goals!$B:$B,'PAGE_1 (4)'!#REF!,EX_Goals!$E:$E)</f>
        <v>0</v>
      </c>
      <c r="F6" s="83">
        <f>((UA_SQL_1!$N$2/UA_SQL_1!$M$2)-(SUMIF(OA_SQL_1!$A$1:$A$3,"DL",OA_SQL_1!$K$1:$K$3)/SUMIF(OA_SQL_1!$A$1:$A$3,"DL",OA_SQL_1!$I$1:$I$3)))*100</f>
        <v>85218.585966791652</v>
      </c>
      <c r="G6" s="83">
        <f>((UA_SQL_1!$N$2/UA_SQL_1!$M$2)-(SUMIF(OA_SQL_1!$A$1:$A$3,"AA",OA_SQL_1!$K$1:$K$3)/SUMIF(OA_SQL_1!$A$1:$A$3,"AA",OA_SQL_1!$I$1:$I$3)))*100</f>
        <v>85221.572787125086</v>
      </c>
      <c r="H6" s="52">
        <f>RANK!F2</f>
        <v>3</v>
      </c>
      <c r="I6"/>
    </row>
    <row r="7" spans="2:24" ht="19.899999999999999" customHeight="1" x14ac:dyDescent="0.35">
      <c r="B7" s="62" t="s">
        <v>32</v>
      </c>
      <c r="C7" s="77">
        <f>UA_SQL_1!Q2/UA_SQL_1!M2</f>
        <v>665.5</v>
      </c>
      <c r="D7" s="77">
        <f>UA_SQL_1!I2/UA_SQL_1!E2</f>
        <v>0.64154929577464792</v>
      </c>
      <c r="E7" s="29">
        <f>SUMIF(EX_Goals!$B:$B,'PAGE_1 (4)'!#REF!,EX_Goals!$D:$D)</f>
        <v>0</v>
      </c>
      <c r="F7" s="83">
        <f>((UA_SQL_1!$Q$2/UA_SQL_1!$M$2)-(SUMIF(OA_SQL_1!$A$1:$A$3,"DL",OA_SQL_1!$L$1:$L$3)/SUMIF(OA_SQL_1!$A$1:$A$3,"DL",OA_SQL_1!$I$1:$I$3)))*100</f>
        <v>66504.525977504018</v>
      </c>
      <c r="G7" s="83">
        <f>((UA_SQL_1!$Q$2/UA_SQL_1!$M$2)-(SUMIF(OA_SQL_1!$A$1:$A$3,"AA",OA_SQL_1!$L$1:$L$3)/SUMIF(OA_SQL_1!$A$1:$A$3,"AA",OA_SQL_1!$I$1:$I$3)))*100</f>
        <v>66511.170446232631</v>
      </c>
      <c r="H7" s="52">
        <f>RANK!F3</f>
        <v>1</v>
      </c>
      <c r="I7"/>
    </row>
    <row r="8" spans="2:24" ht="19.149999999999999" customHeight="1" x14ac:dyDescent="0.35">
      <c r="B8" s="63" t="s">
        <v>48</v>
      </c>
      <c r="C8" s="77">
        <f>UA_SQL_1!P2/UA_SQL_1!M2</f>
        <v>648.5</v>
      </c>
      <c r="D8" s="78">
        <f>UA_SQL_1!H2/UA_SQL_1!E2</f>
        <v>0.71795774647887323</v>
      </c>
      <c r="E8" s="29">
        <f>SUMIF(EX_Goals!$B:$B,'PAGE_1 (4)'!#REF!,EX_Goals!$C:$C)</f>
        <v>0</v>
      </c>
      <c r="F8" s="83">
        <f>((UA_SQL_1!$P$2/UA_SQL_1!$M$2)-(SUMIF(OA_SQL_1!$A$1:$A$3,"DL",OA_SQL_1!$J$1:$J$3)/SUMIF(OA_SQL_1!$A$1:$A$3,"DL",OA_SQL_1!$I$1:$I$3)))*100</f>
        <v>64804.124263524376</v>
      </c>
      <c r="G8" s="83">
        <f>((UA_SQL_1!$P$2/UA_SQL_1!$M$2)-(SUMIF(OA_SQL_1!$A$1:$A$3,"AA",OA_SQL_1!$J$1:$J$3)/SUMIF(OA_SQL_1!$A$1:$A$3,"AA",OA_SQL_1!$I$1:$I$3)))*100</f>
        <v>64811.155815654718</v>
      </c>
      <c r="H8" s="52">
        <f>RANK!F4</f>
        <v>1</v>
      </c>
      <c r="I8"/>
    </row>
    <row r="9" spans="2:24" ht="19.899999999999999" customHeight="1" x14ac:dyDescent="0.3">
      <c r="B9" s="63" t="s">
        <v>0</v>
      </c>
      <c r="C9" s="77">
        <f>UA_SQL_1!O2/UA_SQL_1!M2</f>
        <v>5.5</v>
      </c>
      <c r="D9" s="78">
        <f>UA_SQL_1!G2/UA_SQL_1!E2</f>
        <v>0.69436619718309855</v>
      </c>
      <c r="E9" s="29">
        <f>SUMIF(EX_Goals!$B:$B,'PAGE_1 (4)'!#REF!,EX_Goals!$C:$C)</f>
        <v>0</v>
      </c>
      <c r="F9" s="75"/>
      <c r="G9" s="75"/>
      <c r="H9" s="75"/>
    </row>
    <row r="10" spans="2:24" ht="20.5" customHeight="1" x14ac:dyDescent="0.35">
      <c r="B10" s="62" t="s">
        <v>31</v>
      </c>
      <c r="C10" s="77">
        <f>UA_SQL_1!S2/UA_SQL_1!R2</f>
        <v>1.1911402789171452</v>
      </c>
      <c r="D10" s="77">
        <f>UA_SQL_1!K2/UA_SQL_1!J2</f>
        <v>0.19176262178919398</v>
      </c>
      <c r="E10" s="29">
        <f>SUMIF(EX_Goals!$B:$B,'PAGE_1 (4)'!#REF!,EX_Goals!$F:$F)</f>
        <v>0</v>
      </c>
      <c r="F10" s="76"/>
      <c r="G10" s="76"/>
      <c r="H10" s="76"/>
    </row>
    <row r="11" spans="2:24" ht="19.899999999999999" customHeight="1" x14ac:dyDescent="0.3">
      <c r="B11" s="62" t="s">
        <v>2</v>
      </c>
      <c r="C11" s="79">
        <f>(UA_SQL_1!M2-UA_SQL_1!T2)/UA_SQL_1!M2</f>
        <v>-135.5</v>
      </c>
      <c r="D11" s="79">
        <f>(UA_SQL_1!E2-UA_SQL_1!L2)/UA_SQL_1!E2</f>
        <v>0.87552816901408448</v>
      </c>
      <c r="E11" s="65">
        <f>SUMIF(EX_Goals!$B:$B,'PAGE_1 (4)'!#REF!,EX_Goals!$G:$G)</f>
        <v>0</v>
      </c>
      <c r="F11" s="75"/>
      <c r="G11" s="75"/>
      <c r="H11" s="75"/>
    </row>
    <row r="12" spans="2:24" ht="19.899999999999999" customHeight="1" x14ac:dyDescent="0.3">
      <c r="B12" s="62" t="s">
        <v>87</v>
      </c>
      <c r="C12" s="87">
        <f>SUMIFS(TOTAL_DIVERTS_SQL_5!$B:$B,TOTAL_DIVERTS_SQL_5!A:A,"YEST")</f>
        <v>3</v>
      </c>
      <c r="D12" s="87">
        <f>SUMIFS(TOTAL_DIVERTS_SQL_5!$B:$B,TOTAL_DIVERTS_SQL_5!A:A,"MTD")</f>
        <v>9</v>
      </c>
      <c r="E12" s="86"/>
      <c r="F12" s="75"/>
      <c r="G12" s="75"/>
      <c r="H12" s="75"/>
    </row>
    <row r="13" spans="2:24" ht="19.899999999999999" customHeight="1" x14ac:dyDescent="0.3">
      <c r="B13" s="62" t="s">
        <v>88</v>
      </c>
      <c r="C13" s="87">
        <f>SUMIF(DIVERTS_RECOVERED_SQL_6!$A:$A,"YEST",DIVERTS_RECOVERED_SQL_6!$C:$C)</f>
        <v>1</v>
      </c>
      <c r="D13" s="87">
        <f>SUMIF(DIVERTS_RECOVERED_SQL_6!$A:$A,"MTD",DIVERTS_RECOVERED_SQL_6!$C:$C)</f>
        <v>6</v>
      </c>
      <c r="E13" s="86"/>
      <c r="F13" s="75"/>
      <c r="G13" s="75"/>
      <c r="H13" s="75"/>
      <c r="J13" s="59"/>
      <c r="K13" s="59"/>
      <c r="L13" s="59"/>
      <c r="M13" s="59"/>
      <c r="N13" s="59"/>
      <c r="O13" s="57"/>
      <c r="P13" s="57"/>
    </row>
    <row r="14" spans="2:24" ht="14.5" x14ac:dyDescent="0.35">
      <c r="L14"/>
      <c r="M14"/>
      <c r="N14"/>
      <c r="O14" s="58"/>
      <c r="P14" s="58"/>
      <c r="Q14" s="59"/>
      <c r="R14" s="59"/>
      <c r="S14" s="59"/>
      <c r="T14" s="59"/>
      <c r="U14" s="59"/>
      <c r="V14" s="59"/>
      <c r="W14" s="57"/>
      <c r="X14" s="57"/>
    </row>
    <row r="15" spans="2:24" ht="15" thickBot="1" x14ac:dyDescent="0.4">
      <c r="L15"/>
      <c r="M15"/>
      <c r="N15"/>
      <c r="O15" s="58"/>
      <c r="P15" s="58"/>
      <c r="Q15" s="59"/>
      <c r="R15" s="59"/>
      <c r="S15" s="59"/>
      <c r="T15" s="59"/>
      <c r="U15" s="59"/>
      <c r="V15" s="59"/>
      <c r="W15" s="57"/>
      <c r="X15" s="57"/>
    </row>
    <row r="16" spans="2:24" ht="19.149999999999999" customHeight="1" thickBot="1" x14ac:dyDescent="0.4">
      <c r="B16" s="299" t="s">
        <v>101</v>
      </c>
      <c r="C16" s="300"/>
      <c r="D16" s="300"/>
      <c r="E16" s="300"/>
      <c r="F16" s="300"/>
      <c r="G16" s="300"/>
      <c r="H16" s="300"/>
      <c r="I16" s="300"/>
      <c r="J16" s="300"/>
      <c r="K16" s="300"/>
      <c r="L16"/>
      <c r="M16"/>
      <c r="N16"/>
      <c r="O16" s="58"/>
      <c r="P16" s="58"/>
      <c r="Q16" s="59"/>
      <c r="R16" s="59"/>
      <c r="S16" s="59"/>
      <c r="T16" s="59"/>
      <c r="U16" s="59"/>
      <c r="V16" s="59"/>
      <c r="W16" s="57"/>
      <c r="X16" s="57"/>
    </row>
    <row r="17" spans="2:24" ht="19.149999999999999" customHeight="1" thickBot="1" x14ac:dyDescent="0.4">
      <c r="B17" s="64" t="s">
        <v>110</v>
      </c>
      <c r="C17" s="49" t="s">
        <v>99</v>
      </c>
      <c r="D17" s="45" t="s">
        <v>98</v>
      </c>
      <c r="E17" s="45" t="s">
        <v>77</v>
      </c>
      <c r="F17" s="45" t="s">
        <v>78</v>
      </c>
      <c r="G17" s="46" t="s">
        <v>38</v>
      </c>
      <c r="H17" s="106" t="s">
        <v>1</v>
      </c>
      <c r="I17" s="45" t="s">
        <v>77</v>
      </c>
      <c r="J17" s="45" t="s">
        <v>78</v>
      </c>
      <c r="K17" s="46" t="s">
        <v>38</v>
      </c>
      <c r="L17"/>
      <c r="M17"/>
      <c r="N17"/>
      <c r="O17" s="59"/>
      <c r="P17" s="59"/>
      <c r="Q17" s="59"/>
      <c r="R17" s="59"/>
      <c r="S17" s="59"/>
      <c r="T17" s="59"/>
      <c r="U17" s="57"/>
      <c r="V17" s="57"/>
    </row>
    <row r="18" spans="2:24" ht="19.149999999999999" customHeight="1" x14ac:dyDescent="0.35">
      <c r="B18" s="62" t="s">
        <v>104</v>
      </c>
      <c r="C18" s="117">
        <f>SUMIFS(UA_HUB_SQL_7!J:J,UA_HUB_SQL_7!$B:$B,'PAGE_1 (4)'!B18)/SUMIFS(UA_HUB_SQL_7!$F:$F,UA_HUB_SQL_7!$B:$B,'PAGE_1 (4)'!B18)</f>
        <v>0.88</v>
      </c>
      <c r="D18" s="117">
        <f>SUMIFS(UA_HUB_SQL_7!K:K,UA_HUB_SQL_7!B:B,'PAGE_1 (4)'!B18)/SUMIFS(UA_HUB_SQL_7!F:F,UA_HUB_SQL_7!B:B,'PAGE_1 (4)'!B18)</f>
        <v>0.89142857142857146</v>
      </c>
      <c r="E18" s="303" t="s">
        <v>40</v>
      </c>
      <c r="F18" s="304"/>
      <c r="G18" s="116" t="s">
        <v>40</v>
      </c>
      <c r="H18" s="117">
        <f>SUMIFS(UA_HUB_SQL_7!G:G,UA_HUB_SQL_7!$B:$B,'PAGE_1 (4)'!B18)/SUMIFS(UA_HUB_SQL_7!$F:$F,UA_HUB_SQL_7!$B:$B,'PAGE_1 (4)'!B18)</f>
        <v>5.7142857142857143E-3</v>
      </c>
      <c r="I18" s="116" t="s">
        <v>40</v>
      </c>
      <c r="J18" s="116" t="s">
        <v>40</v>
      </c>
      <c r="K18" s="116" t="s">
        <v>40</v>
      </c>
      <c r="L18"/>
      <c r="M18"/>
      <c r="N18"/>
      <c r="O18" s="59"/>
      <c r="P18" s="59"/>
      <c r="Q18" s="59"/>
      <c r="R18" s="59"/>
      <c r="S18" s="59"/>
      <c r="T18" s="59"/>
      <c r="U18" s="57"/>
      <c r="V18" s="57"/>
    </row>
    <row r="19" spans="2:24" ht="19.149999999999999" customHeight="1" x14ac:dyDescent="0.35">
      <c r="B19" s="62" t="s">
        <v>106</v>
      </c>
      <c r="C19" s="117">
        <f>SUMIFS(UA_HUB_SQL_7!J:J,UA_HUB_SQL_7!$B:$B,'PAGE_1 (4)'!B19)/SUMIFS(UA_HUB_SQL_7!$F:$F,UA_HUB_SQL_7!$B:$B,'PAGE_1 (4)'!B19)</f>
        <v>0.7807017543859649</v>
      </c>
      <c r="D19" s="117">
        <f>SUMIFS(UA_HUB_SQL_7!K:K,UA_HUB_SQL_7!B:B,'PAGE_1 (4)'!B19)/SUMIFS(UA_HUB_SQL_7!F:F,UA_HUB_SQL_7!B:B,'PAGE_1 (4)'!B19)</f>
        <v>0.81578947368421051</v>
      </c>
      <c r="E19" s="305" t="s">
        <v>113</v>
      </c>
      <c r="F19" s="306"/>
      <c r="G19" s="52">
        <f>RANK!F9</f>
        <v>1</v>
      </c>
      <c r="H19" s="117">
        <f>SUMIFS(UA_HUB_SQL_7!G:G,UA_HUB_SQL_7!$B:$B,'PAGE_1 (4)'!B19)/SUMIFS(UA_HUB_SQL_7!$F:$F,UA_HUB_SQL_7!$B:$B,'PAGE_1 (4)'!B19)</f>
        <v>0</v>
      </c>
      <c r="I19" s="83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>-100</v>
      </c>
      <c r="J19" s="83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>-100</v>
      </c>
      <c r="K19" s="52">
        <f>RANK!F20</f>
        <v>1</v>
      </c>
      <c r="L19"/>
      <c r="M19"/>
      <c r="N19"/>
      <c r="O19" s="59"/>
      <c r="P19" s="59"/>
      <c r="Q19" s="59"/>
      <c r="R19" s="59"/>
      <c r="S19" s="59"/>
      <c r="T19" s="59"/>
      <c r="U19" s="57"/>
      <c r="V19" s="57"/>
    </row>
    <row r="20" spans="2:24" ht="19.149999999999999" customHeight="1" x14ac:dyDescent="0.35">
      <c r="B20" s="63" t="s">
        <v>109</v>
      </c>
      <c r="C20" s="117">
        <f>SUMIFS(UA_HUB_SQL_7!J:J,UA_HUB_SQL_7!$B:$B,'PAGE_1 (4)'!B20)/SUMIFS(UA_HUB_SQL_7!$F:$F,UA_HUB_SQL_7!$B:$B,'PAGE_1 (4)'!B20)</f>
        <v>0.73228346456692917</v>
      </c>
      <c r="D20" s="117">
        <f>SUMIFS(UA_HUB_SQL_7!K:K,UA_HUB_SQL_7!B:B,'PAGE_1 (4)'!B20)/SUMIFS(UA_HUB_SQL_7!F:F,UA_HUB_SQL_7!B:B,'PAGE_1 (4)'!B20)</f>
        <v>0.77952755905511806</v>
      </c>
      <c r="E20" s="305" t="s">
        <v>113</v>
      </c>
      <c r="F20" s="306"/>
      <c r="G20" s="52">
        <f>RANK!F10</f>
        <v>1</v>
      </c>
      <c r="H20" s="117">
        <f>SUMIFS(UA_HUB_SQL_7!G:G,UA_HUB_SQL_7!$B:$B,'PAGE_1 (4)'!B20)/SUMIFS(UA_HUB_SQL_7!$F:$F,UA_HUB_SQL_7!$B:$B,'PAGE_1 (4)'!B20)</f>
        <v>0</v>
      </c>
      <c r="I20" s="83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>-100</v>
      </c>
      <c r="J20" s="83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>-100</v>
      </c>
      <c r="K20" s="52">
        <f>RANK!F21</f>
        <v>1</v>
      </c>
      <c r="L20"/>
      <c r="M20"/>
      <c r="N20"/>
      <c r="O20" s="59"/>
      <c r="P20" s="59"/>
      <c r="Q20" s="59"/>
      <c r="R20" s="59"/>
      <c r="S20" s="59"/>
      <c r="T20" s="59"/>
      <c r="U20" s="57"/>
      <c r="V20" s="57"/>
    </row>
    <row r="21" spans="2:24" ht="19.149999999999999" customHeight="1" x14ac:dyDescent="0.35">
      <c r="B21" s="63" t="s">
        <v>108</v>
      </c>
      <c r="C21" s="117">
        <f>SUMIFS(UA_HUB_SQL_7!J:J,UA_HUB_SQL_7!$B:$B,'PAGE_1 (4)'!B21)/SUMIFS(UA_HUB_SQL_7!$F:$F,UA_HUB_SQL_7!$B:$B,'PAGE_1 (4)'!B21)</f>
        <v>0.74251497005988021</v>
      </c>
      <c r="D21" s="117">
        <f>SUMIFS(UA_HUB_SQL_7!K:K,UA_HUB_SQL_7!B:B,'PAGE_1 (4)'!B21)/SUMIFS(UA_HUB_SQL_7!F:F,UA_HUB_SQL_7!B:B,'PAGE_1 (4)'!B21)</f>
        <v>0.76047904191616766</v>
      </c>
      <c r="E21" s="305" t="s">
        <v>114</v>
      </c>
      <c r="F21" s="306"/>
      <c r="G21" s="52">
        <f>RANK!F11</f>
        <v>2</v>
      </c>
      <c r="H21" s="117">
        <f>SUMIFS(UA_HUB_SQL_7!G:G,UA_HUB_SQL_7!$B:$B,'PAGE_1 (4)'!B21)/SUMIFS(UA_HUB_SQL_7!$F:$F,UA_HUB_SQL_7!$B:$B,'PAGE_1 (4)'!B21)</f>
        <v>0</v>
      </c>
      <c r="I21" s="116" t="s">
        <v>40</v>
      </c>
      <c r="J21" s="83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>-100</v>
      </c>
      <c r="K21" s="52">
        <f>RANK!F22</f>
        <v>1</v>
      </c>
      <c r="L21"/>
      <c r="M21"/>
      <c r="N21"/>
      <c r="O21" s="59"/>
      <c r="P21" s="59"/>
      <c r="Q21" s="59"/>
      <c r="R21" s="59"/>
      <c r="S21" s="59"/>
      <c r="T21" s="59"/>
      <c r="U21" s="57"/>
      <c r="V21" s="57"/>
    </row>
    <row r="22" spans="2:24" ht="19.149999999999999" customHeight="1" x14ac:dyDescent="0.35">
      <c r="B22" s="62" t="s">
        <v>105</v>
      </c>
      <c r="C22" s="117">
        <f>SUMIFS(UA_HUB_SQL_7!J:J,UA_HUB_SQL_7!$B:$B,'PAGE_1 (4)'!B22)/SUMIFS(UA_HUB_SQL_7!$F:$F,UA_HUB_SQL_7!$B:$B,'PAGE_1 (4)'!B22)</f>
        <v>0.55172413793103448</v>
      </c>
      <c r="D22" s="117">
        <f>SUMIFS(UA_HUB_SQL_7!K:K,UA_HUB_SQL_7!B:B,'PAGE_1 (4)'!B22)/SUMIFS(UA_HUB_SQL_7!F:F,UA_HUB_SQL_7!B:B,'PAGE_1 (4)'!B22)</f>
        <v>0.58620689655172409</v>
      </c>
      <c r="E22" s="305" t="s">
        <v>113</v>
      </c>
      <c r="F22" s="306"/>
      <c r="G22" s="52">
        <f>RANK!F12</f>
        <v>3</v>
      </c>
      <c r="H22" s="117">
        <f>SUMIFS(UA_HUB_SQL_7!G:G,UA_HUB_SQL_7!$B:$B,'PAGE_1 (4)'!B22)/SUMIFS(UA_HUB_SQL_7!$F:$F,UA_HUB_SQL_7!$B:$B,'PAGE_1 (4)'!B22)</f>
        <v>3.4482758620689655E-2</v>
      </c>
      <c r="I22" s="83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>-93.521421107628015</v>
      </c>
      <c r="J22" s="83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>-96.551724137931032</v>
      </c>
      <c r="K22" s="52">
        <f>RANK!F23</f>
        <v>3</v>
      </c>
      <c r="L22"/>
      <c r="M22"/>
      <c r="N22"/>
      <c r="O22" s="59"/>
      <c r="P22" s="59"/>
      <c r="Q22" s="59"/>
      <c r="R22" s="59"/>
      <c r="S22" s="59"/>
      <c r="T22" s="59"/>
      <c r="U22" s="57"/>
      <c r="V22" s="57"/>
    </row>
    <row r="23" spans="2:24" ht="19.149999999999999" customHeight="1" x14ac:dyDescent="0.3">
      <c r="B23" s="63" t="s">
        <v>103</v>
      </c>
      <c r="C23" s="117">
        <f>SUMIFS(UA_HUB_SQL_7!J:J,UA_HUB_SQL_7!$B:$B,'PAGE_1 (4)'!B23)/SUMIFS(UA_HUB_SQL_7!$F:$F,UA_HUB_SQL_7!$B:$B,'PAGE_1 (4)'!B23)</f>
        <v>0.59615384615384615</v>
      </c>
      <c r="D23" s="117">
        <f>SUMIFS(UA_HUB_SQL_7!K:K,UA_HUB_SQL_7!B:B,'PAGE_1 (4)'!B23)/SUMIFS(UA_HUB_SQL_7!F:F,UA_HUB_SQL_7!B:B,'PAGE_1 (4)'!B23)</f>
        <v>0.67307692307692313</v>
      </c>
      <c r="E23" s="305" t="s">
        <v>114</v>
      </c>
      <c r="F23" s="306"/>
      <c r="G23" s="52">
        <f>RANK!F13</f>
        <v>2</v>
      </c>
      <c r="H23" s="117">
        <f>SUMIFS(UA_HUB_SQL_7!G:G,UA_HUB_SQL_7!$B:$B,'PAGE_1 (4)'!B23)/SUMIFS(UA_HUB_SQL_7!$F:$F,UA_HUB_SQL_7!$B:$B,'PAGE_1 (4)'!B23)</f>
        <v>0</v>
      </c>
      <c r="I23" s="116" t="s">
        <v>40</v>
      </c>
      <c r="J23" s="83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>-100</v>
      </c>
      <c r="K23" s="52">
        <f>RANK!F24</f>
        <v>1</v>
      </c>
      <c r="L23" s="58"/>
      <c r="M23" s="58"/>
      <c r="N23" s="58"/>
      <c r="O23" s="59"/>
      <c r="P23" s="59"/>
      <c r="Q23" s="59"/>
      <c r="R23" s="59"/>
      <c r="S23" s="59"/>
      <c r="T23" s="59"/>
      <c r="U23" s="57"/>
      <c r="V23" s="57"/>
    </row>
    <row r="24" spans="2:24" ht="19.149999999999999" customHeight="1" x14ac:dyDescent="0.3">
      <c r="B24" s="62" t="s">
        <v>107</v>
      </c>
      <c r="C24" s="117">
        <f>SUMIFS(UA_HUB_SQL_7!J:J,UA_HUB_SQL_7!$B:$B,'PAGE_1 (4)'!B24)/SUMIFS(UA_HUB_SQL_7!$F:$F,UA_HUB_SQL_7!$B:$B,'PAGE_1 (4)'!B24)</f>
        <v>0.61016949152542377</v>
      </c>
      <c r="D24" s="117">
        <f>SUMIFS(UA_HUB_SQL_7!K:K,UA_HUB_SQL_7!B:B,'PAGE_1 (4)'!B24)/SUMIFS(UA_HUB_SQL_7!F:F,UA_HUB_SQL_7!B:B,'PAGE_1 (4)'!B24)</f>
        <v>0.64406779661016944</v>
      </c>
      <c r="E24" s="305" t="s">
        <v>115</v>
      </c>
      <c r="F24" s="306"/>
      <c r="G24" s="116" t="s">
        <v>40</v>
      </c>
      <c r="H24" s="117">
        <f>SUMIFS(UA_HUB_SQL_7!G:G,UA_HUB_SQL_7!$B:$B,'PAGE_1 (4)'!B24)/SUMIFS(UA_HUB_SQL_7!$F:$F,UA_HUB_SQL_7!$B:$B,'PAGE_1 (4)'!B24)</f>
        <v>8.4745762711864403E-2</v>
      </c>
      <c r="I24" s="116" t="s">
        <v>40</v>
      </c>
      <c r="J24" s="116" t="s">
        <v>40</v>
      </c>
      <c r="K24" s="116" t="s">
        <v>40</v>
      </c>
      <c r="L24" s="58"/>
      <c r="M24" s="58"/>
      <c r="N24" s="58"/>
      <c r="O24" s="59"/>
      <c r="P24" s="59"/>
      <c r="Q24" s="59"/>
      <c r="R24" s="59"/>
      <c r="S24" s="59"/>
      <c r="T24" s="59"/>
      <c r="U24" s="57"/>
      <c r="V24" s="57"/>
    </row>
    <row r="25" spans="2:24" x14ac:dyDescent="0.3">
      <c r="N25" s="58"/>
      <c r="O25" s="58"/>
      <c r="P25" s="58"/>
      <c r="Q25" s="59"/>
      <c r="R25" s="59"/>
      <c r="S25" s="59"/>
      <c r="T25" s="59"/>
      <c r="U25" s="59"/>
      <c r="V25" s="59"/>
      <c r="W25" s="57"/>
      <c r="X25" s="57"/>
    </row>
    <row r="26" spans="2:24" ht="12.5" thickBot="1" x14ac:dyDescent="0.35">
      <c r="C26" s="2"/>
      <c r="Q26" s="59"/>
      <c r="R26" s="59"/>
      <c r="S26" s="59"/>
      <c r="T26" s="59"/>
      <c r="U26" s="59"/>
      <c r="V26" s="59"/>
      <c r="W26" s="57"/>
      <c r="X26" s="57"/>
    </row>
    <row r="27" spans="2:24" ht="16" thickBot="1" x14ac:dyDescent="0.35">
      <c r="B27" s="297" t="s">
        <v>27</v>
      </c>
      <c r="C27" s="298"/>
      <c r="D27" s="298"/>
      <c r="E27" s="298"/>
      <c r="F27" s="298"/>
      <c r="G27" s="298"/>
      <c r="H27" s="298"/>
      <c r="I27" s="298"/>
      <c r="J27" s="298"/>
      <c r="K27" s="298"/>
      <c r="L27" s="298"/>
      <c r="M27" s="298"/>
      <c r="N27" s="298"/>
      <c r="O27" s="298"/>
      <c r="P27" s="298"/>
      <c r="Q27" s="59"/>
      <c r="R27" s="60"/>
      <c r="S27" s="60"/>
      <c r="T27" s="60"/>
      <c r="U27" s="60"/>
      <c r="V27" s="59"/>
      <c r="W27" s="57"/>
      <c r="X27" s="57"/>
    </row>
    <row r="28" spans="2:24" ht="30.65" customHeight="1" thickBot="1" x14ac:dyDescent="0.35">
      <c r="B28" s="70" t="s">
        <v>3</v>
      </c>
      <c r="C28" s="71" t="s">
        <v>85</v>
      </c>
      <c r="D28" s="72" t="s">
        <v>79</v>
      </c>
      <c r="E28" s="72" t="s">
        <v>80</v>
      </c>
      <c r="F28" s="72" t="s">
        <v>81</v>
      </c>
      <c r="G28" s="72" t="s">
        <v>82</v>
      </c>
      <c r="H28" s="72" t="s">
        <v>83</v>
      </c>
      <c r="I28" s="72" t="s">
        <v>84</v>
      </c>
      <c r="J28" s="72" t="s">
        <v>15</v>
      </c>
      <c r="K28" s="72" t="s">
        <v>16</v>
      </c>
      <c r="L28" s="72" t="s">
        <v>66</v>
      </c>
      <c r="M28" s="73" t="s">
        <v>29</v>
      </c>
      <c r="N28" s="74" t="s">
        <v>47</v>
      </c>
      <c r="O28" s="74" t="s">
        <v>73</v>
      </c>
      <c r="P28" s="74" t="s">
        <v>46</v>
      </c>
      <c r="Q28" s="59"/>
      <c r="R28" s="60"/>
      <c r="S28" s="60"/>
      <c r="T28" s="60"/>
      <c r="U28" s="60"/>
      <c r="V28" s="59"/>
      <c r="W28" s="57"/>
      <c r="X28" s="57"/>
    </row>
    <row r="29" spans="2:24" ht="14.5" x14ac:dyDescent="0.35">
      <c r="B29" s="66" t="s">
        <v>18</v>
      </c>
      <c r="C29" s="80">
        <f>SUMIF(SCH_DEP_SQL_4!$A:$A,'PAGE_1 (4)'!R29,SCH_DEP_SQL_4!$E:$E)</f>
        <v>0</v>
      </c>
      <c r="D29" s="12" t="str">
        <f>IF(SUMIFS(CNXL_SQL_2!$F:$F,CNXL_SQL_2!$A:$A,'PAGE_1 (4)'!$R29,CNXL_SQL_2!$D:$D,'PAGE_1 (4)'!$S$29)=0,"",SUMIFS(CNXL_SQL_2!$F:$F,CNXL_SQL_2!$A:$A,'PAGE_1 (4)'!$R29,CNXL_SQL_2!$D:$D,'PAGE_1 (4)'!$S$29))</f>
        <v/>
      </c>
      <c r="E29" s="12" t="str">
        <f>IF(SUMIFS(CNXL_SQL_2!$F:$F,CNXL_SQL_2!$A:$A,'PAGE_1 (4)'!$R29,CNXL_SQL_2!$D:$D,'PAGE_1 (4)'!$S$30)=0,"",SUMIFS(CNXL_SQL_2!$F:$F,CNXL_SQL_2!$A:$A,'PAGE_1 (4)'!$R29,CNXL_SQL_2!$D:$D,'PAGE_1 (4)'!$S$30))</f>
        <v/>
      </c>
      <c r="F29" s="12" t="str">
        <f>IF(SUMIFS(CNXL_SQL_2!$F:$F,CNXL_SQL_2!$A:$A,'PAGE_1 (4)'!$R29,CNXL_SQL_2!$D:$D,'PAGE_1 (4)'!$S$31)=0,"",SUMIFS(CNXL_SQL_2!$F:$F,CNXL_SQL_2!$A:$A,'PAGE_1 (4)'!$R29,CNXL_SQL_2!$D:$D,'PAGE_1 (4)'!$S$31))</f>
        <v/>
      </c>
      <c r="G29" s="12" t="str">
        <f>IF(SUMIFS(CNXL_SQL_2!$F:$F,CNXL_SQL_2!$A:$A,'PAGE_1 (4)'!$R29,CNXL_SQL_2!$D:$D,'PAGE_1 (4)'!$S$32)=0,"",SUMIFS(CNXL_SQL_2!$F:$F,CNXL_SQL_2!$A:$A,'PAGE_1 (4)'!$R29,CNXL_SQL_2!$D:$D,'PAGE_1 (4)'!$S$32))</f>
        <v/>
      </c>
      <c r="H29" s="12" t="str">
        <f>IF(SUMIFS(CNXL_SQL_2!$F:$F,CNXL_SQL_2!$A:$A,'PAGE_1 (4)'!$R29,CNXL_SQL_2!$D:$D,'PAGE_1 (4)'!$S$33)=0,"",SUMIFS(CNXL_SQL_2!$F:$F,CNXL_SQL_2!$A:$A,'PAGE_1 (4)'!$R29,CNXL_SQL_2!$D:$D,'PAGE_1 (4)'!$S$33))</f>
        <v/>
      </c>
      <c r="I29" s="12" t="str">
        <f>IF(SUMIFS(CNXL_SQL_2!$F:$F,CNXL_SQL_2!$A:$A,'PAGE_1 (4)'!$R29,CNXL_SQL_2!$D:$D,'PAGE_1 (4)'!$S$34)=0,"",SUMIFS(CNXL_SQL_2!$F:$F,CNXL_SQL_2!$A:$A,'PAGE_1 (4)'!$R29,CNXL_SQL_2!$D:$D,'PAGE_1 (4)'!$S$34))</f>
        <v/>
      </c>
      <c r="J29" s="12" t="str">
        <f>IF(SUMIFS(CNXL_SQL_2!$F:$F,CNXL_SQL_2!$A:$A,'PAGE_1 (4)'!$R29,CNXL_SQL_2!$D:$D,'PAGE_1 (4)'!$S$35)=0,"",SUMIFS(CNXL_SQL_2!$F:$F,CNXL_SQL_2!$A:$A,'PAGE_1 (4)'!$R29,CNXL_SQL_2!$D:$D,'PAGE_1 (4)'!$S$35))</f>
        <v/>
      </c>
      <c r="K29" s="12" t="str">
        <f>IF(SUMIFS(CNXL_SQL_2!$F:$F,CNXL_SQL_2!$A:$A,'PAGE_1 (4)'!$R29,CNXL_SQL_2!$D:$D,'PAGE_1 (4)'!$S$36)=0,"",SUMIFS(CNXL_SQL_2!$F:$F,CNXL_SQL_2!$A:$A,'PAGE_1 (4)'!$R29,CNXL_SQL_2!$D:$D,'PAGE_1 (4)'!$S$36))</f>
        <v/>
      </c>
      <c r="L29" s="12" t="str">
        <f>IF(SUMIFS(CNXL_SQL_2!$F:$F,CNXL_SQL_2!$A:$A,'PAGE_1 (4)'!$R29,CNXL_SQL_2!$D:$D,'PAGE_1 (4)'!$S$37)=0,"",SUMIFS(CNXL_SQL_2!$F:$F,CNXL_SQL_2!$A:$A,'PAGE_1 (4)'!$R29,CNXL_SQL_2!$D:$D,'PAGE_1 (4)'!$S$37))</f>
        <v/>
      </c>
      <c r="M29" s="37" t="str">
        <f>IF(SUM(D29:L29)=0,"",SUM(D29:L29))</f>
        <v/>
      </c>
      <c r="N29" s="37" t="str">
        <f>ES_MATRIX!K3</f>
        <v/>
      </c>
      <c r="O29" s="14" t="str">
        <f>IFERROR(M29-ES_MATRIX!L3,"")</f>
        <v/>
      </c>
      <c r="P29" s="40" t="str">
        <f>IF(SUMIF(CNXL_SQL_2!$E:$E,'PAGE_1 (4)'!R29,CNXL_SQL_2!$F:$F)=0,"",SUMIF(CNXL_SQL_2!$E:$E,'PAGE_1 (4)'!R29,CNXL_SQL_2!$F:$F))</f>
        <v/>
      </c>
      <c r="Q29" s="59"/>
      <c r="R29" s="61" t="s">
        <v>57</v>
      </c>
      <c r="S29" s="61" t="s">
        <v>56</v>
      </c>
      <c r="T29" s="60"/>
      <c r="U29" s="60"/>
      <c r="V29" s="59"/>
      <c r="W29" s="57"/>
      <c r="X29" s="57"/>
    </row>
    <row r="30" spans="2:24" ht="14.5" x14ac:dyDescent="0.35">
      <c r="B30" s="67" t="s">
        <v>19</v>
      </c>
      <c r="C30" s="81">
        <f>SUMIF(SCH_DEP_SQL_4!$A:$A,'PAGE_1 (4)'!R30,SCH_DEP_SQL_4!$E:$E)</f>
        <v>816</v>
      </c>
      <c r="D30" s="17">
        <f>IF(SUMIFS(CNXL_SQL_2!$F:$F,CNXL_SQL_2!$A:$A,'PAGE_1 (4)'!$R30,CNXL_SQL_2!$D:$D,'PAGE_1 (4)'!$S$29)=0,"",SUMIFS(CNXL_SQL_2!$F:$F,CNXL_SQL_2!$A:$A,'PAGE_1 (4)'!$R30,CNXL_SQL_2!$D:$D,'PAGE_1 (4)'!$S$29))</f>
        <v>10</v>
      </c>
      <c r="E30" s="17" t="str">
        <f>IF(SUMIFS(CNXL_SQL_2!$F:$F,CNXL_SQL_2!$A:$A,'PAGE_1 (4)'!$R30,CNXL_SQL_2!$D:$D,'PAGE_1 (4)'!$S$30)=0,"",SUMIFS(CNXL_SQL_2!$F:$F,CNXL_SQL_2!$A:$A,'PAGE_1 (4)'!$R30,CNXL_SQL_2!$D:$D,'PAGE_1 (4)'!$S$30))</f>
        <v/>
      </c>
      <c r="F30" s="17" t="str">
        <f>IF(SUMIFS(CNXL_SQL_2!$F:$F,CNXL_SQL_2!$A:$A,'PAGE_1 (4)'!$R30,CNXL_SQL_2!$D:$D,'PAGE_1 (4)'!$S$31)=0,"",SUMIFS(CNXL_SQL_2!$F:$F,CNXL_SQL_2!$A:$A,'PAGE_1 (4)'!$R30,CNXL_SQL_2!$D:$D,'PAGE_1 (4)'!$S$31))</f>
        <v/>
      </c>
      <c r="G30" s="17" t="str">
        <f>IF(SUMIFS(CNXL_SQL_2!$F:$F,CNXL_SQL_2!$A:$A,'PAGE_1 (4)'!$R30,CNXL_SQL_2!$D:$D,'PAGE_1 (4)'!$S$32)=0,"",SUMIFS(CNXL_SQL_2!$F:$F,CNXL_SQL_2!$A:$A,'PAGE_1 (4)'!$R30,CNXL_SQL_2!$D:$D,'PAGE_1 (4)'!$S$32))</f>
        <v/>
      </c>
      <c r="H30" s="17" t="str">
        <f>IF(SUMIFS(CNXL_SQL_2!$F:$F,CNXL_SQL_2!$A:$A,'PAGE_1 (4)'!$R30,CNXL_SQL_2!$D:$D,'PAGE_1 (4)'!$S$33)=0,"",SUMIFS(CNXL_SQL_2!$F:$F,CNXL_SQL_2!$A:$A,'PAGE_1 (4)'!$R30,CNXL_SQL_2!$D:$D,'PAGE_1 (4)'!$S$33))</f>
        <v/>
      </c>
      <c r="I30" s="17" t="str">
        <f>IF(SUMIFS(CNXL_SQL_2!$F:$F,CNXL_SQL_2!$A:$A,'PAGE_1 (4)'!$R30,CNXL_SQL_2!$D:$D,'PAGE_1 (4)'!$S$34)=0,"",SUMIFS(CNXL_SQL_2!$F:$F,CNXL_SQL_2!$A:$A,'PAGE_1 (4)'!$R30,CNXL_SQL_2!$D:$D,'PAGE_1 (4)'!$S$34))</f>
        <v/>
      </c>
      <c r="J30" s="17" t="str">
        <f>IF(SUMIFS(CNXL_SQL_2!$F:$F,CNXL_SQL_2!$A:$A,'PAGE_1 (4)'!$R30,CNXL_SQL_2!$D:$D,'PAGE_1 (4)'!$S$35)=0,"",SUMIFS(CNXL_SQL_2!$F:$F,CNXL_SQL_2!$A:$A,'PAGE_1 (4)'!$R30,CNXL_SQL_2!$D:$D,'PAGE_1 (4)'!$S$35))</f>
        <v/>
      </c>
      <c r="K30" s="17" t="str">
        <f>IF(SUMIFS(CNXL_SQL_2!$F:$F,CNXL_SQL_2!$A:$A,'PAGE_1 (4)'!$R30,CNXL_SQL_2!$D:$D,'PAGE_1 (4)'!$S$36)=0,"",SUMIFS(CNXL_SQL_2!$F:$F,CNXL_SQL_2!$A:$A,'PAGE_1 (4)'!$R30,CNXL_SQL_2!$D:$D,'PAGE_1 (4)'!$S$36))</f>
        <v/>
      </c>
      <c r="L30" s="17" t="str">
        <f>IF(SUMIFS(CNXL_SQL_2!$F:$F,CNXL_SQL_2!$A:$A,'PAGE_1 (4)'!$R30,CNXL_SQL_2!$D:$D,'PAGE_1 (4)'!$S$37)=0,"",SUMIFS(CNXL_SQL_2!$F:$F,CNXL_SQL_2!$A:$A,'PAGE_1 (4)'!$R30,CNXL_SQL_2!$D:$D,'PAGE_1 (4)'!$S$37))</f>
        <v/>
      </c>
      <c r="M30" s="18">
        <f t="shared" ref="M30:M36" si="0">IF(SUM(D30:L30)=0,"",SUM(D30:L30))</f>
        <v>10</v>
      </c>
      <c r="N30" s="18" t="str">
        <f>ES_MATRIX!K4</f>
        <v/>
      </c>
      <c r="O30" s="18">
        <f>IFERROR(M30-ES_MATRIX!L4,"")</f>
        <v>10</v>
      </c>
      <c r="P30" s="16" t="str">
        <f>IF(SUMIF(CNXL_SQL_2!$E:$E,'PAGE_1 (4)'!R30,CNXL_SQL_2!$F:$F)=0,"",SUMIF(CNXL_SQL_2!$E:$E,'PAGE_1 (4)'!R30,CNXL_SQL_2!$F:$F))</f>
        <v/>
      </c>
      <c r="Q30" s="59"/>
      <c r="R30" s="60" t="s">
        <v>60</v>
      </c>
      <c r="S30" s="61" t="s">
        <v>61</v>
      </c>
      <c r="T30" s="60"/>
      <c r="U30" s="60"/>
      <c r="V30" s="59"/>
      <c r="W30" s="57"/>
      <c r="X30" s="57"/>
    </row>
    <row r="31" spans="2:24" ht="14.5" x14ac:dyDescent="0.35">
      <c r="B31" s="66" t="s">
        <v>20</v>
      </c>
      <c r="C31" s="80">
        <f>SUMIF(SCH_DEP_SQL_4!$A:$A,'PAGE_1 (4)'!R31,SCH_DEP_SQL_4!$E:$E)</f>
        <v>0</v>
      </c>
      <c r="D31" s="12" t="str">
        <f>IF(SUMIFS(CNXL_SQL_2!$F:$F,CNXL_SQL_2!$A:$A,'PAGE_1 (4)'!$R31,CNXL_SQL_2!$D:$D,'PAGE_1 (4)'!$S$29)=0,"",SUMIFS(CNXL_SQL_2!$F:$F,CNXL_SQL_2!$A:$A,'PAGE_1 (4)'!$R31,CNXL_SQL_2!$D:$D,'PAGE_1 (4)'!$S$29))</f>
        <v/>
      </c>
      <c r="E31" s="12" t="str">
        <f>IF(SUMIFS(CNXL_SQL_2!$F:$F,CNXL_SQL_2!$A:$A,'PAGE_1 (4)'!$R31,CNXL_SQL_2!$D:$D,'PAGE_1 (4)'!$S$30)=0,"",SUMIFS(CNXL_SQL_2!$F:$F,CNXL_SQL_2!$A:$A,'PAGE_1 (4)'!$R31,CNXL_SQL_2!$D:$D,'PAGE_1 (4)'!$S$30))</f>
        <v/>
      </c>
      <c r="F31" s="12" t="str">
        <f>IF(SUMIFS(CNXL_SQL_2!$F:$F,CNXL_SQL_2!$A:$A,'PAGE_1 (4)'!$R31,CNXL_SQL_2!$D:$D,'PAGE_1 (4)'!$S$31)=0,"",SUMIFS(CNXL_SQL_2!$F:$F,CNXL_SQL_2!$A:$A,'PAGE_1 (4)'!$R31,CNXL_SQL_2!$D:$D,'PAGE_1 (4)'!$S$31))</f>
        <v/>
      </c>
      <c r="G31" s="12" t="str">
        <f>IF(SUMIFS(CNXL_SQL_2!$F:$F,CNXL_SQL_2!$A:$A,'PAGE_1 (4)'!$R31,CNXL_SQL_2!$D:$D,'PAGE_1 (4)'!$S$32)=0,"",SUMIFS(CNXL_SQL_2!$F:$F,CNXL_SQL_2!$A:$A,'PAGE_1 (4)'!$R31,CNXL_SQL_2!$D:$D,'PAGE_1 (4)'!$S$32))</f>
        <v/>
      </c>
      <c r="H31" s="12" t="str">
        <f>IF(SUMIFS(CNXL_SQL_2!$F:$F,CNXL_SQL_2!$A:$A,'PAGE_1 (4)'!$R31,CNXL_SQL_2!$D:$D,'PAGE_1 (4)'!$S$33)=0,"",SUMIFS(CNXL_SQL_2!$F:$F,CNXL_SQL_2!$A:$A,'PAGE_1 (4)'!$R31,CNXL_SQL_2!$D:$D,'PAGE_1 (4)'!$S$33))</f>
        <v/>
      </c>
      <c r="I31" s="12" t="str">
        <f>IF(SUMIFS(CNXL_SQL_2!$F:$F,CNXL_SQL_2!$A:$A,'PAGE_1 (4)'!$R31,CNXL_SQL_2!$D:$D,'PAGE_1 (4)'!$S$34)=0,"",SUMIFS(CNXL_SQL_2!$F:$F,CNXL_SQL_2!$A:$A,'PAGE_1 (4)'!$R31,CNXL_SQL_2!$D:$D,'PAGE_1 (4)'!$S$34))</f>
        <v/>
      </c>
      <c r="J31" s="12" t="str">
        <f>IF(SUMIFS(CNXL_SQL_2!$F:$F,CNXL_SQL_2!$A:$A,'PAGE_1 (4)'!$R31,CNXL_SQL_2!$D:$D,'PAGE_1 (4)'!$S$35)=0,"",SUMIFS(CNXL_SQL_2!$F:$F,CNXL_SQL_2!$A:$A,'PAGE_1 (4)'!$R31,CNXL_SQL_2!$D:$D,'PAGE_1 (4)'!$S$35))</f>
        <v/>
      </c>
      <c r="K31" s="12" t="str">
        <f>IF(SUMIFS(CNXL_SQL_2!$F:$F,CNXL_SQL_2!$A:$A,'PAGE_1 (4)'!$R31,CNXL_SQL_2!$D:$D,'PAGE_1 (4)'!$S$36)=0,"",SUMIFS(CNXL_SQL_2!$F:$F,CNXL_SQL_2!$A:$A,'PAGE_1 (4)'!$R31,CNXL_SQL_2!$D:$D,'PAGE_1 (4)'!$S$36))</f>
        <v/>
      </c>
      <c r="L31" s="12" t="str">
        <f>IF(SUMIFS(CNXL_SQL_2!$F:$F,CNXL_SQL_2!$A:$A,'PAGE_1 (4)'!$R31,CNXL_SQL_2!$D:$D,'PAGE_1 (4)'!$S$37)=0,"",SUMIFS(CNXL_SQL_2!$F:$F,CNXL_SQL_2!$A:$A,'PAGE_1 (4)'!$R31,CNXL_SQL_2!$D:$D,'PAGE_1 (4)'!$S$37))</f>
        <v/>
      </c>
      <c r="M31" s="42" t="str">
        <f t="shared" si="0"/>
        <v/>
      </c>
      <c r="N31" s="38" t="str">
        <f>ES_MATRIX!K5</f>
        <v/>
      </c>
      <c r="O31" s="14" t="str">
        <f>IFERROR(M31-ES_MATRIX!L5,"")</f>
        <v/>
      </c>
      <c r="P31" s="40" t="str">
        <f>IF(SUMIF(CNXL_SQL_2!$E:$E,'PAGE_1 (4)'!R31,CNXL_SQL_2!$F:$F)=0,"",SUMIF(CNXL_SQL_2!$E:$E,'PAGE_1 (4)'!R31,CNXL_SQL_2!$F:$F))</f>
        <v/>
      </c>
      <c r="Q31" s="59"/>
      <c r="R31" s="60" t="s">
        <v>64</v>
      </c>
      <c r="S31" s="61" t="s">
        <v>58</v>
      </c>
      <c r="T31" s="60"/>
      <c r="U31" s="60"/>
      <c r="V31" s="59"/>
      <c r="W31" s="57"/>
      <c r="X31" s="57"/>
    </row>
    <row r="32" spans="2:24" ht="14.5" x14ac:dyDescent="0.35">
      <c r="B32" s="67" t="s">
        <v>21</v>
      </c>
      <c r="C32" s="81">
        <f>SUMIF(SCH_DEP_SQL_4!$A:$A,'PAGE_1 (4)'!R32,SCH_DEP_SQL_4!$E:$E)</f>
        <v>297</v>
      </c>
      <c r="D32" s="17" t="str">
        <f>IF(SUMIFS(CNXL_SQL_2!$F:$F,CNXL_SQL_2!$A:$A,'PAGE_1 (4)'!$R32,CNXL_SQL_2!$D:$D,'PAGE_1 (4)'!$S$29)=0,"",SUMIFS(CNXL_SQL_2!$F:$F,CNXL_SQL_2!$A:$A,'PAGE_1 (4)'!$R32,CNXL_SQL_2!$D:$D,'PAGE_1 (4)'!$S$29))</f>
        <v/>
      </c>
      <c r="E32" s="17" t="str">
        <f>IF(SUMIFS(CNXL_SQL_2!$F:$F,CNXL_SQL_2!$A:$A,'PAGE_1 (4)'!$R32,CNXL_SQL_2!$D:$D,'PAGE_1 (4)'!$S$30)=0,"",SUMIFS(CNXL_SQL_2!$F:$F,CNXL_SQL_2!$A:$A,'PAGE_1 (4)'!$R32,CNXL_SQL_2!$D:$D,'PAGE_1 (4)'!$S$30))</f>
        <v/>
      </c>
      <c r="F32" s="17" t="str">
        <f>IF(SUMIFS(CNXL_SQL_2!$F:$F,CNXL_SQL_2!$A:$A,'PAGE_1 (4)'!$R32,CNXL_SQL_2!$D:$D,'PAGE_1 (4)'!$S$31)=0,"",SUMIFS(CNXL_SQL_2!$F:$F,CNXL_SQL_2!$A:$A,'PAGE_1 (4)'!$R32,CNXL_SQL_2!$D:$D,'PAGE_1 (4)'!$S$31))</f>
        <v/>
      </c>
      <c r="G32" s="17" t="str">
        <f>IF(SUMIFS(CNXL_SQL_2!$F:$F,CNXL_SQL_2!$A:$A,'PAGE_1 (4)'!$R32,CNXL_SQL_2!$D:$D,'PAGE_1 (4)'!$S$32)=0,"",SUMIFS(CNXL_SQL_2!$F:$F,CNXL_SQL_2!$A:$A,'PAGE_1 (4)'!$R32,CNXL_SQL_2!$D:$D,'PAGE_1 (4)'!$S$32))</f>
        <v/>
      </c>
      <c r="H32" s="17" t="str">
        <f>IF(SUMIFS(CNXL_SQL_2!$F:$F,CNXL_SQL_2!$A:$A,'PAGE_1 (4)'!$R32,CNXL_SQL_2!$D:$D,'PAGE_1 (4)'!$S$33)=0,"",SUMIFS(CNXL_SQL_2!$F:$F,CNXL_SQL_2!$A:$A,'PAGE_1 (4)'!$R32,CNXL_SQL_2!$D:$D,'PAGE_1 (4)'!$S$33))</f>
        <v/>
      </c>
      <c r="I32" s="17" t="str">
        <f>IF(SUMIFS(CNXL_SQL_2!$F:$F,CNXL_SQL_2!$A:$A,'PAGE_1 (4)'!$R32,CNXL_SQL_2!$D:$D,'PAGE_1 (4)'!$S$34)=0,"",SUMIFS(CNXL_SQL_2!$F:$F,CNXL_SQL_2!$A:$A,'PAGE_1 (4)'!$R32,CNXL_SQL_2!$D:$D,'PAGE_1 (4)'!$S$34))</f>
        <v/>
      </c>
      <c r="J32" s="17" t="str">
        <f>IF(SUMIFS(CNXL_SQL_2!$F:$F,CNXL_SQL_2!$A:$A,'PAGE_1 (4)'!$R32,CNXL_SQL_2!$D:$D,'PAGE_1 (4)'!$S$35)=0,"",SUMIFS(CNXL_SQL_2!$F:$F,CNXL_SQL_2!$A:$A,'PAGE_1 (4)'!$R32,CNXL_SQL_2!$D:$D,'PAGE_1 (4)'!$S$35))</f>
        <v/>
      </c>
      <c r="K32" s="17" t="str">
        <f>IF(SUMIFS(CNXL_SQL_2!$F:$F,CNXL_SQL_2!$A:$A,'PAGE_1 (4)'!$R32,CNXL_SQL_2!$D:$D,'PAGE_1 (4)'!$S$36)=0,"",SUMIFS(CNXL_SQL_2!$F:$F,CNXL_SQL_2!$A:$A,'PAGE_1 (4)'!$R32,CNXL_SQL_2!$D:$D,'PAGE_1 (4)'!$S$36))</f>
        <v/>
      </c>
      <c r="L32" s="17" t="str">
        <f>IF(SUMIFS(CNXL_SQL_2!$F:$F,CNXL_SQL_2!$A:$A,'PAGE_1 (4)'!$R32,CNXL_SQL_2!$D:$D,'PAGE_1 (4)'!$S$37)=0,"",SUMIFS(CNXL_SQL_2!$F:$F,CNXL_SQL_2!$A:$A,'PAGE_1 (4)'!$R32,CNXL_SQL_2!$D:$D,'PAGE_1 (4)'!$S$37))</f>
        <v/>
      </c>
      <c r="M32" s="18" t="str">
        <f t="shared" si="0"/>
        <v/>
      </c>
      <c r="N32" s="18" t="str">
        <f>ES_MATRIX!K6</f>
        <v/>
      </c>
      <c r="O32" s="18" t="str">
        <f>IFERROR(M32-ES_MATRIX!L6,"")</f>
        <v/>
      </c>
      <c r="P32" s="16" t="str">
        <f>IF(SUMIF(CNXL_SQL_2!$E:$E,'PAGE_1 (4)'!R32,CNXL_SQL_2!$F:$F)=0,"",SUMIF(CNXL_SQL_2!$E:$E,'PAGE_1 (4)'!R32,CNXL_SQL_2!$F:$F))</f>
        <v/>
      </c>
      <c r="Q32" s="59"/>
      <c r="R32" s="60" t="s">
        <v>63</v>
      </c>
      <c r="S32" s="61" t="s">
        <v>69</v>
      </c>
      <c r="T32" s="60"/>
      <c r="U32" s="60"/>
      <c r="V32" s="59"/>
      <c r="W32" s="57"/>
      <c r="X32" s="57"/>
    </row>
    <row r="33" spans="2:24" ht="14.5" x14ac:dyDescent="0.35">
      <c r="B33" s="66" t="s">
        <v>22</v>
      </c>
      <c r="C33" s="80">
        <f>SUMIF(SCH_DEP_SQL_4!$A:$A,'PAGE_1 (4)'!R33,SCH_DEP_SQL_4!$E:$E)</f>
        <v>186</v>
      </c>
      <c r="D33" s="12" t="str">
        <f>IF(SUMIFS(CNXL_SQL_2!$F:$F,CNXL_SQL_2!$A:$A,'PAGE_1 (4)'!$R33,CNXL_SQL_2!$D:$D,'PAGE_1 (4)'!$S$29)=0,"",SUMIFS(CNXL_SQL_2!$F:$F,CNXL_SQL_2!$A:$A,'PAGE_1 (4)'!$R33,CNXL_SQL_2!$D:$D,'PAGE_1 (4)'!$S$29))</f>
        <v/>
      </c>
      <c r="E33" s="12" t="str">
        <f>IF(SUMIFS(CNXL_SQL_2!$F:$F,CNXL_SQL_2!$A:$A,'PAGE_1 (4)'!$R33,CNXL_SQL_2!$D:$D,'PAGE_1 (4)'!$S$30)=0,"",SUMIFS(CNXL_SQL_2!$F:$F,CNXL_SQL_2!$A:$A,'PAGE_1 (4)'!$R33,CNXL_SQL_2!$D:$D,'PAGE_1 (4)'!$S$30))</f>
        <v/>
      </c>
      <c r="F33" s="12" t="str">
        <f>IF(SUMIFS(CNXL_SQL_2!$F:$F,CNXL_SQL_2!$A:$A,'PAGE_1 (4)'!$R33,CNXL_SQL_2!$D:$D,'PAGE_1 (4)'!$S$31)=0,"",SUMIFS(CNXL_SQL_2!$F:$F,CNXL_SQL_2!$A:$A,'PAGE_1 (4)'!$R33,CNXL_SQL_2!$D:$D,'PAGE_1 (4)'!$S$31))</f>
        <v/>
      </c>
      <c r="G33" s="12" t="str">
        <f>IF(SUMIFS(CNXL_SQL_2!$F:$F,CNXL_SQL_2!$A:$A,'PAGE_1 (4)'!$R33,CNXL_SQL_2!$D:$D,'PAGE_1 (4)'!$S$32)=0,"",SUMIFS(CNXL_SQL_2!$F:$F,CNXL_SQL_2!$A:$A,'PAGE_1 (4)'!$R33,CNXL_SQL_2!$D:$D,'PAGE_1 (4)'!$S$32))</f>
        <v/>
      </c>
      <c r="H33" s="12" t="str">
        <f>IF(SUMIFS(CNXL_SQL_2!$F:$F,CNXL_SQL_2!$A:$A,'PAGE_1 (4)'!$R33,CNXL_SQL_2!$D:$D,'PAGE_1 (4)'!$S$33)=0,"",SUMIFS(CNXL_SQL_2!$F:$F,CNXL_SQL_2!$A:$A,'PAGE_1 (4)'!$R33,CNXL_SQL_2!$D:$D,'PAGE_1 (4)'!$S$33))</f>
        <v/>
      </c>
      <c r="I33" s="12" t="str">
        <f>IF(SUMIFS(CNXL_SQL_2!$F:$F,CNXL_SQL_2!$A:$A,'PAGE_1 (4)'!$R33,CNXL_SQL_2!$D:$D,'PAGE_1 (4)'!$S$34)=0,"",SUMIFS(CNXL_SQL_2!$F:$F,CNXL_SQL_2!$A:$A,'PAGE_1 (4)'!$R33,CNXL_SQL_2!$D:$D,'PAGE_1 (4)'!$S$34))</f>
        <v/>
      </c>
      <c r="J33" s="12" t="str">
        <f>IF(SUMIFS(CNXL_SQL_2!$F:$F,CNXL_SQL_2!$A:$A,'PAGE_1 (4)'!$R33,CNXL_SQL_2!$D:$D,'PAGE_1 (4)'!$S$35)=0,"",SUMIFS(CNXL_SQL_2!$F:$F,CNXL_SQL_2!$A:$A,'PAGE_1 (4)'!$R33,CNXL_SQL_2!$D:$D,'PAGE_1 (4)'!$S$35))</f>
        <v/>
      </c>
      <c r="K33" s="12" t="str">
        <f>IF(SUMIFS(CNXL_SQL_2!$F:$F,CNXL_SQL_2!$A:$A,'PAGE_1 (4)'!$R33,CNXL_SQL_2!$D:$D,'PAGE_1 (4)'!$S$36)=0,"",SUMIFS(CNXL_SQL_2!$F:$F,CNXL_SQL_2!$A:$A,'PAGE_1 (4)'!$R33,CNXL_SQL_2!$D:$D,'PAGE_1 (4)'!$S$36))</f>
        <v/>
      </c>
      <c r="L33" s="12" t="str">
        <f>IF(SUMIFS(CNXL_SQL_2!$F:$F,CNXL_SQL_2!$A:$A,'PAGE_1 (4)'!$R33,CNXL_SQL_2!$D:$D,'PAGE_1 (4)'!$S$37)=0,"",SUMIFS(CNXL_SQL_2!$F:$F,CNXL_SQL_2!$A:$A,'PAGE_1 (4)'!$R33,CNXL_SQL_2!$D:$D,'PAGE_1 (4)'!$S$37))</f>
        <v/>
      </c>
      <c r="M33" s="42" t="str">
        <f t="shared" si="0"/>
        <v/>
      </c>
      <c r="N33" s="38" t="str">
        <f>ES_MATRIX!K7</f>
        <v/>
      </c>
      <c r="O33" s="14" t="str">
        <f>IFERROR(M33-ES_MATRIX!L7,"")</f>
        <v/>
      </c>
      <c r="P33" s="40" t="str">
        <f>IF(SUMIF(CNXL_SQL_2!$E:$E,'PAGE_1 (4)'!R33,CNXL_SQL_2!$F:$F)=0,"",SUMIF(CNXL_SQL_2!$E:$E,'PAGE_1 (4)'!R33,CNXL_SQL_2!$F:$F))</f>
        <v/>
      </c>
      <c r="Q33" s="59"/>
      <c r="R33" s="60" t="s">
        <v>65</v>
      </c>
      <c r="S33" s="61" t="s">
        <v>67</v>
      </c>
      <c r="T33" s="60"/>
      <c r="U33" s="60"/>
      <c r="V33" s="59"/>
      <c r="W33" s="57"/>
      <c r="X33" s="57"/>
    </row>
    <row r="34" spans="2:24" ht="14.5" x14ac:dyDescent="0.35">
      <c r="B34" s="67" t="s">
        <v>23</v>
      </c>
      <c r="C34" s="81">
        <f>SUMIF(SCH_DEP_SQL_4!$A:$A,'PAGE_1 (4)'!R34,SCH_DEP_SQL_4!$E:$E)</f>
        <v>193</v>
      </c>
      <c r="D34" s="17">
        <f>IF(SUMIFS(CNXL_SQL_2!$F:$F,CNXL_SQL_2!$A:$A,'PAGE_1 (4)'!$R34,CNXL_SQL_2!$D:$D,'PAGE_1 (4)'!$S$29)=0,"",SUMIFS(CNXL_SQL_2!$F:$F,CNXL_SQL_2!$A:$A,'PAGE_1 (4)'!$R34,CNXL_SQL_2!$D:$D,'PAGE_1 (4)'!$S$29))</f>
        <v>1</v>
      </c>
      <c r="E34" s="17" t="str">
        <f>IF(SUMIFS(CNXL_SQL_2!$F:$F,CNXL_SQL_2!$A:$A,'PAGE_1 (4)'!$R34,CNXL_SQL_2!$D:$D,'PAGE_1 (4)'!$S$30)=0,"",SUMIFS(CNXL_SQL_2!$F:$F,CNXL_SQL_2!$A:$A,'PAGE_1 (4)'!$R34,CNXL_SQL_2!$D:$D,'PAGE_1 (4)'!$S$30))</f>
        <v/>
      </c>
      <c r="F34" s="17" t="str">
        <f>IF(SUMIFS(CNXL_SQL_2!$F:$F,CNXL_SQL_2!$A:$A,'PAGE_1 (4)'!$R34,CNXL_SQL_2!$D:$D,'PAGE_1 (4)'!$S$31)=0,"",SUMIFS(CNXL_SQL_2!$F:$F,CNXL_SQL_2!$A:$A,'PAGE_1 (4)'!$R34,CNXL_SQL_2!$D:$D,'PAGE_1 (4)'!$S$31))</f>
        <v/>
      </c>
      <c r="G34" s="17" t="str">
        <f>IF(SUMIFS(CNXL_SQL_2!$F:$F,CNXL_SQL_2!$A:$A,'PAGE_1 (4)'!$R34,CNXL_SQL_2!$D:$D,'PAGE_1 (4)'!$S$32)=0,"",SUMIFS(CNXL_SQL_2!$F:$F,CNXL_SQL_2!$A:$A,'PAGE_1 (4)'!$R34,CNXL_SQL_2!$D:$D,'PAGE_1 (4)'!$S$32))</f>
        <v/>
      </c>
      <c r="H34" s="17" t="str">
        <f>IF(SUMIFS(CNXL_SQL_2!$F:$F,CNXL_SQL_2!$A:$A,'PAGE_1 (4)'!$R34,CNXL_SQL_2!$D:$D,'PAGE_1 (4)'!$S$33)=0,"",SUMIFS(CNXL_SQL_2!$F:$F,CNXL_SQL_2!$A:$A,'PAGE_1 (4)'!$R34,CNXL_SQL_2!$D:$D,'PAGE_1 (4)'!$S$33))</f>
        <v/>
      </c>
      <c r="I34" s="17" t="str">
        <f>IF(SUMIFS(CNXL_SQL_2!$F:$F,CNXL_SQL_2!$A:$A,'PAGE_1 (4)'!$R34,CNXL_SQL_2!$D:$D,'PAGE_1 (4)'!$S$34)=0,"",SUMIFS(CNXL_SQL_2!$F:$F,CNXL_SQL_2!$A:$A,'PAGE_1 (4)'!$R34,CNXL_SQL_2!$D:$D,'PAGE_1 (4)'!$S$34))</f>
        <v/>
      </c>
      <c r="J34" s="17" t="str">
        <f>IF(SUMIFS(CNXL_SQL_2!$F:$F,CNXL_SQL_2!$A:$A,'PAGE_1 (4)'!$R34,CNXL_SQL_2!$D:$D,'PAGE_1 (4)'!$S$35)=0,"",SUMIFS(CNXL_SQL_2!$F:$F,CNXL_SQL_2!$A:$A,'PAGE_1 (4)'!$R34,CNXL_SQL_2!$D:$D,'PAGE_1 (4)'!$S$35))</f>
        <v/>
      </c>
      <c r="K34" s="17" t="str">
        <f>IF(SUMIFS(CNXL_SQL_2!$F:$F,CNXL_SQL_2!$A:$A,'PAGE_1 (4)'!$R34,CNXL_SQL_2!$D:$D,'PAGE_1 (4)'!$S$36)=0,"",SUMIFS(CNXL_SQL_2!$F:$F,CNXL_SQL_2!$A:$A,'PAGE_1 (4)'!$R34,CNXL_SQL_2!$D:$D,'PAGE_1 (4)'!$S$36))</f>
        <v/>
      </c>
      <c r="L34" s="17" t="str">
        <f>IF(SUMIFS(CNXL_SQL_2!$F:$F,CNXL_SQL_2!$A:$A,'PAGE_1 (4)'!$R34,CNXL_SQL_2!$D:$D,'PAGE_1 (4)'!$S$37)=0,"",SUMIFS(CNXL_SQL_2!$F:$F,CNXL_SQL_2!$A:$A,'PAGE_1 (4)'!$R34,CNXL_SQL_2!$D:$D,'PAGE_1 (4)'!$S$37))</f>
        <v/>
      </c>
      <c r="M34" s="41">
        <f t="shared" si="0"/>
        <v>1</v>
      </c>
      <c r="N34" s="18" t="str">
        <f>ES_MATRIX!K8</f>
        <v/>
      </c>
      <c r="O34" s="18">
        <f>IFERROR(M34-ES_MATRIX!L8,"")</f>
        <v>1</v>
      </c>
      <c r="P34" s="16" t="str">
        <f>IF(SUMIF(CNXL_SQL_2!$E:$E,'PAGE_1 (4)'!R34,CNXL_SQL_2!$F:$F)=0,"",SUMIF(CNXL_SQL_2!$E:$E,'PAGE_1 (4)'!R34,CNXL_SQL_2!$F:$F))</f>
        <v/>
      </c>
      <c r="Q34" s="59"/>
      <c r="R34" s="60" t="s">
        <v>55</v>
      </c>
      <c r="S34" s="61" t="s">
        <v>70</v>
      </c>
      <c r="T34" s="60"/>
      <c r="U34" s="60"/>
      <c r="V34" s="59"/>
      <c r="W34" s="57"/>
      <c r="X34" s="57"/>
    </row>
    <row r="35" spans="2:24" ht="14.5" x14ac:dyDescent="0.35">
      <c r="B35" s="66" t="s">
        <v>24</v>
      </c>
      <c r="C35" s="80">
        <f>SUMIF(SCH_DEP_SQL_4!$A:$A,'PAGE_1 (4)'!R35,SCH_DEP_SQL_4!$E:$E)</f>
        <v>213</v>
      </c>
      <c r="D35" s="12" t="str">
        <f>IF(SUMIFS(CNXL_SQL_2!$F:$F,CNXL_SQL_2!$A:$A,'PAGE_1 (4)'!$R35,CNXL_SQL_2!$D:$D,'PAGE_1 (4)'!$S$29)=0,"",SUMIFS(CNXL_SQL_2!$F:$F,CNXL_SQL_2!$A:$A,'PAGE_1 (4)'!$R35,CNXL_SQL_2!$D:$D,'PAGE_1 (4)'!$S$29))</f>
        <v/>
      </c>
      <c r="E35" s="12" t="str">
        <f>IF(SUMIFS(CNXL_SQL_2!$F:$F,CNXL_SQL_2!$A:$A,'PAGE_1 (4)'!$R35,CNXL_SQL_2!$D:$D,'PAGE_1 (4)'!$S$30)=0,"",SUMIFS(CNXL_SQL_2!$F:$F,CNXL_SQL_2!$A:$A,'PAGE_1 (4)'!$R35,CNXL_SQL_2!$D:$D,'PAGE_1 (4)'!$S$30))</f>
        <v/>
      </c>
      <c r="F35" s="12" t="str">
        <f>IF(SUMIFS(CNXL_SQL_2!$F:$F,CNXL_SQL_2!$A:$A,'PAGE_1 (4)'!$R35,CNXL_SQL_2!$D:$D,'PAGE_1 (4)'!$S$31)=0,"",SUMIFS(CNXL_SQL_2!$F:$F,CNXL_SQL_2!$A:$A,'PAGE_1 (4)'!$R35,CNXL_SQL_2!$D:$D,'PAGE_1 (4)'!$S$31))</f>
        <v/>
      </c>
      <c r="G35" s="12" t="str">
        <f>IF(SUMIFS(CNXL_SQL_2!$F:$F,CNXL_SQL_2!$A:$A,'PAGE_1 (4)'!$R35,CNXL_SQL_2!$D:$D,'PAGE_1 (4)'!$S$32)=0,"",SUMIFS(CNXL_SQL_2!$F:$F,CNXL_SQL_2!$A:$A,'PAGE_1 (4)'!$R35,CNXL_SQL_2!$D:$D,'PAGE_1 (4)'!$S$32))</f>
        <v/>
      </c>
      <c r="H35" s="12" t="str">
        <f>IF(SUMIFS(CNXL_SQL_2!$F:$F,CNXL_SQL_2!$A:$A,'PAGE_1 (4)'!$R35,CNXL_SQL_2!$D:$D,'PAGE_1 (4)'!$S$33)=0,"",SUMIFS(CNXL_SQL_2!$F:$F,CNXL_SQL_2!$A:$A,'PAGE_1 (4)'!$R35,CNXL_SQL_2!$D:$D,'PAGE_1 (4)'!$S$33))</f>
        <v/>
      </c>
      <c r="I35" s="12" t="str">
        <f>IF(SUMIFS(CNXL_SQL_2!$F:$F,CNXL_SQL_2!$A:$A,'PAGE_1 (4)'!$R35,CNXL_SQL_2!$D:$D,'PAGE_1 (4)'!$S$34)=0,"",SUMIFS(CNXL_SQL_2!$F:$F,CNXL_SQL_2!$A:$A,'PAGE_1 (4)'!$R35,CNXL_SQL_2!$D:$D,'PAGE_1 (4)'!$S$34))</f>
        <v/>
      </c>
      <c r="J35" s="12" t="str">
        <f>IF(SUMIFS(CNXL_SQL_2!$F:$F,CNXL_SQL_2!$A:$A,'PAGE_1 (4)'!$R35,CNXL_SQL_2!$D:$D,'PAGE_1 (4)'!$S$35)=0,"",SUMIFS(CNXL_SQL_2!$F:$F,CNXL_SQL_2!$A:$A,'PAGE_1 (4)'!$R35,CNXL_SQL_2!$D:$D,'PAGE_1 (4)'!$S$35))</f>
        <v/>
      </c>
      <c r="K35" s="12" t="str">
        <f>IF(SUMIFS(CNXL_SQL_2!$F:$F,CNXL_SQL_2!$A:$A,'PAGE_1 (4)'!$R35,CNXL_SQL_2!$D:$D,'PAGE_1 (4)'!$S$36)=0,"",SUMIFS(CNXL_SQL_2!$F:$F,CNXL_SQL_2!$A:$A,'PAGE_1 (4)'!$R35,CNXL_SQL_2!$D:$D,'PAGE_1 (4)'!$S$36))</f>
        <v/>
      </c>
      <c r="L35" s="12" t="str">
        <f>IF(SUMIFS(CNXL_SQL_2!$F:$F,CNXL_SQL_2!$A:$A,'PAGE_1 (4)'!$R35,CNXL_SQL_2!$D:$D,'PAGE_1 (4)'!$S$37)=0,"",SUMIFS(CNXL_SQL_2!$F:$F,CNXL_SQL_2!$A:$A,'PAGE_1 (4)'!$R35,CNXL_SQL_2!$D:$D,'PAGE_1 (4)'!$S$37))</f>
        <v/>
      </c>
      <c r="M35" s="38" t="str">
        <f t="shared" si="0"/>
        <v/>
      </c>
      <c r="N35" s="38" t="str">
        <f>ES_MATRIX!K9</f>
        <v/>
      </c>
      <c r="O35" s="14" t="str">
        <f>IFERROR(M35-ES_MATRIX!L9,"")</f>
        <v/>
      </c>
      <c r="P35" s="40" t="str">
        <f>IF(SUMIF(CNXL_SQL_2!$E:$E,'PAGE_1 (4)'!R35,CNXL_SQL_2!$F:$F)=0,"",SUMIF(CNXL_SQL_2!$E:$E,'PAGE_1 (4)'!R35,CNXL_SQL_2!$F:$F))</f>
        <v/>
      </c>
      <c r="Q35" s="59"/>
      <c r="R35" s="60" t="s">
        <v>62</v>
      </c>
      <c r="S35" s="61" t="s">
        <v>72</v>
      </c>
      <c r="T35" s="60"/>
      <c r="U35" s="60"/>
      <c r="V35" s="59"/>
      <c r="W35" s="57"/>
      <c r="X35" s="57"/>
    </row>
    <row r="36" spans="2:24" ht="15" thickBot="1" x14ac:dyDescent="0.4">
      <c r="B36" s="67" t="s">
        <v>25</v>
      </c>
      <c r="C36" s="81">
        <f>SUMIF(SCH_DEP_SQL_4!$A:$A,'PAGE_1 (4)'!R36,SCH_DEP_SQL_4!$E:$E)</f>
        <v>0</v>
      </c>
      <c r="D36" s="17" t="str">
        <f>IF(SUMIFS(CNXL_SQL_2!$F:$F,CNXL_SQL_2!$A:$A,'PAGE_1 (4)'!$R36,CNXL_SQL_2!$D:$D,'PAGE_1 (4)'!$S$29)=0,"",SUMIFS(CNXL_SQL_2!$F:$F,CNXL_SQL_2!$A:$A,'PAGE_1 (4)'!$R36,CNXL_SQL_2!$D:$D,'PAGE_1 (4)'!$S$29))</f>
        <v/>
      </c>
      <c r="E36" s="17" t="str">
        <f>IF(SUMIFS(CNXL_SQL_2!$F:$F,CNXL_SQL_2!$A:$A,'PAGE_1 (4)'!$R36,CNXL_SQL_2!$D:$D,'PAGE_1 (4)'!$S$30)=0,"",SUMIFS(CNXL_SQL_2!$F:$F,CNXL_SQL_2!$A:$A,'PAGE_1 (4)'!$R36,CNXL_SQL_2!$D:$D,'PAGE_1 (4)'!$S$30))</f>
        <v/>
      </c>
      <c r="F36" s="17" t="str">
        <f>IF(SUMIFS(CNXL_SQL_2!$F:$F,CNXL_SQL_2!$A:$A,'PAGE_1 (4)'!$R36,CNXL_SQL_2!$D:$D,'PAGE_1 (4)'!$S$31)=0,"",SUMIFS(CNXL_SQL_2!$F:$F,CNXL_SQL_2!$A:$A,'PAGE_1 (4)'!$R36,CNXL_SQL_2!$D:$D,'PAGE_1 (4)'!$S$31))</f>
        <v/>
      </c>
      <c r="G36" s="17" t="str">
        <f>IF(SUMIFS(CNXL_SQL_2!$F:$F,CNXL_SQL_2!$A:$A,'PAGE_1 (4)'!$R36,CNXL_SQL_2!$D:$D,'PAGE_1 (4)'!$S$32)=0,"",SUMIFS(CNXL_SQL_2!$F:$F,CNXL_SQL_2!$A:$A,'PAGE_1 (4)'!$R36,CNXL_SQL_2!$D:$D,'PAGE_1 (4)'!$S$32))</f>
        <v/>
      </c>
      <c r="H36" s="17" t="str">
        <f>IF(SUMIFS(CNXL_SQL_2!$F:$F,CNXL_SQL_2!$A:$A,'PAGE_1 (4)'!$R36,CNXL_SQL_2!$D:$D,'PAGE_1 (4)'!$S$33)=0,"",SUMIFS(CNXL_SQL_2!$F:$F,CNXL_SQL_2!$A:$A,'PAGE_1 (4)'!$R36,CNXL_SQL_2!$D:$D,'PAGE_1 (4)'!$S$33))</f>
        <v/>
      </c>
      <c r="I36" s="17" t="str">
        <f>IF(SUMIFS(CNXL_SQL_2!$F:$F,CNXL_SQL_2!$A:$A,'PAGE_1 (4)'!$R36,CNXL_SQL_2!$D:$D,'PAGE_1 (4)'!$S$34)=0,"",SUMIFS(CNXL_SQL_2!$F:$F,CNXL_SQL_2!$A:$A,'PAGE_1 (4)'!$R36,CNXL_SQL_2!$D:$D,'PAGE_1 (4)'!$S$34))</f>
        <v/>
      </c>
      <c r="J36" s="17" t="str">
        <f>IF(SUMIFS(CNXL_SQL_2!$F:$F,CNXL_SQL_2!$A:$A,'PAGE_1 (4)'!$R36,CNXL_SQL_2!$D:$D,'PAGE_1 (4)'!$S$35)=0,"",SUMIFS(CNXL_SQL_2!$F:$F,CNXL_SQL_2!$A:$A,'PAGE_1 (4)'!$R36,CNXL_SQL_2!$D:$D,'PAGE_1 (4)'!$S$35))</f>
        <v/>
      </c>
      <c r="K36" s="17" t="str">
        <f>IF(SUMIFS(CNXL_SQL_2!$F:$F,CNXL_SQL_2!$A:$A,'PAGE_1 (4)'!$R36,CNXL_SQL_2!$D:$D,'PAGE_1 (4)'!$S$36)=0,"",SUMIFS(CNXL_SQL_2!$F:$F,CNXL_SQL_2!$A:$A,'PAGE_1 (4)'!$R36,CNXL_SQL_2!$D:$D,'PAGE_1 (4)'!$S$36))</f>
        <v/>
      </c>
      <c r="L36" s="17" t="str">
        <f>IF(SUMIFS(CNXL_SQL_2!$F:$F,CNXL_SQL_2!$A:$A,'PAGE_1 (4)'!$R36,CNXL_SQL_2!$D:$D,'PAGE_1 (4)'!$S$37)=0,"",SUMIFS(CNXL_SQL_2!$F:$F,CNXL_SQL_2!$A:$A,'PAGE_1 (4)'!$R36,CNXL_SQL_2!$D:$D,'PAGE_1 (4)'!$S$37))</f>
        <v/>
      </c>
      <c r="M36" s="18" t="str">
        <f t="shared" si="0"/>
        <v/>
      </c>
      <c r="N36" s="18" t="str">
        <f>ES_MATRIX!K10</f>
        <v/>
      </c>
      <c r="O36" s="18" t="str">
        <f>IFERROR(M36-ES_MATRIX!L10,"")</f>
        <v/>
      </c>
      <c r="P36" s="16" t="str">
        <f>IF(SUMIF(CNXL_SQL_2!$E:$E,'PAGE_1 (4)'!R36,CNXL_SQL_2!$F:$F)=0,"",SUMIF(CNXL_SQL_2!$E:$E,'PAGE_1 (4)'!R36,CNXL_SQL_2!$F:$F))</f>
        <v/>
      </c>
      <c r="Q36" s="59"/>
      <c r="R36" s="60" t="s">
        <v>59</v>
      </c>
      <c r="S36" s="61" t="s">
        <v>68</v>
      </c>
      <c r="T36" s="60"/>
      <c r="U36" s="60"/>
      <c r="V36" s="59"/>
      <c r="W36" s="57"/>
      <c r="X36" s="57"/>
    </row>
    <row r="37" spans="2:24" ht="15" thickBot="1" x14ac:dyDescent="0.4">
      <c r="B37" s="68" t="s">
        <v>26</v>
      </c>
      <c r="C37" s="82">
        <f>SUM(C29:C36)</f>
        <v>1705</v>
      </c>
      <c r="D37" s="22">
        <f>IF(SUM(D29:D36)=0,"",SUM(D29:D36))</f>
        <v>11</v>
      </c>
      <c r="E37" s="22" t="str">
        <f t="shared" ref="E37:L37" si="1">IF(SUM(E29:E36)=0,"",SUM(E29:E36))</f>
        <v/>
      </c>
      <c r="F37" s="22" t="str">
        <f>IF(SUM(F29:F36)=0,"",SUM(F29:F36))</f>
        <v/>
      </c>
      <c r="G37" s="22" t="str">
        <f t="shared" si="1"/>
        <v/>
      </c>
      <c r="H37" s="22" t="str">
        <f t="shared" si="1"/>
        <v/>
      </c>
      <c r="I37" s="22" t="str">
        <f t="shared" si="1"/>
        <v/>
      </c>
      <c r="J37" s="22" t="str">
        <f t="shared" si="1"/>
        <v/>
      </c>
      <c r="K37" s="22" t="str">
        <f t="shared" si="1"/>
        <v/>
      </c>
      <c r="L37" s="22" t="str">
        <f t="shared" si="1"/>
        <v/>
      </c>
      <c r="M37" s="23">
        <f>SUM(M29:M36)</f>
        <v>11</v>
      </c>
      <c r="N37" s="23"/>
      <c r="O37" s="23">
        <f>SUM(O29:O36)</f>
        <v>11</v>
      </c>
      <c r="P37" s="23">
        <f>SUM(P29:P36)</f>
        <v>0</v>
      </c>
      <c r="Q37" s="59"/>
      <c r="R37" s="60"/>
      <c r="S37" s="61" t="s">
        <v>71</v>
      </c>
      <c r="T37" s="60"/>
      <c r="U37" s="60"/>
      <c r="V37" s="59"/>
      <c r="W37" s="57"/>
      <c r="X37" s="57"/>
    </row>
    <row r="38" spans="2:24" ht="9.4" customHeight="1" x14ac:dyDescent="0.35">
      <c r="B38" s="8"/>
      <c r="C38" s="9"/>
      <c r="D38"/>
      <c r="E38"/>
      <c r="F38"/>
      <c r="G38"/>
      <c r="H38" s="9"/>
      <c r="I38" s="9"/>
      <c r="J38" s="9"/>
      <c r="K38" s="9"/>
      <c r="L38" s="9"/>
      <c r="M38" s="9"/>
      <c r="N38" s="9"/>
      <c r="O38" s="9"/>
      <c r="P38" s="9"/>
      <c r="Q38" s="59"/>
      <c r="R38" s="60"/>
      <c r="S38" s="60"/>
      <c r="T38" s="60"/>
      <c r="U38" s="60"/>
      <c r="V38" s="59"/>
      <c r="W38" s="57"/>
      <c r="X38" s="57"/>
    </row>
    <row r="39" spans="2:24" ht="9.4" customHeight="1" x14ac:dyDescent="0.35">
      <c r="B39" s="8"/>
      <c r="C39" s="9"/>
      <c r="D39"/>
      <c r="E39"/>
      <c r="F39"/>
      <c r="G39"/>
      <c r="H39" s="9"/>
      <c r="I39" s="9"/>
      <c r="J39" s="9"/>
      <c r="K39" s="9"/>
      <c r="L39" s="9"/>
      <c r="M39" s="9"/>
      <c r="N39" s="9"/>
      <c r="O39" s="9"/>
      <c r="P39" s="9"/>
      <c r="Q39" s="59"/>
      <c r="R39" s="60"/>
      <c r="S39" s="60"/>
      <c r="T39" s="60"/>
      <c r="U39" s="60"/>
      <c r="V39" s="59"/>
      <c r="W39" s="57"/>
      <c r="X39" s="57"/>
    </row>
    <row r="40" spans="2:24" ht="9.4" customHeight="1" thickBot="1" x14ac:dyDescent="0.35">
      <c r="Q40" s="59"/>
      <c r="R40" s="60"/>
      <c r="S40" s="60"/>
      <c r="T40" s="60"/>
      <c r="U40" s="60"/>
      <c r="V40" s="59"/>
      <c r="W40" s="57"/>
      <c r="X40" s="57"/>
    </row>
    <row r="41" spans="2:24" ht="16" thickBot="1" x14ac:dyDescent="0.35">
      <c r="B41" s="299" t="s">
        <v>28</v>
      </c>
      <c r="C41" s="300"/>
      <c r="D41" s="300"/>
      <c r="E41" s="300"/>
      <c r="F41" s="300"/>
      <c r="G41" s="300"/>
      <c r="H41" s="300"/>
      <c r="I41" s="300"/>
      <c r="J41" s="300"/>
      <c r="K41" s="300"/>
      <c r="L41" s="300"/>
      <c r="M41" s="300"/>
      <c r="N41" s="300"/>
      <c r="O41" s="300"/>
      <c r="P41" s="300"/>
      <c r="Q41" s="59"/>
      <c r="R41" s="60"/>
      <c r="S41" s="60"/>
      <c r="T41" s="60"/>
      <c r="U41" s="60"/>
      <c r="V41" s="59"/>
      <c r="W41" s="57"/>
      <c r="X41" s="57"/>
    </row>
    <row r="42" spans="2:24" ht="30.65" customHeight="1" thickBot="1" x14ac:dyDescent="0.35">
      <c r="B42" s="70" t="s">
        <v>3</v>
      </c>
      <c r="C42" s="71" t="s">
        <v>85</v>
      </c>
      <c r="D42" s="72" t="s">
        <v>79</v>
      </c>
      <c r="E42" s="72" t="s">
        <v>80</v>
      </c>
      <c r="F42" s="72" t="s">
        <v>81</v>
      </c>
      <c r="G42" s="72" t="s">
        <v>82</v>
      </c>
      <c r="H42" s="72" t="s">
        <v>83</v>
      </c>
      <c r="I42" s="72" t="s">
        <v>84</v>
      </c>
      <c r="J42" s="72" t="s">
        <v>15</v>
      </c>
      <c r="K42" s="72" t="s">
        <v>16</v>
      </c>
      <c r="L42" s="72" t="s">
        <v>66</v>
      </c>
      <c r="M42" s="73" t="s">
        <v>29</v>
      </c>
      <c r="N42" s="74" t="s">
        <v>47</v>
      </c>
      <c r="O42" s="74" t="s">
        <v>73</v>
      </c>
      <c r="P42" s="74" t="s">
        <v>46</v>
      </c>
      <c r="Q42" s="59"/>
      <c r="R42" s="59"/>
      <c r="S42" s="59"/>
      <c r="T42" s="59"/>
      <c r="U42" s="59"/>
      <c r="V42" s="59"/>
      <c r="W42" s="57"/>
      <c r="X42" s="57"/>
    </row>
    <row r="43" spans="2:24" ht="13" x14ac:dyDescent="0.3">
      <c r="B43" s="66" t="s">
        <v>18</v>
      </c>
      <c r="C43" s="80">
        <f>SUMIF(SCH_DEP_SQL_4!$A:$A,'PAGE_1 (4)'!R29,SCH_DEP_SQL_4!$E:$E)</f>
        <v>0</v>
      </c>
      <c r="D43" s="12" t="str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2" t="str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2" t="str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2" t="str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2" t="str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2" t="str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2" t="str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2" t="str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2" t="str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7" t="str">
        <f>IF(SUM(D43:L43)=0,"",SUM(D43:L43))</f>
        <v/>
      </c>
      <c r="N43" s="37" t="str">
        <f>ES_MATRIX!K14</f>
        <v/>
      </c>
      <c r="O43" s="14" t="str">
        <f>IFERROR(M43-ES_MATRIX!L14,"")</f>
        <v/>
      </c>
      <c r="P43" s="40" t="str">
        <f>IF(SUMIF(RES_CNXL_SQL_3!$E:$E,'PAGE_1 (4)'!R29,RES_CNXL_SQL_3!$F:$F)=0,"",SUMIF(RES_CNXL_SQL_3!$E:$E,'PAGE_1 (4)'!R29,RES_CNXL_SQL_3!$F:$F))</f>
        <v/>
      </c>
      <c r="Q43" s="57"/>
      <c r="R43" s="57"/>
      <c r="S43" s="57"/>
      <c r="T43" s="57"/>
      <c r="U43" s="57"/>
      <c r="V43" s="57"/>
      <c r="W43" s="57"/>
      <c r="X43" s="57"/>
    </row>
    <row r="44" spans="2:24" ht="13" x14ac:dyDescent="0.3">
      <c r="B44" s="67" t="s">
        <v>19</v>
      </c>
      <c r="C44" s="81">
        <f>SUMIF(SCH_DEP_SQL_4!$A:$A,'PAGE_1 (4)'!R30,SCH_DEP_SQL_4!$E:$E)</f>
        <v>816</v>
      </c>
      <c r="D44" s="17">
        <f>IF(SUMIFS(RES_CNXL_SQL_3!$F:$F,RES_CNXL_SQL_3!$A:$A,'PAGE_1 (4)'!$R30,RES_CNXL_SQL_3!$D:$D,'PAGE_1 (4)'!$S$29)=0,"",SUMIFS(RES_CNXL_SQL_3!$F:$F,RES_CNXL_SQL_3!$A:$A,'PAGE_1 (4)'!$R30,RES_CNXL_SQL_3!$D:$D,'PAGE_1 (4)'!$S$29))</f>
        <v>6</v>
      </c>
      <c r="E44" s="17" t="str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7" t="str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7" t="str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7" t="str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7" t="str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7" t="str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7" t="str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7" t="str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8">
        <f t="shared" ref="M44:M50" si="2">IF(SUM(D44:L44)=0,"",SUM(D44:L44))</f>
        <v>6</v>
      </c>
      <c r="N44" s="18" t="str">
        <f>ES_MATRIX!K15</f>
        <v/>
      </c>
      <c r="O44" s="18">
        <f>IFERROR(M44-ES_MATRIX!L15,"")</f>
        <v>6</v>
      </c>
      <c r="P44" s="16" t="str">
        <f>IF(SUMIF(RES_CNXL_SQL_3!$E:$E,'PAGE_1 (4)'!R30,RES_CNXL_SQL_3!$F:$F)=0,"",SUMIF(RES_CNXL_SQL_3!$E:$E,'PAGE_1 (4)'!R30,RES_CNXL_SQL_3!$F:$F))</f>
        <v/>
      </c>
    </row>
    <row r="45" spans="2:24" ht="13" x14ac:dyDescent="0.3">
      <c r="B45" s="66" t="s">
        <v>20</v>
      </c>
      <c r="C45" s="80">
        <f>SUMIF(SCH_DEP_SQL_4!$A:$A,'PAGE_1 (4)'!R31,SCH_DEP_SQL_4!$E:$E)</f>
        <v>0</v>
      </c>
      <c r="D45" s="12" t="str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2" t="str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2" t="str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2" t="str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2" t="str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2" t="str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2" t="str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2" t="str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2" t="str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42" t="str">
        <f t="shared" si="2"/>
        <v/>
      </c>
      <c r="N45" s="38" t="str">
        <f>ES_MATRIX!K16</f>
        <v/>
      </c>
      <c r="O45" s="14" t="str">
        <f>IFERROR(M45-ES_MATRIX!L16,"")</f>
        <v/>
      </c>
      <c r="P45" s="40" t="str">
        <f>IF(SUMIF(RES_CNXL_SQL_3!$E:$E,'PAGE_1 (4)'!R31,RES_CNXL_SQL_3!$F:$F)=0,"",SUMIF(RES_CNXL_SQL_3!$E:$E,'PAGE_1 (4)'!R31,RES_CNXL_SQL_3!$F:$F))</f>
        <v/>
      </c>
    </row>
    <row r="46" spans="2:24" ht="13" x14ac:dyDescent="0.3">
      <c r="B46" s="67" t="s">
        <v>21</v>
      </c>
      <c r="C46" s="81">
        <f>SUMIF(SCH_DEP_SQL_4!$A:$A,'PAGE_1 (4)'!R32,SCH_DEP_SQL_4!$E:$E)</f>
        <v>297</v>
      </c>
      <c r="D46" s="17" t="str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7" t="str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7" t="str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7" t="str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7" t="str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7" t="str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7" t="str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7" t="str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7" t="str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8" t="str">
        <f t="shared" si="2"/>
        <v/>
      </c>
      <c r="N46" s="18" t="str">
        <f>ES_MATRIX!K17</f>
        <v/>
      </c>
      <c r="O46" s="18" t="str">
        <f>IFERROR(M46-ES_MATRIX!L17,"")</f>
        <v/>
      </c>
      <c r="P46" s="16" t="str">
        <f>IF(SUMIF(RES_CNXL_SQL_3!$E:$E,'PAGE_1 (4)'!R32,RES_CNXL_SQL_3!$F:$F)=0,"",SUMIF(RES_CNXL_SQL_3!$E:$E,'PAGE_1 (4)'!R32,RES_CNXL_SQL_3!$F:$F))</f>
        <v/>
      </c>
    </row>
    <row r="47" spans="2:24" ht="13" x14ac:dyDescent="0.3">
      <c r="B47" s="66" t="s">
        <v>22</v>
      </c>
      <c r="C47" s="80">
        <f>SUMIF(SCH_DEP_SQL_4!$A:$A,'PAGE_1 (4)'!R33,SCH_DEP_SQL_4!$E:$E)</f>
        <v>186</v>
      </c>
      <c r="D47" s="12" t="str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2" t="str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2" t="str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2" t="str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2">
        <f>IF(SUMIFS(RES_CNXL_SQL_3!$F:$F,RES_CNXL_SQL_3!$A:$A,'PAGE_1 (4)'!$R33,RES_CNXL_SQL_3!$D:$D,'PAGE_1 (4)'!$S$33)=0,"",SUMIFS(RES_CNXL_SQL_3!$F:$F,RES_CNXL_SQL_3!$A:$A,'PAGE_1 (4)'!$R33,RES_CNXL_SQL_3!$D:$D,'PAGE_1 (4)'!$S$33))</f>
        <v>1</v>
      </c>
      <c r="I47" s="12" t="str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2" t="str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2" t="str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2" t="str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42">
        <f t="shared" si="2"/>
        <v>1</v>
      </c>
      <c r="N47" s="38" t="str">
        <f>ES_MATRIX!K18</f>
        <v/>
      </c>
      <c r="O47" s="14">
        <f>IFERROR(M47-ES_MATRIX!L18,"")</f>
        <v>1</v>
      </c>
      <c r="P47" s="40" t="str">
        <f>IF(SUMIF(RES_CNXL_SQL_3!$E:$E,'PAGE_1 (4)'!R33,RES_CNXL_SQL_3!$F:$F)=0,"",SUMIF(RES_CNXL_SQL_3!$E:$E,'PAGE_1 (4)'!R33,RES_CNXL_SQL_3!$F:$F))</f>
        <v/>
      </c>
    </row>
    <row r="48" spans="2:24" ht="13" x14ac:dyDescent="0.3">
      <c r="B48" s="67" t="s">
        <v>23</v>
      </c>
      <c r="C48" s="81">
        <f>SUMIF(SCH_DEP_SQL_4!$A:$A,'PAGE_1 (4)'!R34,SCH_DEP_SQL_4!$E:$E)</f>
        <v>193</v>
      </c>
      <c r="D48" s="17" t="str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7" t="str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7" t="str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7" t="str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7" t="str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7" t="str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7" t="str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7" t="str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7" t="str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41" t="str">
        <f t="shared" si="2"/>
        <v/>
      </c>
      <c r="N48" s="18" t="str">
        <f>ES_MATRIX!K19</f>
        <v/>
      </c>
      <c r="O48" s="18" t="str">
        <f>IFERROR(M48-ES_MATRIX!L19,"")</f>
        <v/>
      </c>
      <c r="P48" s="16" t="str">
        <f>IF(SUMIF(RES_CNXL_SQL_3!$E:$E,'PAGE_1 (4)'!R34,RES_CNXL_SQL_3!$F:$F)=0,"",SUMIF(RES_CNXL_SQL_3!$E:$E,'PAGE_1 (4)'!R34,RES_CNXL_SQL_3!$F:$F))</f>
        <v/>
      </c>
    </row>
    <row r="49" spans="2:16" ht="13" x14ac:dyDescent="0.3">
      <c r="B49" s="66" t="s">
        <v>24</v>
      </c>
      <c r="C49" s="80">
        <f>SUMIF(SCH_DEP_SQL_4!$A:$A,'PAGE_1 (4)'!R35,SCH_DEP_SQL_4!$E:$E)</f>
        <v>213</v>
      </c>
      <c r="D49" s="12" t="str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2" t="str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2" t="str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2" t="str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2" t="str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2" t="str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2" t="str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2" t="str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2" t="str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8" t="str">
        <f t="shared" si="2"/>
        <v/>
      </c>
      <c r="N49" s="38" t="str">
        <f>ES_MATRIX!K20</f>
        <v/>
      </c>
      <c r="O49" s="14" t="str">
        <f>IFERROR(M49-ES_MATRIX!L20,"")</f>
        <v/>
      </c>
      <c r="P49" s="40" t="str">
        <f>IF(SUMIF(RES_CNXL_SQL_3!$E:$E,'PAGE_1 (4)'!R35,RES_CNXL_SQL_3!$F:$F)=0,"",SUMIF(RES_CNXL_SQL_3!$E:$E,'PAGE_1 (4)'!R35,RES_CNXL_SQL_3!$F:$F))</f>
        <v/>
      </c>
    </row>
    <row r="50" spans="2:16" ht="13.5" thickBot="1" x14ac:dyDescent="0.35">
      <c r="B50" s="67" t="s">
        <v>25</v>
      </c>
      <c r="C50" s="81">
        <f>SUMIF(SCH_DEP_SQL_4!$A:$A,'PAGE_1 (4)'!R36,SCH_DEP_SQL_4!$E:$E)</f>
        <v>0</v>
      </c>
      <c r="D50" s="17" t="str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7" t="str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7" t="str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7" t="str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7" t="str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7" t="str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7" t="str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7" t="str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7" t="str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8" t="str">
        <f t="shared" si="2"/>
        <v/>
      </c>
      <c r="N50" s="18" t="str">
        <f>ES_MATRIX!K21</f>
        <v/>
      </c>
      <c r="O50" s="18" t="str">
        <f>IFERROR(M50-ES_MATRIX!L21,"")</f>
        <v/>
      </c>
      <c r="P50" s="16" t="str">
        <f>IF(SUMIF(RES_CNXL_SQL_3!$E:$E,'PAGE_1 (4)'!R36,RES_CNXL_SQL_3!$F:$F)=0,"",SUMIF(RES_CNXL_SQL_3!$E:$E,'PAGE_1 (4)'!R36,RES_CNXL_SQL_3!$F:$F))</f>
        <v/>
      </c>
    </row>
    <row r="51" spans="2:16" ht="13.5" thickBot="1" x14ac:dyDescent="0.35">
      <c r="B51" s="68" t="s">
        <v>26</v>
      </c>
      <c r="C51" s="82">
        <f>SUM(C43:C50)</f>
        <v>1705</v>
      </c>
      <c r="D51" s="22">
        <f>IF(SUM(D43:D50)=0,"",SUM(D43:D50))</f>
        <v>6</v>
      </c>
      <c r="E51" s="22" t="str">
        <f t="shared" ref="E51:L51" si="3">IF(SUM(E43:E50)=0,"",SUM(E43:E50))</f>
        <v/>
      </c>
      <c r="F51" s="22" t="str">
        <f t="shared" si="3"/>
        <v/>
      </c>
      <c r="G51" s="22" t="str">
        <f t="shared" si="3"/>
        <v/>
      </c>
      <c r="H51" s="22">
        <f t="shared" si="3"/>
        <v>1</v>
      </c>
      <c r="I51" s="22" t="str">
        <f t="shared" si="3"/>
        <v/>
      </c>
      <c r="J51" s="22" t="str">
        <f t="shared" si="3"/>
        <v/>
      </c>
      <c r="K51" s="22" t="str">
        <f t="shared" si="3"/>
        <v/>
      </c>
      <c r="L51" s="22" t="str">
        <f t="shared" si="3"/>
        <v/>
      </c>
      <c r="M51" s="23">
        <f>SUM(M43:M50)</f>
        <v>7</v>
      </c>
      <c r="N51" s="23"/>
      <c r="O51" s="23">
        <f>SUM(O43:O50)</f>
        <v>7</v>
      </c>
      <c r="P51" s="23">
        <f>SUM(P43:P50)</f>
        <v>0</v>
      </c>
    </row>
    <row r="52" spans="2:16" ht="21" customHeight="1" x14ac:dyDescent="0.3">
      <c r="C52" s="69"/>
    </row>
  </sheetData>
  <mergeCells count="13">
    <mergeCell ref="B27:P27"/>
    <mergeCell ref="B41:P41"/>
    <mergeCell ref="E19:F19"/>
    <mergeCell ref="E20:F20"/>
    <mergeCell ref="E21:F21"/>
    <mergeCell ref="E22:F22"/>
    <mergeCell ref="E23:F23"/>
    <mergeCell ref="E18:F18"/>
    <mergeCell ref="E24:F24"/>
    <mergeCell ref="B2:C2"/>
    <mergeCell ref="D2:E2"/>
    <mergeCell ref="B4:H4"/>
    <mergeCell ref="B16:K16"/>
  </mergeCells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dxfId="153" priority="73" rank="1"/>
  </conditionalFormatting>
  <conditionalFormatting sqref="E29:E36">
    <cfRule type="top10" dxfId="152" priority="72" rank="1"/>
  </conditionalFormatting>
  <conditionalFormatting sqref="F29:F36">
    <cfRule type="top10" dxfId="151" priority="71" rank="1"/>
  </conditionalFormatting>
  <conditionalFormatting sqref="G29:G36">
    <cfRule type="top10" dxfId="150" priority="70" rank="1"/>
  </conditionalFormatting>
  <conditionalFormatting sqref="H29:H36">
    <cfRule type="top10" dxfId="149" priority="69" rank="1"/>
  </conditionalFormatting>
  <conditionalFormatting sqref="I29:I36">
    <cfRule type="top10" dxfId="148" priority="68" rank="1"/>
  </conditionalFormatting>
  <conditionalFormatting sqref="J29:J36">
    <cfRule type="top10" dxfId="147" priority="67" rank="1"/>
  </conditionalFormatting>
  <conditionalFormatting sqref="K29:K36">
    <cfRule type="top10" dxfId="146" priority="66" rank="1"/>
  </conditionalFormatting>
  <conditionalFormatting sqref="L29:L36">
    <cfRule type="top10" dxfId="145" priority="65" rank="1"/>
  </conditionalFormatting>
  <conditionalFormatting sqref="D43:D50">
    <cfRule type="top10" dxfId="144" priority="64" rank="1"/>
  </conditionalFormatting>
  <conditionalFormatting sqref="E43:E50">
    <cfRule type="top10" dxfId="143" priority="63" rank="1"/>
  </conditionalFormatting>
  <conditionalFormatting sqref="F43:F50">
    <cfRule type="top10" dxfId="142" priority="62" rank="1"/>
  </conditionalFormatting>
  <conditionalFormatting sqref="G43:G50">
    <cfRule type="top10" dxfId="141" priority="61" rank="1"/>
  </conditionalFormatting>
  <conditionalFormatting sqref="H43:H50">
    <cfRule type="top10" dxfId="140" priority="60" rank="1"/>
  </conditionalFormatting>
  <conditionalFormatting sqref="I43:I50">
    <cfRule type="top10" dxfId="139" priority="59" rank="1"/>
  </conditionalFormatting>
  <conditionalFormatting sqref="J43:J50">
    <cfRule type="top10" dxfId="138" priority="58" rank="1"/>
  </conditionalFormatting>
  <conditionalFormatting sqref="K43:K50">
    <cfRule type="top10" dxfId="137" priority="57" rank="1"/>
  </conditionalFormatting>
  <conditionalFormatting sqref="L43:L50">
    <cfRule type="top10" dxfId="136" priority="56" rank="1"/>
  </conditionalFormatting>
  <conditionalFormatting sqref="F6">
    <cfRule type="cellIs" dxfId="135" priority="53" operator="greaterThan">
      <formula>0</formula>
    </cfRule>
    <cfRule type="cellIs" dxfId="134" priority="55" operator="lessThan">
      <formula>0</formula>
    </cfRule>
  </conditionalFormatting>
  <conditionalFormatting sqref="F7">
    <cfRule type="cellIs" dxfId="133" priority="54" operator="lessThan">
      <formula>0</formula>
    </cfRule>
  </conditionalFormatting>
  <conditionalFormatting sqref="G6">
    <cfRule type="cellIs" dxfId="132" priority="51" operator="greaterThan">
      <formula>0</formula>
    </cfRule>
    <cfRule type="cellIs" dxfId="131" priority="52" operator="lessThan">
      <formula>0</formula>
    </cfRule>
  </conditionalFormatting>
  <conditionalFormatting sqref="G7">
    <cfRule type="cellIs" dxfId="130" priority="48" operator="greaterThan">
      <formula>0</formula>
    </cfRule>
    <cfRule type="cellIs" dxfId="129" priority="49" operator="greaterThan">
      <formula>0</formula>
    </cfRule>
    <cfRule type="cellIs" dxfId="128" priority="50" operator="lessThan">
      <formula>0</formula>
    </cfRule>
  </conditionalFormatting>
  <conditionalFormatting sqref="G8">
    <cfRule type="cellIs" dxfId="127" priority="45" operator="greaterThan">
      <formula>0</formula>
    </cfRule>
    <cfRule type="cellIs" dxfId="126" priority="46" operator="greaterThan">
      <formula>0</formula>
    </cfRule>
    <cfRule type="cellIs" dxfId="125" priority="47" operator="lessThan">
      <formula>0</formula>
    </cfRule>
  </conditionalFormatting>
  <conditionalFormatting sqref="F8">
    <cfRule type="cellIs" dxfId="124" priority="42" operator="greaterThan">
      <formula>0</formula>
    </cfRule>
    <cfRule type="cellIs" dxfId="123" priority="43" operator="greaterThan">
      <formula>0</formula>
    </cfRule>
    <cfRule type="cellIs" dxfId="122" priority="44" operator="lessThan">
      <formula>0</formula>
    </cfRule>
  </conditionalFormatting>
  <conditionalFormatting sqref="E19:E22">
    <cfRule type="cellIs" dxfId="121" priority="31" operator="greaterThan">
      <formula>0</formula>
    </cfRule>
    <cfRule type="cellIs" dxfId="120" priority="32" operator="lessThan">
      <formula>0</formula>
    </cfRule>
  </conditionalFormatting>
  <conditionalFormatting sqref="I19">
    <cfRule type="cellIs" dxfId="119" priority="17" operator="greaterThan">
      <formula>0</formula>
    </cfRule>
    <cfRule type="cellIs" dxfId="118" priority="18" operator="lessThan">
      <formula>0</formula>
    </cfRule>
  </conditionalFormatting>
  <conditionalFormatting sqref="I20">
    <cfRule type="cellIs" dxfId="117" priority="15" operator="greaterThan">
      <formula>0</formula>
    </cfRule>
    <cfRule type="cellIs" dxfId="116" priority="16" operator="lessThan">
      <formula>0</formula>
    </cfRule>
  </conditionalFormatting>
  <conditionalFormatting sqref="J19">
    <cfRule type="cellIs" dxfId="115" priority="13" operator="greaterThan">
      <formula>0</formula>
    </cfRule>
    <cfRule type="cellIs" dxfId="114" priority="14" operator="lessThan">
      <formula>0</formula>
    </cfRule>
  </conditionalFormatting>
  <conditionalFormatting sqref="J20">
    <cfRule type="cellIs" dxfId="113" priority="11" operator="greaterThan">
      <formula>0</formula>
    </cfRule>
    <cfRule type="cellIs" dxfId="112" priority="12" operator="lessThan">
      <formula>0</formula>
    </cfRule>
  </conditionalFormatting>
  <conditionalFormatting sqref="J21">
    <cfRule type="cellIs" dxfId="111" priority="9" operator="greaterThan">
      <formula>0</formula>
    </cfRule>
    <cfRule type="cellIs" dxfId="110" priority="10" operator="lessThan">
      <formula>0</formula>
    </cfRule>
  </conditionalFormatting>
  <conditionalFormatting sqref="I22">
    <cfRule type="cellIs" dxfId="109" priority="7" operator="greaterThanOrEqual">
      <formula>0</formula>
    </cfRule>
    <cfRule type="cellIs" dxfId="108" priority="8" operator="lessThan">
      <formula>0</formula>
    </cfRule>
  </conditionalFormatting>
  <conditionalFormatting sqref="J22">
    <cfRule type="cellIs" dxfId="107" priority="5" operator="greaterThanOrEqual">
      <formula>0</formula>
    </cfRule>
    <cfRule type="cellIs" dxfId="106" priority="6" operator="lessThan">
      <formula>0</formula>
    </cfRule>
  </conditionalFormatting>
  <conditionalFormatting sqref="J23">
    <cfRule type="cellIs" dxfId="105" priority="3" operator="greaterThan">
      <formula>0</formula>
    </cfRule>
    <cfRule type="cellIs" dxfId="104" priority="4" operator="lessThan">
      <formula>0</formula>
    </cfRule>
  </conditionalFormatting>
  <conditionalFormatting sqref="E23:E24">
    <cfRule type="cellIs" dxfId="103" priority="1" operator="greaterThan">
      <formula>0</formula>
    </cfRule>
    <cfRule type="cellIs" dxfId="102" priority="2" operator="lessThan">
      <formula>0</formula>
    </cfRule>
  </conditionalFormatting>
  <pageMargins left="1" right="1" top="1" bottom="1" header="0.5" footer="0.5"/>
  <pageSetup scale="52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6" id="{414B316D-A3C1-41B0-B631-5A1CA0D08472}">
            <x14:iconSet iconSet="3Triangles" custom="1">
              <x14:cfvo type="percent">
                <xm:f>0</xm:f>
              </x14:cfvo>
              <x14:cfvo type="num">
                <xm:f>RANK!$M$2</xm:f>
              </x14:cfvo>
              <x14:cfvo type="num" gte="0">
                <xm:f>RANK!$M$2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H6</xm:sqref>
        </x14:conditionalFormatting>
        <x14:conditionalFormatting xmlns:xm="http://schemas.microsoft.com/office/excel/2006/main">
          <x14:cfRule type="iconSet" priority="88" id="{125761AF-16FE-40A1-AF52-DB6697E272AC}">
            <x14:iconSet custom="1">
              <x14:cfvo type="percent">
                <xm:f>0</xm:f>
              </x14:cfvo>
              <x14:cfvo type="num">
                <xm:f>$E$6</xm:f>
              </x14:cfvo>
              <x14:cfvo type="num">
                <xm:f>$E$6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C6</xm:sqref>
        </x14:conditionalFormatting>
        <x14:conditionalFormatting xmlns:xm="http://schemas.microsoft.com/office/excel/2006/main">
          <x14:cfRule type="iconSet" priority="84" id="{0C3E749C-061A-43E4-8343-8C90876A5EB1}">
            <x14:iconSet iconSet="3Triangles" custom="1">
              <x14:cfvo type="percent">
                <xm:f>0</xm:f>
              </x14:cfvo>
              <x14:cfvo type="num">
                <xm:f>RANK!$M$3</xm:f>
              </x14:cfvo>
              <x14:cfvo type="num" gte="0">
                <xm:f>RANK!$M$3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H7</xm:sqref>
        </x14:conditionalFormatting>
        <x14:conditionalFormatting xmlns:xm="http://schemas.microsoft.com/office/excel/2006/main">
          <x14:cfRule type="iconSet" priority="83" id="{4F25CD4B-0C90-4D6F-8E9B-CF0A201B42EB}">
            <x14:iconSet iconSet="3Triangles" custom="1">
              <x14:cfvo type="percent">
                <xm:f>0</xm:f>
              </x14:cfvo>
              <x14:cfvo type="num">
                <xm:f>RANK!$M$4</xm:f>
              </x14:cfvo>
              <x14:cfvo type="num" gte="0">
                <xm:f>RANK!$M$4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H8</xm:sqref>
        </x14:conditionalFormatting>
        <x14:conditionalFormatting xmlns:xm="http://schemas.microsoft.com/office/excel/2006/main">
          <x14:cfRule type="iconSet" priority="41" id="{5E1B523C-A42D-4DF3-9659-61ECD699F71F}">
            <x14:iconSet iconSet="3Triangles" custom="1">
              <x14:cfvo type="percent">
                <xm:f>0</xm:f>
              </x14:cfvo>
              <x14:cfvo type="num">
                <xm:f>RANK!$M$2</xm:f>
              </x14:cfvo>
              <x14:cfvo type="num" gte="0">
                <xm:f>RANK!$M$2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K19:K23</xm:sqref>
        </x14:conditionalFormatting>
        <x14:conditionalFormatting xmlns:xm="http://schemas.microsoft.com/office/excel/2006/main">
          <x14:cfRule type="iconSet" priority="40" id="{440B4A23-D906-4987-A359-F695FCD7841D}">
            <x14:iconSet iconSet="3Triangles" custom="1">
              <x14:cfvo type="percent">
                <xm:f>0</xm:f>
              </x14:cfvo>
              <x14:cfvo type="num">
                <xm:f>RANK!$M$2</xm:f>
              </x14:cfvo>
              <x14:cfvo type="num" gte="0">
                <xm:f>RANK!$M$2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G19</xm:sqref>
        </x14:conditionalFormatting>
        <x14:conditionalFormatting xmlns:xm="http://schemas.microsoft.com/office/excel/2006/main">
          <x14:cfRule type="iconSet" priority="39" id="{B5584CB7-39FA-496A-9EEF-F8A76C05304E}">
            <x14:iconSet iconSet="3Triangles" custom="1">
              <x14:cfvo type="percent">
                <xm:f>0</xm:f>
              </x14:cfvo>
              <x14:cfvo type="num">
                <xm:f>RANK!$M$2</xm:f>
              </x14:cfvo>
              <x14:cfvo type="num" gte="0">
                <xm:f>RANK!$M$2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G20</xm:sqref>
        </x14:conditionalFormatting>
        <x14:conditionalFormatting xmlns:xm="http://schemas.microsoft.com/office/excel/2006/main">
          <x14:cfRule type="iconSet" priority="38" id="{51D80CA7-E973-4900-A581-2675DC0C9C35}">
            <x14:iconSet iconSet="3Triangles" custom="1">
              <x14:cfvo type="percent">
                <xm:f>0</xm:f>
              </x14:cfvo>
              <x14:cfvo type="num">
                <xm:f>RANK!$M$2</xm:f>
              </x14:cfvo>
              <x14:cfvo type="num" gte="0">
                <xm:f>RANK!$M$2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G21</xm:sqref>
        </x14:conditionalFormatting>
        <x14:conditionalFormatting xmlns:xm="http://schemas.microsoft.com/office/excel/2006/main">
          <x14:cfRule type="iconSet" priority="37" id="{84ACDBF4-DDAD-46E8-A3CC-B3296E673B25}">
            <x14:iconSet iconSet="3Triangles" custom="1">
              <x14:cfvo type="percent">
                <xm:f>0</xm:f>
              </x14:cfvo>
              <x14:cfvo type="num">
                <xm:f>RANK!$M$2</xm:f>
              </x14:cfvo>
              <x14:cfvo type="num" gte="0">
                <xm:f>RANK!$M$2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G22</xm:sqref>
        </x14:conditionalFormatting>
        <x14:conditionalFormatting xmlns:xm="http://schemas.microsoft.com/office/excel/2006/main">
          <x14:cfRule type="iconSet" priority="36" id="{6E6A6867-CC75-4C79-8B90-2F315A92BB02}">
            <x14:iconSet iconSet="3Triangles" custom="1">
              <x14:cfvo type="percent">
                <xm:f>0</xm:f>
              </x14:cfvo>
              <x14:cfvo type="num">
                <xm:f>RANK!$M$2</xm:f>
              </x14:cfvo>
              <x14:cfvo type="num" gte="0">
                <xm:f>RANK!$M$2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G23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tabColor theme="9" tint="-0.249977111117893"/>
    <pageSetUpPr fitToPage="1"/>
  </sheetPr>
  <dimension ref="B1:X52"/>
  <sheetViews>
    <sheetView showGridLines="0" topLeftCell="A2" zoomScale="85" zoomScaleNormal="85" workbookViewId="0">
      <selection activeCell="B22" sqref="B22"/>
    </sheetView>
  </sheetViews>
  <sheetFormatPr defaultColWidth="8.7265625" defaultRowHeight="12" x14ac:dyDescent="0.3"/>
  <cols>
    <col min="1" max="1" width="6" style="1" customWidth="1"/>
    <col min="2" max="2" width="21.26953125" style="1" customWidth="1"/>
    <col min="3" max="3" width="10.81640625" style="1" bestFit="1" customWidth="1"/>
    <col min="4" max="4" width="11" style="1" customWidth="1"/>
    <col min="5" max="5" width="9.7265625" style="1" bestFit="1" customWidth="1"/>
    <col min="6" max="6" width="11.7265625" style="1" bestFit="1" customWidth="1"/>
    <col min="7" max="7" width="11.81640625" style="1" bestFit="1" customWidth="1"/>
    <col min="8" max="8" width="10.54296875" style="1" customWidth="1"/>
    <col min="9" max="9" width="9.7265625" style="1" customWidth="1"/>
    <col min="10" max="10" width="8.54296875" style="1" customWidth="1"/>
    <col min="11" max="11" width="11.54296875" style="1" customWidth="1"/>
    <col min="12" max="12" width="9" style="1" customWidth="1"/>
    <col min="13" max="13" width="10.81640625" style="1" customWidth="1"/>
    <col min="14" max="14" width="16.1796875" style="1" customWidth="1"/>
    <col min="15" max="15" width="7.54296875" style="1" customWidth="1"/>
    <col min="16" max="16" width="11.7265625" style="1" customWidth="1"/>
    <col min="17" max="17" width="6.7265625" style="1" customWidth="1"/>
    <col min="18" max="16384" width="8.7265625" style="1"/>
  </cols>
  <sheetData>
    <row r="1" spans="2:24" ht="21" customHeight="1" thickBot="1" x14ac:dyDescent="0.35"/>
    <row r="2" spans="2:24" ht="28.9" customHeight="1" x14ac:dyDescent="0.3">
      <c r="B2" s="291" t="s">
        <v>39</v>
      </c>
      <c r="C2" s="292"/>
      <c r="D2" s="293">
        <f ca="1">TODAY()-1</f>
        <v>45644</v>
      </c>
      <c r="E2" s="294"/>
    </row>
    <row r="3" spans="2:24" customFormat="1" ht="15" thickBot="1" x14ac:dyDescent="0.4">
      <c r="F3" s="1"/>
      <c r="J3" s="85"/>
      <c r="K3" s="85"/>
      <c r="L3" s="85"/>
      <c r="M3" s="84"/>
    </row>
    <row r="4" spans="2:24" ht="18" customHeight="1" thickBot="1" x14ac:dyDescent="0.4">
      <c r="B4" s="297" t="s">
        <v>100</v>
      </c>
      <c r="C4" s="298"/>
      <c r="D4" s="298"/>
      <c r="E4" s="298"/>
      <c r="F4" s="298"/>
      <c r="G4" s="298"/>
      <c r="H4" s="298"/>
      <c r="I4"/>
    </row>
    <row r="5" spans="2:24" ht="19.899999999999999" customHeight="1" thickBot="1" x14ac:dyDescent="0.4">
      <c r="B5" s="64" t="s">
        <v>33</v>
      </c>
      <c r="C5" s="49">
        <f ca="1">TODAY()-1</f>
        <v>45644</v>
      </c>
      <c r="D5" s="45" t="s">
        <v>37</v>
      </c>
      <c r="E5" s="45" t="s">
        <v>30</v>
      </c>
      <c r="F5" s="45" t="s">
        <v>77</v>
      </c>
      <c r="G5" s="45" t="s">
        <v>78</v>
      </c>
      <c r="H5" s="46" t="s">
        <v>38</v>
      </c>
      <c r="I5"/>
    </row>
    <row r="6" spans="2:24" ht="19.149999999999999" customHeight="1" x14ac:dyDescent="0.35">
      <c r="B6" s="62" t="s">
        <v>1</v>
      </c>
      <c r="C6" s="77">
        <f>UA_SQL_1!N2/UA_SQL_1!M2</f>
        <v>852.5</v>
      </c>
      <c r="D6" s="77">
        <f>UA_SQL_1!F2/UA_SQL_1!E2</f>
        <v>4.0492957746478871E-3</v>
      </c>
      <c r="E6" s="29">
        <f>SUMIF(EX_Goals!$B:$B,PAGE_1_old!#REF!,EX_Goals!$E:$E)</f>
        <v>0</v>
      </c>
      <c r="F6" s="83">
        <f>((UA_SQL_1!$N$2/UA_SQL_1!$M$2)-(SUMIF(OA_SQL_1!$A$1:$A$3,"DL",OA_SQL_1!$K$1:$K$3)/SUMIF(OA_SQL_1!$A$1:$A$3,"DL",OA_SQL_1!$I$1:$I$3)))*100</f>
        <v>85218.585966791652</v>
      </c>
      <c r="G6" s="83">
        <f>((UA_SQL_1!$N$2/UA_SQL_1!$M$2)-(SUMIF(OA_SQL_1!$A$1:$A$3,"AA",OA_SQL_1!$K$1:$K$3)/SUMIF(OA_SQL_1!$A$1:$A$3,"AA",OA_SQL_1!$I$1:$I$3)))*100</f>
        <v>85221.572787125086</v>
      </c>
      <c r="H6" s="52">
        <f>RANK!F2</f>
        <v>3</v>
      </c>
      <c r="I6"/>
    </row>
    <row r="7" spans="2:24" ht="19.899999999999999" customHeight="1" x14ac:dyDescent="0.35">
      <c r="B7" s="62" t="s">
        <v>32</v>
      </c>
      <c r="C7" s="77">
        <f>UA_SQL_1!Q2/UA_SQL_1!M2</f>
        <v>665.5</v>
      </c>
      <c r="D7" s="77">
        <f>UA_SQL_1!I2/UA_SQL_1!E2</f>
        <v>0.64154929577464792</v>
      </c>
      <c r="E7" s="29">
        <f>SUMIF(EX_Goals!$B:$B,PAGE_1_old!#REF!,EX_Goals!$D:$D)</f>
        <v>0</v>
      </c>
      <c r="F7" s="83">
        <f>((UA_SQL_1!$Q$2/UA_SQL_1!$M$2)-(SUMIF(OA_SQL_1!$A$1:$A$3,"DL",OA_SQL_1!$L$1:$L$3)/SUMIF(OA_SQL_1!$A$1:$A$3,"DL",OA_SQL_1!$I$1:$I$3)))*100</f>
        <v>66504.525977504018</v>
      </c>
      <c r="G7" s="83">
        <f>((UA_SQL_1!$Q$2/UA_SQL_1!$M$2)-(SUMIF(OA_SQL_1!$A$1:$A$3,"AA",OA_SQL_1!$L$1:$L$3)/SUMIF(OA_SQL_1!$A$1:$A$3,"AA",OA_SQL_1!$I$1:$I$3)))*100</f>
        <v>66511.170446232631</v>
      </c>
      <c r="H7" s="52">
        <f>RANK!F3</f>
        <v>1</v>
      </c>
      <c r="I7"/>
    </row>
    <row r="8" spans="2:24" ht="19.149999999999999" customHeight="1" x14ac:dyDescent="0.35">
      <c r="B8" s="63" t="s">
        <v>48</v>
      </c>
      <c r="C8" s="77">
        <f>UA_SQL_1!P2/UA_SQL_1!M2</f>
        <v>648.5</v>
      </c>
      <c r="D8" s="78">
        <f>UA_SQL_1!H2/UA_SQL_1!E2</f>
        <v>0.71795774647887323</v>
      </c>
      <c r="E8" s="29">
        <f>SUMIF(EX_Goals!$B:$B,PAGE_1_old!#REF!,EX_Goals!$C:$C)</f>
        <v>0</v>
      </c>
      <c r="F8" s="83">
        <f>((UA_SQL_1!$P$2/UA_SQL_1!$M$2)-(SUMIF(OA_SQL_1!$A$1:$A$3,"DL",OA_SQL_1!$J$1:$J$3)/SUMIF(OA_SQL_1!$A$1:$A$3,"DL",OA_SQL_1!$I$1:$I$3)))*100</f>
        <v>64804.124263524376</v>
      </c>
      <c r="G8" s="83">
        <f>((UA_SQL_1!$P$2/UA_SQL_1!$M$2)-(SUMIF(OA_SQL_1!$A$1:$A$3,"AA",OA_SQL_1!$J$1:$J$3)/SUMIF(OA_SQL_1!$A$1:$A$3,"AA",OA_SQL_1!$I$1:$I$3)))*100</f>
        <v>64811.155815654718</v>
      </c>
      <c r="H8" s="52">
        <f>RANK!F4</f>
        <v>1</v>
      </c>
      <c r="I8"/>
    </row>
    <row r="9" spans="2:24" ht="19.899999999999999" customHeight="1" x14ac:dyDescent="0.3">
      <c r="B9" s="63" t="s">
        <v>0</v>
      </c>
      <c r="C9" s="77">
        <f>UA_SQL_1!O2/UA_SQL_1!M2</f>
        <v>5.5</v>
      </c>
      <c r="D9" s="78">
        <f>UA_SQL_1!G2/UA_SQL_1!E2</f>
        <v>0.69436619718309855</v>
      </c>
      <c r="E9" s="29">
        <f>SUMIF(EX_Goals!$B:$B,PAGE_1_old!#REF!,EX_Goals!$C:$C)</f>
        <v>0</v>
      </c>
      <c r="F9" s="75"/>
      <c r="G9" s="75"/>
      <c r="H9" s="75"/>
    </row>
    <row r="10" spans="2:24" ht="20.5" customHeight="1" x14ac:dyDescent="0.35">
      <c r="B10" s="62" t="s">
        <v>31</v>
      </c>
      <c r="C10" s="77">
        <f>UA_SQL_1!S2/UA_SQL_1!R2</f>
        <v>1.1911402789171452</v>
      </c>
      <c r="D10" s="77">
        <f>UA_SQL_1!K2/UA_SQL_1!J2</f>
        <v>0.19176262178919398</v>
      </c>
      <c r="E10" s="29">
        <f>SUMIF(EX_Goals!$B:$B,PAGE_1_old!#REF!,EX_Goals!$F:$F)</f>
        <v>0</v>
      </c>
      <c r="F10" s="76"/>
      <c r="G10" s="76"/>
      <c r="H10" s="76"/>
    </row>
    <row r="11" spans="2:24" ht="19.899999999999999" customHeight="1" x14ac:dyDescent="0.3">
      <c r="B11" s="62" t="s">
        <v>2</v>
      </c>
      <c r="C11" s="79">
        <f>(UA_SQL_1!M2-UA_SQL_1!T2)/UA_SQL_1!M2</f>
        <v>-135.5</v>
      </c>
      <c r="D11" s="79">
        <f>(UA_SQL_1!E2-UA_SQL_1!L2)/UA_SQL_1!E2</f>
        <v>0.87552816901408448</v>
      </c>
      <c r="E11" s="65">
        <f>SUMIF(EX_Goals!$B:$B,PAGE_1_old!#REF!,EX_Goals!$G:$G)</f>
        <v>0</v>
      </c>
      <c r="F11" s="75"/>
      <c r="G11" s="75"/>
      <c r="H11" s="75"/>
    </row>
    <row r="12" spans="2:24" ht="19.899999999999999" customHeight="1" x14ac:dyDescent="0.3">
      <c r="B12" s="62" t="s">
        <v>87</v>
      </c>
      <c r="C12" s="87">
        <f>SUMIFS(TOTAL_DIVERTS_SQL_5!$B:$B,TOTAL_DIVERTS_SQL_5!A:A,"YEST")</f>
        <v>3</v>
      </c>
      <c r="D12" s="87">
        <f>SUMIFS(TOTAL_DIVERTS_SQL_5!$B:$B,TOTAL_DIVERTS_SQL_5!A:A,"MTD")</f>
        <v>9</v>
      </c>
      <c r="E12" s="86"/>
      <c r="F12" s="75"/>
      <c r="G12" s="75"/>
      <c r="H12" s="75"/>
    </row>
    <row r="13" spans="2:24" ht="19.899999999999999" customHeight="1" x14ac:dyDescent="0.3">
      <c r="B13" s="62" t="s">
        <v>88</v>
      </c>
      <c r="C13" s="87">
        <f>SUMIF(DIVERTS_RECOVERED_SQL_6!$A:$A,"YEST",DIVERTS_RECOVERED_SQL_6!$C:$C)</f>
        <v>1</v>
      </c>
      <c r="D13" s="87">
        <f>SUMIF(DIVERTS_RECOVERED_SQL_6!$A:$A,"MTD",DIVERTS_RECOVERED_SQL_6!$C:$C)</f>
        <v>6</v>
      </c>
      <c r="E13" s="86"/>
      <c r="F13" s="75"/>
      <c r="G13" s="75"/>
      <c r="H13" s="75"/>
      <c r="J13" s="59"/>
      <c r="K13" s="59"/>
      <c r="L13" s="59"/>
      <c r="M13" s="59"/>
      <c r="N13" s="59"/>
      <c r="O13" s="57"/>
      <c r="P13" s="57"/>
    </row>
    <row r="14" spans="2:24" ht="14.5" x14ac:dyDescent="0.35">
      <c r="L14"/>
      <c r="M14"/>
      <c r="N14"/>
      <c r="O14" s="58"/>
      <c r="P14" s="58"/>
      <c r="Q14" s="59"/>
      <c r="R14" s="59"/>
      <c r="S14" s="59"/>
      <c r="T14" s="59"/>
      <c r="U14" s="59"/>
      <c r="V14" s="59"/>
      <c r="W14" s="57"/>
      <c r="X14" s="57"/>
    </row>
    <row r="15" spans="2:24" ht="15" thickBot="1" x14ac:dyDescent="0.4">
      <c r="L15"/>
      <c r="M15"/>
      <c r="N15"/>
      <c r="O15" s="58"/>
      <c r="P15" s="58"/>
      <c r="Q15" s="59"/>
      <c r="R15" s="59"/>
      <c r="S15" s="59"/>
      <c r="T15" s="59"/>
      <c r="U15" s="59"/>
      <c r="V15" s="59"/>
      <c r="W15" s="57"/>
      <c r="X15" s="57"/>
    </row>
    <row r="16" spans="2:24" ht="19.149999999999999" customHeight="1" thickBot="1" x14ac:dyDescent="0.4">
      <c r="B16" s="299" t="s">
        <v>101</v>
      </c>
      <c r="C16" s="300"/>
      <c r="D16" s="300"/>
      <c r="E16" s="300"/>
      <c r="F16" s="300"/>
      <c r="G16" s="300"/>
      <c r="H16" s="300"/>
      <c r="I16" s="300"/>
      <c r="J16" s="300"/>
      <c r="K16" s="300"/>
      <c r="L16"/>
      <c r="M16"/>
      <c r="N16"/>
      <c r="O16" s="58"/>
      <c r="P16" s="58"/>
      <c r="Q16" s="59"/>
      <c r="R16" s="59"/>
      <c r="S16" s="59"/>
      <c r="T16" s="59"/>
      <c r="U16" s="59"/>
      <c r="V16" s="59"/>
      <c r="W16" s="57"/>
      <c r="X16" s="57"/>
    </row>
    <row r="17" spans="2:24" ht="19.149999999999999" customHeight="1" thickBot="1" x14ac:dyDescent="0.4">
      <c r="B17" s="64" t="s">
        <v>110</v>
      </c>
      <c r="C17" s="49" t="s">
        <v>99</v>
      </c>
      <c r="D17" s="45" t="s">
        <v>98</v>
      </c>
      <c r="E17" s="45" t="s">
        <v>77</v>
      </c>
      <c r="F17" s="45" t="s">
        <v>78</v>
      </c>
      <c r="G17" s="46" t="s">
        <v>38</v>
      </c>
      <c r="H17" s="106" t="s">
        <v>1</v>
      </c>
      <c r="I17" s="45" t="s">
        <v>77</v>
      </c>
      <c r="J17" s="45" t="s">
        <v>78</v>
      </c>
      <c r="K17" s="46" t="s">
        <v>38</v>
      </c>
      <c r="L17"/>
      <c r="M17"/>
      <c r="N17"/>
      <c r="O17" s="59"/>
      <c r="P17" s="59"/>
      <c r="Q17" s="59"/>
      <c r="R17" s="59"/>
      <c r="S17" s="59"/>
      <c r="T17" s="59"/>
      <c r="U17" s="57"/>
      <c r="V17" s="57"/>
    </row>
    <row r="18" spans="2:24" ht="19.149999999999999" customHeight="1" x14ac:dyDescent="0.35">
      <c r="B18" s="62" t="s">
        <v>104</v>
      </c>
      <c r="C18" s="77">
        <f>SUMIFS(UA_HUB_SQL_7!J:J,UA_HUB_SQL_7!$B:$B,PAGE_1_old!B18)/SUMIFS(UA_HUB_SQL_7!$F:$F,UA_HUB_SQL_7!$B:$B,PAGE_1_old!B18)</f>
        <v>0.88</v>
      </c>
      <c r="D18" s="77">
        <f>SUMIFS(UA_HUB_SQL_7!K:K,UA_HUB_SQL_7!B:B,PAGE_1_old!B18)/SUMIFS(UA_HUB_SQL_7!F:F,UA_HUB_SQL_7!B:B,PAGE_1_old!B18)</f>
        <v>0.89142857142857146</v>
      </c>
      <c r="E18" s="108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>89.142857142857139</v>
      </c>
      <c r="F18" s="108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>22.476190476190482</v>
      </c>
      <c r="G18" s="52">
        <f>RANK!F8</f>
        <v>0</v>
      </c>
      <c r="H18" s="77">
        <f>SUMIFS(UA_HUB_SQL_7!G:G,UA_HUB_SQL_7!$B:$B,PAGE_1_old!B18)/SUMIFS(UA_HUB_SQL_7!$F:$F,UA_HUB_SQL_7!$B:$B,PAGE_1_old!B18)</f>
        <v>5.7142857142857143E-3</v>
      </c>
      <c r="I18" s="108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>-99.428571428571431</v>
      </c>
      <c r="J18" s="108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>-99.428571428571431</v>
      </c>
      <c r="K18" s="52">
        <f>RANK!M19</f>
        <v>2</v>
      </c>
      <c r="L18"/>
      <c r="M18"/>
      <c r="N18"/>
      <c r="O18" s="59"/>
      <c r="P18" s="59"/>
      <c r="Q18" s="59"/>
      <c r="R18" s="59"/>
      <c r="S18" s="59"/>
      <c r="T18" s="59"/>
      <c r="U18" s="57"/>
      <c r="V18" s="57"/>
    </row>
    <row r="19" spans="2:24" ht="19.149999999999999" customHeight="1" x14ac:dyDescent="0.35">
      <c r="B19" s="62" t="s">
        <v>106</v>
      </c>
      <c r="C19" s="77">
        <f>SUMIFS(UA_HUB_SQL_7!J:J,UA_HUB_SQL_7!$B:$B,PAGE_1_old!B19)/SUMIFS(UA_HUB_SQL_7!$F:$F,UA_HUB_SQL_7!$B:$B,PAGE_1_old!B19)</f>
        <v>0.7807017543859649</v>
      </c>
      <c r="D19" s="77">
        <f>SUMIFS(UA_HUB_SQL_7!K:K,UA_HUB_SQL_7!B:B,PAGE_1_old!B19)/SUMIFS(UA_HUB_SQL_7!F:F,UA_HUB_SQL_7!B:B,PAGE_1_old!B19)</f>
        <v>0.81578947368421051</v>
      </c>
      <c r="E19" s="108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>4.1843113530953824</v>
      </c>
      <c r="F19" s="108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>1.0911424903722655</v>
      </c>
      <c r="G19" s="52">
        <f>RANK!F9</f>
        <v>1</v>
      </c>
      <c r="H19" s="77">
        <f>SUMIFS(UA_HUB_SQL_7!G:G,UA_HUB_SQL_7!$B:$B,PAGE_1_old!B19)/SUMIFS(UA_HUB_SQL_7!$F:$F,UA_HUB_SQL_7!$B:$B,PAGE_1_old!B19)</f>
        <v>0</v>
      </c>
      <c r="I19" s="108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>-100</v>
      </c>
      <c r="J19" s="108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>-100</v>
      </c>
      <c r="K19" s="52">
        <f>RANK!M20</f>
        <v>3</v>
      </c>
      <c r="L19"/>
      <c r="M19"/>
      <c r="N19"/>
      <c r="O19" s="59"/>
      <c r="P19" s="59"/>
      <c r="Q19" s="59"/>
      <c r="R19" s="59"/>
      <c r="S19" s="59"/>
      <c r="T19" s="59"/>
      <c r="U19" s="57"/>
      <c r="V19" s="57"/>
    </row>
    <row r="20" spans="2:24" ht="19.149999999999999" customHeight="1" x14ac:dyDescent="0.35">
      <c r="B20" s="63" t="s">
        <v>109</v>
      </c>
      <c r="C20" s="77">
        <f>SUMIFS(UA_HUB_SQL_7!J:J,UA_HUB_SQL_7!$B:$B,PAGE_1_old!B20)/SUMIFS(UA_HUB_SQL_7!$F:$F,UA_HUB_SQL_7!$B:$B,PAGE_1_old!B20)</f>
        <v>0.73228346456692917</v>
      </c>
      <c r="D20" s="77">
        <f>SUMIFS(UA_HUB_SQL_7!K:K,UA_HUB_SQL_7!B:B,PAGE_1_old!B20)/SUMIFS(UA_HUB_SQL_7!F:F,UA_HUB_SQL_7!B:B,PAGE_1_old!B20)</f>
        <v>0.77952755905511806</v>
      </c>
      <c r="E20" s="108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>8.1853140450466881</v>
      </c>
      <c r="F20" s="108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>18.153760930637432</v>
      </c>
      <c r="G20" s="52">
        <f>RANK!F10</f>
        <v>1</v>
      </c>
      <c r="H20" s="77">
        <f>SUMIFS(UA_HUB_SQL_7!G:G,UA_HUB_SQL_7!$B:$B,PAGE_1_old!B20)/SUMIFS(UA_HUB_SQL_7!$F:$F,UA_HUB_SQL_7!$B:$B,PAGE_1_old!B20)</f>
        <v>0</v>
      </c>
      <c r="I20" s="108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>-100</v>
      </c>
      <c r="J20" s="108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>-100</v>
      </c>
      <c r="K20" s="52">
        <f>RANK!M21</f>
        <v>3</v>
      </c>
      <c r="L20"/>
      <c r="M20"/>
      <c r="N20"/>
      <c r="O20" s="59"/>
      <c r="P20" s="59"/>
      <c r="Q20" s="59"/>
      <c r="R20" s="59"/>
      <c r="S20" s="59"/>
      <c r="T20" s="59"/>
      <c r="U20" s="57"/>
      <c r="V20" s="57"/>
    </row>
    <row r="21" spans="2:24" ht="19.149999999999999" customHeight="1" x14ac:dyDescent="0.35">
      <c r="B21" s="63" t="s">
        <v>108</v>
      </c>
      <c r="C21" s="77">
        <f>SUMIFS(UA_HUB_SQL_7!J:J,UA_HUB_SQL_7!$B:$B,PAGE_1_old!B21)/SUMIFS(UA_HUB_SQL_7!$F:$F,UA_HUB_SQL_7!$B:$B,PAGE_1_old!B21)</f>
        <v>0.74251497005988021</v>
      </c>
      <c r="D21" s="77">
        <f>SUMIFS(UA_HUB_SQL_7!K:K,UA_HUB_SQL_7!B:B,PAGE_1_old!B21)/SUMIFS(UA_HUB_SQL_7!F:F,UA_HUB_SQL_7!B:B,PAGE_1_old!B21)</f>
        <v>0.76047904191616766</v>
      </c>
      <c r="E21" s="108" t="str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>-</v>
      </c>
      <c r="F21" s="108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>-3.6622407359194642</v>
      </c>
      <c r="G21" s="52">
        <f>RANK!F11</f>
        <v>2</v>
      </c>
      <c r="H21" s="77">
        <f>SUMIFS(UA_HUB_SQL_7!G:G,UA_HUB_SQL_7!$B:$B,PAGE_1_old!B21)/SUMIFS(UA_HUB_SQL_7!$F:$F,UA_HUB_SQL_7!$B:$B,PAGE_1_old!B21)</f>
        <v>0</v>
      </c>
      <c r="I21" s="108" t="str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>-</v>
      </c>
      <c r="J21" s="108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>-100</v>
      </c>
      <c r="K21" s="52">
        <f>RANK!M22</f>
        <v>2</v>
      </c>
      <c r="L21"/>
      <c r="M21"/>
      <c r="N21"/>
      <c r="O21" s="59"/>
      <c r="P21" s="59"/>
      <c r="Q21" s="59"/>
      <c r="R21" s="59"/>
      <c r="S21" s="59"/>
      <c r="T21" s="59"/>
      <c r="U21" s="57"/>
      <c r="V21" s="57"/>
    </row>
    <row r="22" spans="2:24" ht="19.149999999999999" customHeight="1" x14ac:dyDescent="0.35">
      <c r="B22" s="62" t="s">
        <v>105</v>
      </c>
      <c r="C22" s="77">
        <f>SUMIFS(UA_HUB_SQL_7!J:J,UA_HUB_SQL_7!$B:$B,PAGE_1_old!B22)/SUMIFS(UA_HUB_SQL_7!$F:$F,UA_HUB_SQL_7!$B:$B,PAGE_1_old!B22)</f>
        <v>0.55172413793103448</v>
      </c>
      <c r="D22" s="77">
        <f>SUMIFS(UA_HUB_SQL_7!K:K,UA_HUB_SQL_7!B:B,PAGE_1_old!B22)/SUMIFS(UA_HUB_SQL_7!F:F,UA_HUB_SQL_7!B:B,PAGE_1_old!B22)</f>
        <v>0.58620689655172409</v>
      </c>
      <c r="E22" s="108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>-1.9853709508881989</v>
      </c>
      <c r="F22" s="108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>-33.687002652519901</v>
      </c>
      <c r="G22" s="52">
        <f>RANK!F12</f>
        <v>3</v>
      </c>
      <c r="H22" s="77">
        <f>SUMIFS(UA_HUB_SQL_7!G:G,UA_HUB_SQL_7!$B:$B,PAGE_1_old!B22)/SUMIFS(UA_HUB_SQL_7!$F:$F,UA_HUB_SQL_7!$B:$B,PAGE_1_old!B22)</f>
        <v>3.4482758620689655E-2</v>
      </c>
      <c r="I22" s="108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>-93.521421107628015</v>
      </c>
      <c r="J22" s="108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>-96.551724137931032</v>
      </c>
      <c r="K22" s="52">
        <f>RANK!M23</f>
        <v>3</v>
      </c>
      <c r="L22"/>
      <c r="M22"/>
      <c r="N22"/>
      <c r="O22" s="59"/>
      <c r="P22" s="59"/>
      <c r="Q22" s="59"/>
      <c r="R22" s="59"/>
      <c r="S22" s="59"/>
      <c r="T22" s="59"/>
      <c r="U22" s="57"/>
      <c r="V22" s="57"/>
    </row>
    <row r="23" spans="2:24" ht="19.149999999999999" customHeight="1" x14ac:dyDescent="0.3">
      <c r="B23" s="63" t="s">
        <v>103</v>
      </c>
      <c r="C23" s="77">
        <f>SUMIFS(UA_HUB_SQL_7!J:J,UA_HUB_SQL_7!$B:$B,PAGE_1_old!B23)/SUMIFS(UA_HUB_SQL_7!$F:$F,UA_HUB_SQL_7!$B:$B,PAGE_1_old!B23)</f>
        <v>0.59615384615384615</v>
      </c>
      <c r="D23" s="77">
        <f>SUMIFS(UA_HUB_SQL_7!K:K,UA_HUB_SQL_7!B:B,PAGE_1_old!B23)/SUMIFS(UA_HUB_SQL_7!F:F,UA_HUB_SQL_7!B:B,PAGE_1_old!B23)</f>
        <v>0.67307692307692313</v>
      </c>
      <c r="E23" s="108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>-7.6923076923076872</v>
      </c>
      <c r="F23" s="108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>-10.017889087656528</v>
      </c>
      <c r="G23" s="52">
        <f>RANK!F13</f>
        <v>2</v>
      </c>
      <c r="H23" s="77">
        <f>SUMIFS(UA_HUB_SQL_7!G:G,UA_HUB_SQL_7!$B:$B,PAGE_1_old!B23)/SUMIFS(UA_HUB_SQL_7!$F:$F,UA_HUB_SQL_7!$B:$B,PAGE_1_old!B23)</f>
        <v>0</v>
      </c>
      <c r="I23" s="108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>-100</v>
      </c>
      <c r="J23" s="108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>-100</v>
      </c>
      <c r="K23" s="52">
        <f>RANK!M24</f>
        <v>2</v>
      </c>
      <c r="L23" s="58"/>
      <c r="M23" s="58"/>
      <c r="N23" s="58"/>
      <c r="O23" s="59"/>
      <c r="P23" s="59"/>
      <c r="Q23" s="59"/>
      <c r="R23" s="59"/>
      <c r="S23" s="59"/>
      <c r="T23" s="59"/>
      <c r="U23" s="57"/>
      <c r="V23" s="57"/>
    </row>
    <row r="24" spans="2:24" ht="19.149999999999999" customHeight="1" x14ac:dyDescent="0.3">
      <c r="B24" s="62" t="s">
        <v>107</v>
      </c>
      <c r="C24" s="77">
        <f>SUMIFS(UA_HUB_SQL_7!J:J,UA_HUB_SQL_7!$B:$B,PAGE_1_old!B24)/SUMIFS(UA_HUB_SQL_7!$F:$F,UA_HUB_SQL_7!$B:$B,PAGE_1_old!B24)</f>
        <v>0.61016949152542377</v>
      </c>
      <c r="D24" s="77">
        <f>SUMIFS(UA_HUB_SQL_7!K:K,UA_HUB_SQL_7!B:B,PAGE_1_old!B24)/SUMIFS(UA_HUB_SQL_7!F:F,UA_HUB_SQL_7!B:B,PAGE_1_old!B24)</f>
        <v>0.64406779661016944</v>
      </c>
      <c r="E24" s="108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>-10.593220338983055</v>
      </c>
      <c r="F24" s="108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>-35.593220338983059</v>
      </c>
      <c r="G24" s="52">
        <f>RANK!F14</f>
        <v>1</v>
      </c>
      <c r="H24" s="77">
        <f>SUMIFS(UA_HUB_SQL_7!G:G,UA_HUB_SQL_7!$B:$B,PAGE_1_old!B24)/SUMIFS(UA_HUB_SQL_7!$F:$F,UA_HUB_SQL_7!$B:$B,PAGE_1_old!B24)</f>
        <v>8.4745762711864403E-2</v>
      </c>
      <c r="I24" s="108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>-91.525423728813564</v>
      </c>
      <c r="J24" s="108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>-91.525423728813564</v>
      </c>
      <c r="K24" s="52">
        <f>RANK!M25</f>
        <v>2</v>
      </c>
      <c r="L24" s="58"/>
      <c r="M24" s="58"/>
      <c r="N24" s="58"/>
      <c r="O24" s="59"/>
      <c r="P24" s="59"/>
      <c r="Q24" s="59"/>
      <c r="R24" s="59"/>
      <c r="S24" s="59"/>
      <c r="T24" s="59"/>
      <c r="U24" s="57"/>
      <c r="V24" s="57"/>
    </row>
    <row r="25" spans="2:24" x14ac:dyDescent="0.3">
      <c r="N25" s="58"/>
      <c r="O25" s="58"/>
      <c r="P25" s="58"/>
      <c r="Q25" s="59"/>
      <c r="R25" s="59"/>
      <c r="S25" s="59"/>
      <c r="T25" s="59"/>
      <c r="U25" s="59"/>
      <c r="V25" s="59"/>
      <c r="W25" s="57"/>
      <c r="X25" s="57"/>
    </row>
    <row r="26" spans="2:24" ht="12.5" thickBot="1" x14ac:dyDescent="0.35">
      <c r="C26" s="2"/>
      <c r="Q26" s="59"/>
      <c r="R26" s="59"/>
      <c r="S26" s="59"/>
      <c r="T26" s="59"/>
      <c r="U26" s="59"/>
      <c r="V26" s="59"/>
      <c r="W26" s="57"/>
      <c r="X26" s="57"/>
    </row>
    <row r="27" spans="2:24" ht="16" thickBot="1" x14ac:dyDescent="0.35">
      <c r="B27" s="297" t="s">
        <v>27</v>
      </c>
      <c r="C27" s="298"/>
      <c r="D27" s="298"/>
      <c r="E27" s="298"/>
      <c r="F27" s="298"/>
      <c r="G27" s="298"/>
      <c r="H27" s="298"/>
      <c r="I27" s="298"/>
      <c r="J27" s="298"/>
      <c r="K27" s="298"/>
      <c r="L27" s="298"/>
      <c r="M27" s="298"/>
      <c r="N27" s="298"/>
      <c r="O27" s="298"/>
      <c r="P27" s="298"/>
      <c r="Q27" s="59"/>
      <c r="R27" s="60"/>
      <c r="S27" s="60"/>
      <c r="T27" s="60"/>
      <c r="U27" s="60"/>
      <c r="V27" s="59"/>
      <c r="W27" s="57"/>
      <c r="X27" s="57"/>
    </row>
    <row r="28" spans="2:24" ht="30.65" customHeight="1" thickBot="1" x14ac:dyDescent="0.35">
      <c r="B28" s="70" t="s">
        <v>3</v>
      </c>
      <c r="C28" s="71" t="s">
        <v>85</v>
      </c>
      <c r="D28" s="72" t="s">
        <v>79</v>
      </c>
      <c r="E28" s="72" t="s">
        <v>80</v>
      </c>
      <c r="F28" s="72" t="s">
        <v>81</v>
      </c>
      <c r="G28" s="72" t="s">
        <v>82</v>
      </c>
      <c r="H28" s="72" t="s">
        <v>83</v>
      </c>
      <c r="I28" s="72" t="s">
        <v>84</v>
      </c>
      <c r="J28" s="72" t="s">
        <v>15</v>
      </c>
      <c r="K28" s="72" t="s">
        <v>16</v>
      </c>
      <c r="L28" s="72" t="s">
        <v>66</v>
      </c>
      <c r="M28" s="73" t="s">
        <v>29</v>
      </c>
      <c r="N28" s="74" t="s">
        <v>47</v>
      </c>
      <c r="O28" s="74" t="s">
        <v>73</v>
      </c>
      <c r="P28" s="74" t="s">
        <v>46</v>
      </c>
      <c r="Q28" s="59"/>
      <c r="R28" s="60"/>
      <c r="S28" s="60"/>
      <c r="T28" s="60"/>
      <c r="U28" s="60"/>
      <c r="V28" s="59"/>
      <c r="W28" s="57"/>
      <c r="X28" s="57"/>
    </row>
    <row r="29" spans="2:24" ht="14.5" x14ac:dyDescent="0.35">
      <c r="B29" s="66" t="s">
        <v>18</v>
      </c>
      <c r="C29" s="80">
        <f>SUMIF(SCH_DEP_SQL_4!$A:$A,PAGE_1_old!R29,SCH_DEP_SQL_4!$E:$E)</f>
        <v>0</v>
      </c>
      <c r="D29" s="12" t="str">
        <f>IF(SUMIFS(CNXL_SQL_2!$F:$F,CNXL_SQL_2!$A:$A,PAGE_1_old!$R29,CNXL_SQL_2!$D:$D,PAGE_1_old!$S$29)=0,"",SUMIFS(CNXL_SQL_2!$F:$F,CNXL_SQL_2!$A:$A,PAGE_1_old!$R29,CNXL_SQL_2!$D:$D,PAGE_1_old!$S$29))</f>
        <v/>
      </c>
      <c r="E29" s="12" t="str">
        <f>IF(SUMIFS(CNXL_SQL_2!$F:$F,CNXL_SQL_2!$A:$A,PAGE_1_old!$R29,CNXL_SQL_2!$D:$D,PAGE_1_old!$S$30)=0,"",SUMIFS(CNXL_SQL_2!$F:$F,CNXL_SQL_2!$A:$A,PAGE_1_old!$R29,CNXL_SQL_2!$D:$D,PAGE_1_old!$S$30))</f>
        <v/>
      </c>
      <c r="F29" s="12" t="str">
        <f>IF(SUMIFS(CNXL_SQL_2!$F:$F,CNXL_SQL_2!$A:$A,PAGE_1_old!$R29,CNXL_SQL_2!$D:$D,PAGE_1_old!$S$31)=0,"",SUMIFS(CNXL_SQL_2!$F:$F,CNXL_SQL_2!$A:$A,PAGE_1_old!$R29,CNXL_SQL_2!$D:$D,PAGE_1_old!$S$31))</f>
        <v/>
      </c>
      <c r="G29" s="12" t="str">
        <f>IF(SUMIFS(CNXL_SQL_2!$F:$F,CNXL_SQL_2!$A:$A,PAGE_1_old!$R29,CNXL_SQL_2!$D:$D,PAGE_1_old!$S$32)=0,"",SUMIFS(CNXL_SQL_2!$F:$F,CNXL_SQL_2!$A:$A,PAGE_1_old!$R29,CNXL_SQL_2!$D:$D,PAGE_1_old!$S$32))</f>
        <v/>
      </c>
      <c r="H29" s="12" t="str">
        <f>IF(SUMIFS(CNXL_SQL_2!$F:$F,CNXL_SQL_2!$A:$A,PAGE_1_old!$R29,CNXL_SQL_2!$D:$D,PAGE_1_old!$S$33)=0,"",SUMIFS(CNXL_SQL_2!$F:$F,CNXL_SQL_2!$A:$A,PAGE_1_old!$R29,CNXL_SQL_2!$D:$D,PAGE_1_old!$S$33))</f>
        <v/>
      </c>
      <c r="I29" s="12" t="str">
        <f>IF(SUMIFS(CNXL_SQL_2!$F:$F,CNXL_SQL_2!$A:$A,PAGE_1_old!$R29,CNXL_SQL_2!$D:$D,PAGE_1_old!$S$34)=0,"",SUMIFS(CNXL_SQL_2!$F:$F,CNXL_SQL_2!$A:$A,PAGE_1_old!$R29,CNXL_SQL_2!$D:$D,PAGE_1_old!$S$34))</f>
        <v/>
      </c>
      <c r="J29" s="12" t="str">
        <f>IF(SUMIFS(CNXL_SQL_2!$F:$F,CNXL_SQL_2!$A:$A,PAGE_1_old!$R29,CNXL_SQL_2!$D:$D,PAGE_1_old!$S$35)=0,"",SUMIFS(CNXL_SQL_2!$F:$F,CNXL_SQL_2!$A:$A,PAGE_1_old!$R29,CNXL_SQL_2!$D:$D,PAGE_1_old!$S$35))</f>
        <v/>
      </c>
      <c r="K29" s="12" t="str">
        <f>IF(SUMIFS(CNXL_SQL_2!$F:$F,CNXL_SQL_2!$A:$A,PAGE_1_old!$R29,CNXL_SQL_2!$D:$D,PAGE_1_old!$S$36)=0,"",SUMIFS(CNXL_SQL_2!$F:$F,CNXL_SQL_2!$A:$A,PAGE_1_old!$R29,CNXL_SQL_2!$D:$D,PAGE_1_old!$S$36))</f>
        <v/>
      </c>
      <c r="L29" s="12" t="str">
        <f>IF(SUMIFS(CNXL_SQL_2!$F:$F,CNXL_SQL_2!$A:$A,PAGE_1_old!$R29,CNXL_SQL_2!$D:$D,PAGE_1_old!$S$37)=0,"",SUMIFS(CNXL_SQL_2!$F:$F,CNXL_SQL_2!$A:$A,PAGE_1_old!$R29,CNXL_SQL_2!$D:$D,PAGE_1_old!$S$37))</f>
        <v/>
      </c>
      <c r="M29" s="37" t="str">
        <f>IF(SUM(D29:L29)=0,"",SUM(D29:L29))</f>
        <v/>
      </c>
      <c r="N29" s="37" t="str">
        <f>ES_MATRIX!K3</f>
        <v/>
      </c>
      <c r="O29" s="14" t="str">
        <f>IFERROR(M29-ES_MATRIX!L3,"")</f>
        <v/>
      </c>
      <c r="P29" s="40" t="str">
        <f>IF(SUMIF(CNXL_SQL_2!$E:$E,PAGE_1_old!R29,CNXL_SQL_2!$F:$F)=0,"",SUMIF(CNXL_SQL_2!$E:$E,PAGE_1_old!R29,CNXL_SQL_2!$F:$F))</f>
        <v/>
      </c>
      <c r="Q29" s="59"/>
      <c r="R29" s="61" t="s">
        <v>57</v>
      </c>
      <c r="S29" s="61" t="s">
        <v>56</v>
      </c>
      <c r="T29" s="60"/>
      <c r="U29" s="60"/>
      <c r="V29" s="59"/>
      <c r="W29" s="57"/>
      <c r="X29" s="57"/>
    </row>
    <row r="30" spans="2:24" ht="14.5" x14ac:dyDescent="0.35">
      <c r="B30" s="67" t="s">
        <v>19</v>
      </c>
      <c r="C30" s="81">
        <f>SUMIF(SCH_DEP_SQL_4!$A:$A,PAGE_1_old!R30,SCH_DEP_SQL_4!$E:$E)</f>
        <v>816</v>
      </c>
      <c r="D30" s="17">
        <f>IF(SUMIFS(CNXL_SQL_2!$F:$F,CNXL_SQL_2!$A:$A,PAGE_1_old!$R30,CNXL_SQL_2!$D:$D,PAGE_1_old!$S$29)=0,"",SUMIFS(CNXL_SQL_2!$F:$F,CNXL_SQL_2!$A:$A,PAGE_1_old!$R30,CNXL_SQL_2!$D:$D,PAGE_1_old!$S$29))</f>
        <v>10</v>
      </c>
      <c r="E30" s="17" t="str">
        <f>IF(SUMIFS(CNXL_SQL_2!$F:$F,CNXL_SQL_2!$A:$A,PAGE_1_old!$R30,CNXL_SQL_2!$D:$D,PAGE_1_old!$S$30)=0,"",SUMIFS(CNXL_SQL_2!$F:$F,CNXL_SQL_2!$A:$A,PAGE_1_old!$R30,CNXL_SQL_2!$D:$D,PAGE_1_old!$S$30))</f>
        <v/>
      </c>
      <c r="F30" s="17" t="str">
        <f>IF(SUMIFS(CNXL_SQL_2!$F:$F,CNXL_SQL_2!$A:$A,PAGE_1_old!$R30,CNXL_SQL_2!$D:$D,PAGE_1_old!$S$31)=0,"",SUMIFS(CNXL_SQL_2!$F:$F,CNXL_SQL_2!$A:$A,PAGE_1_old!$R30,CNXL_SQL_2!$D:$D,PAGE_1_old!$S$31))</f>
        <v/>
      </c>
      <c r="G30" s="17" t="str">
        <f>IF(SUMIFS(CNXL_SQL_2!$F:$F,CNXL_SQL_2!$A:$A,PAGE_1_old!$R30,CNXL_SQL_2!$D:$D,PAGE_1_old!$S$32)=0,"",SUMIFS(CNXL_SQL_2!$F:$F,CNXL_SQL_2!$A:$A,PAGE_1_old!$R30,CNXL_SQL_2!$D:$D,PAGE_1_old!$S$32))</f>
        <v/>
      </c>
      <c r="H30" s="17" t="str">
        <f>IF(SUMIFS(CNXL_SQL_2!$F:$F,CNXL_SQL_2!$A:$A,PAGE_1_old!$R30,CNXL_SQL_2!$D:$D,PAGE_1_old!$S$33)=0,"",SUMIFS(CNXL_SQL_2!$F:$F,CNXL_SQL_2!$A:$A,PAGE_1_old!$R30,CNXL_SQL_2!$D:$D,PAGE_1_old!$S$33))</f>
        <v/>
      </c>
      <c r="I30" s="17" t="str">
        <f>IF(SUMIFS(CNXL_SQL_2!$F:$F,CNXL_SQL_2!$A:$A,PAGE_1_old!$R30,CNXL_SQL_2!$D:$D,PAGE_1_old!$S$34)=0,"",SUMIFS(CNXL_SQL_2!$F:$F,CNXL_SQL_2!$A:$A,PAGE_1_old!$R30,CNXL_SQL_2!$D:$D,PAGE_1_old!$S$34))</f>
        <v/>
      </c>
      <c r="J30" s="17" t="str">
        <f>IF(SUMIFS(CNXL_SQL_2!$F:$F,CNXL_SQL_2!$A:$A,PAGE_1_old!$R30,CNXL_SQL_2!$D:$D,PAGE_1_old!$S$35)=0,"",SUMIFS(CNXL_SQL_2!$F:$F,CNXL_SQL_2!$A:$A,PAGE_1_old!$R30,CNXL_SQL_2!$D:$D,PAGE_1_old!$S$35))</f>
        <v/>
      </c>
      <c r="K30" s="17" t="str">
        <f>IF(SUMIFS(CNXL_SQL_2!$F:$F,CNXL_SQL_2!$A:$A,PAGE_1_old!$R30,CNXL_SQL_2!$D:$D,PAGE_1_old!$S$36)=0,"",SUMIFS(CNXL_SQL_2!$F:$F,CNXL_SQL_2!$A:$A,PAGE_1_old!$R30,CNXL_SQL_2!$D:$D,PAGE_1_old!$S$36))</f>
        <v/>
      </c>
      <c r="L30" s="17" t="str">
        <f>IF(SUMIFS(CNXL_SQL_2!$F:$F,CNXL_SQL_2!$A:$A,PAGE_1_old!$R30,CNXL_SQL_2!$D:$D,PAGE_1_old!$S$37)=0,"",SUMIFS(CNXL_SQL_2!$F:$F,CNXL_SQL_2!$A:$A,PAGE_1_old!$R30,CNXL_SQL_2!$D:$D,PAGE_1_old!$S$37))</f>
        <v/>
      </c>
      <c r="M30" s="18">
        <f t="shared" ref="M30:M36" si="0">IF(SUM(D30:L30)=0,"",SUM(D30:L30))</f>
        <v>10</v>
      </c>
      <c r="N30" s="18" t="str">
        <f>ES_MATRIX!K4</f>
        <v/>
      </c>
      <c r="O30" s="18">
        <f>IFERROR(M30-ES_MATRIX!L4,"")</f>
        <v>10</v>
      </c>
      <c r="P30" s="16" t="str">
        <f>IF(SUMIF(CNXL_SQL_2!$E:$E,PAGE_1_old!R30,CNXL_SQL_2!$F:$F)=0,"",SUMIF(CNXL_SQL_2!$E:$E,PAGE_1_old!R30,CNXL_SQL_2!$F:$F))</f>
        <v/>
      </c>
      <c r="Q30" s="59"/>
      <c r="R30" s="60" t="s">
        <v>60</v>
      </c>
      <c r="S30" s="61" t="s">
        <v>61</v>
      </c>
      <c r="T30" s="60"/>
      <c r="U30" s="60"/>
      <c r="V30" s="59"/>
      <c r="W30" s="57"/>
      <c r="X30" s="57"/>
    </row>
    <row r="31" spans="2:24" ht="14.5" x14ac:dyDescent="0.35">
      <c r="B31" s="66" t="s">
        <v>20</v>
      </c>
      <c r="C31" s="80">
        <f>SUMIF(SCH_DEP_SQL_4!$A:$A,PAGE_1_old!R31,SCH_DEP_SQL_4!$E:$E)</f>
        <v>0</v>
      </c>
      <c r="D31" s="12" t="str">
        <f>IF(SUMIFS(CNXL_SQL_2!$F:$F,CNXL_SQL_2!$A:$A,PAGE_1_old!$R31,CNXL_SQL_2!$D:$D,PAGE_1_old!$S$29)=0,"",SUMIFS(CNXL_SQL_2!$F:$F,CNXL_SQL_2!$A:$A,PAGE_1_old!$R31,CNXL_SQL_2!$D:$D,PAGE_1_old!$S$29))</f>
        <v/>
      </c>
      <c r="E31" s="12" t="str">
        <f>IF(SUMIFS(CNXL_SQL_2!$F:$F,CNXL_SQL_2!$A:$A,PAGE_1_old!$R31,CNXL_SQL_2!$D:$D,PAGE_1_old!$S$30)=0,"",SUMIFS(CNXL_SQL_2!$F:$F,CNXL_SQL_2!$A:$A,PAGE_1_old!$R31,CNXL_SQL_2!$D:$D,PAGE_1_old!$S$30))</f>
        <v/>
      </c>
      <c r="F31" s="12" t="str">
        <f>IF(SUMIFS(CNXL_SQL_2!$F:$F,CNXL_SQL_2!$A:$A,PAGE_1_old!$R31,CNXL_SQL_2!$D:$D,PAGE_1_old!$S$31)=0,"",SUMIFS(CNXL_SQL_2!$F:$F,CNXL_SQL_2!$A:$A,PAGE_1_old!$R31,CNXL_SQL_2!$D:$D,PAGE_1_old!$S$31))</f>
        <v/>
      </c>
      <c r="G31" s="12" t="str">
        <f>IF(SUMIFS(CNXL_SQL_2!$F:$F,CNXL_SQL_2!$A:$A,PAGE_1_old!$R31,CNXL_SQL_2!$D:$D,PAGE_1_old!$S$32)=0,"",SUMIFS(CNXL_SQL_2!$F:$F,CNXL_SQL_2!$A:$A,PAGE_1_old!$R31,CNXL_SQL_2!$D:$D,PAGE_1_old!$S$32))</f>
        <v/>
      </c>
      <c r="H31" s="12" t="str">
        <f>IF(SUMIFS(CNXL_SQL_2!$F:$F,CNXL_SQL_2!$A:$A,PAGE_1_old!$R31,CNXL_SQL_2!$D:$D,PAGE_1_old!$S$33)=0,"",SUMIFS(CNXL_SQL_2!$F:$F,CNXL_SQL_2!$A:$A,PAGE_1_old!$R31,CNXL_SQL_2!$D:$D,PAGE_1_old!$S$33))</f>
        <v/>
      </c>
      <c r="I31" s="12" t="str">
        <f>IF(SUMIFS(CNXL_SQL_2!$F:$F,CNXL_SQL_2!$A:$A,PAGE_1_old!$R31,CNXL_SQL_2!$D:$D,PAGE_1_old!$S$34)=0,"",SUMIFS(CNXL_SQL_2!$F:$F,CNXL_SQL_2!$A:$A,PAGE_1_old!$R31,CNXL_SQL_2!$D:$D,PAGE_1_old!$S$34))</f>
        <v/>
      </c>
      <c r="J31" s="12" t="str">
        <f>IF(SUMIFS(CNXL_SQL_2!$F:$F,CNXL_SQL_2!$A:$A,PAGE_1_old!$R31,CNXL_SQL_2!$D:$D,PAGE_1_old!$S$35)=0,"",SUMIFS(CNXL_SQL_2!$F:$F,CNXL_SQL_2!$A:$A,PAGE_1_old!$R31,CNXL_SQL_2!$D:$D,PAGE_1_old!$S$35))</f>
        <v/>
      </c>
      <c r="K31" s="12" t="str">
        <f>IF(SUMIFS(CNXL_SQL_2!$F:$F,CNXL_SQL_2!$A:$A,PAGE_1_old!$R31,CNXL_SQL_2!$D:$D,PAGE_1_old!$S$36)=0,"",SUMIFS(CNXL_SQL_2!$F:$F,CNXL_SQL_2!$A:$A,PAGE_1_old!$R31,CNXL_SQL_2!$D:$D,PAGE_1_old!$S$36))</f>
        <v/>
      </c>
      <c r="L31" s="12" t="str">
        <f>IF(SUMIFS(CNXL_SQL_2!$F:$F,CNXL_SQL_2!$A:$A,PAGE_1_old!$R31,CNXL_SQL_2!$D:$D,PAGE_1_old!$S$37)=0,"",SUMIFS(CNXL_SQL_2!$F:$F,CNXL_SQL_2!$A:$A,PAGE_1_old!$R31,CNXL_SQL_2!$D:$D,PAGE_1_old!$S$37))</f>
        <v/>
      </c>
      <c r="M31" s="42" t="str">
        <f t="shared" si="0"/>
        <v/>
      </c>
      <c r="N31" s="38" t="str">
        <f>ES_MATRIX!K5</f>
        <v/>
      </c>
      <c r="O31" s="14" t="str">
        <f>IFERROR(M31-ES_MATRIX!L5,"")</f>
        <v/>
      </c>
      <c r="P31" s="40" t="str">
        <f>IF(SUMIF(CNXL_SQL_2!$E:$E,PAGE_1_old!R31,CNXL_SQL_2!$F:$F)=0,"",SUMIF(CNXL_SQL_2!$E:$E,PAGE_1_old!R31,CNXL_SQL_2!$F:$F))</f>
        <v/>
      </c>
      <c r="Q31" s="59"/>
      <c r="R31" s="60" t="s">
        <v>64</v>
      </c>
      <c r="S31" s="61" t="s">
        <v>58</v>
      </c>
      <c r="T31" s="60"/>
      <c r="U31" s="60"/>
      <c r="V31" s="59"/>
      <c r="W31" s="57"/>
      <c r="X31" s="57"/>
    </row>
    <row r="32" spans="2:24" ht="14.5" x14ac:dyDescent="0.35">
      <c r="B32" s="67" t="s">
        <v>21</v>
      </c>
      <c r="C32" s="81">
        <f>SUMIF(SCH_DEP_SQL_4!$A:$A,PAGE_1_old!R32,SCH_DEP_SQL_4!$E:$E)</f>
        <v>297</v>
      </c>
      <c r="D32" s="17" t="str">
        <f>IF(SUMIFS(CNXL_SQL_2!$F:$F,CNXL_SQL_2!$A:$A,PAGE_1_old!$R32,CNXL_SQL_2!$D:$D,PAGE_1_old!$S$29)=0,"",SUMIFS(CNXL_SQL_2!$F:$F,CNXL_SQL_2!$A:$A,PAGE_1_old!$R32,CNXL_SQL_2!$D:$D,PAGE_1_old!$S$29))</f>
        <v/>
      </c>
      <c r="E32" s="17" t="str">
        <f>IF(SUMIFS(CNXL_SQL_2!$F:$F,CNXL_SQL_2!$A:$A,PAGE_1_old!$R32,CNXL_SQL_2!$D:$D,PAGE_1_old!$S$30)=0,"",SUMIFS(CNXL_SQL_2!$F:$F,CNXL_SQL_2!$A:$A,PAGE_1_old!$R32,CNXL_SQL_2!$D:$D,PAGE_1_old!$S$30))</f>
        <v/>
      </c>
      <c r="F32" s="17" t="str">
        <f>IF(SUMIFS(CNXL_SQL_2!$F:$F,CNXL_SQL_2!$A:$A,PAGE_1_old!$R32,CNXL_SQL_2!$D:$D,PAGE_1_old!$S$31)=0,"",SUMIFS(CNXL_SQL_2!$F:$F,CNXL_SQL_2!$A:$A,PAGE_1_old!$R32,CNXL_SQL_2!$D:$D,PAGE_1_old!$S$31))</f>
        <v/>
      </c>
      <c r="G32" s="17" t="str">
        <f>IF(SUMIFS(CNXL_SQL_2!$F:$F,CNXL_SQL_2!$A:$A,PAGE_1_old!$R32,CNXL_SQL_2!$D:$D,PAGE_1_old!$S$32)=0,"",SUMIFS(CNXL_SQL_2!$F:$F,CNXL_SQL_2!$A:$A,PAGE_1_old!$R32,CNXL_SQL_2!$D:$D,PAGE_1_old!$S$32))</f>
        <v/>
      </c>
      <c r="H32" s="17" t="str">
        <f>IF(SUMIFS(CNXL_SQL_2!$F:$F,CNXL_SQL_2!$A:$A,PAGE_1_old!$R32,CNXL_SQL_2!$D:$D,PAGE_1_old!$S$33)=0,"",SUMIFS(CNXL_SQL_2!$F:$F,CNXL_SQL_2!$A:$A,PAGE_1_old!$R32,CNXL_SQL_2!$D:$D,PAGE_1_old!$S$33))</f>
        <v/>
      </c>
      <c r="I32" s="17" t="str">
        <f>IF(SUMIFS(CNXL_SQL_2!$F:$F,CNXL_SQL_2!$A:$A,PAGE_1_old!$R32,CNXL_SQL_2!$D:$D,PAGE_1_old!$S$34)=0,"",SUMIFS(CNXL_SQL_2!$F:$F,CNXL_SQL_2!$A:$A,PAGE_1_old!$R32,CNXL_SQL_2!$D:$D,PAGE_1_old!$S$34))</f>
        <v/>
      </c>
      <c r="J32" s="17" t="str">
        <f>IF(SUMIFS(CNXL_SQL_2!$F:$F,CNXL_SQL_2!$A:$A,PAGE_1_old!$R32,CNXL_SQL_2!$D:$D,PAGE_1_old!$S$35)=0,"",SUMIFS(CNXL_SQL_2!$F:$F,CNXL_SQL_2!$A:$A,PAGE_1_old!$R32,CNXL_SQL_2!$D:$D,PAGE_1_old!$S$35))</f>
        <v/>
      </c>
      <c r="K32" s="17" t="str">
        <f>IF(SUMIFS(CNXL_SQL_2!$F:$F,CNXL_SQL_2!$A:$A,PAGE_1_old!$R32,CNXL_SQL_2!$D:$D,PAGE_1_old!$S$36)=0,"",SUMIFS(CNXL_SQL_2!$F:$F,CNXL_SQL_2!$A:$A,PAGE_1_old!$R32,CNXL_SQL_2!$D:$D,PAGE_1_old!$S$36))</f>
        <v/>
      </c>
      <c r="L32" s="17" t="str">
        <f>IF(SUMIFS(CNXL_SQL_2!$F:$F,CNXL_SQL_2!$A:$A,PAGE_1_old!$R32,CNXL_SQL_2!$D:$D,PAGE_1_old!$S$37)=0,"",SUMIFS(CNXL_SQL_2!$F:$F,CNXL_SQL_2!$A:$A,PAGE_1_old!$R32,CNXL_SQL_2!$D:$D,PAGE_1_old!$S$37))</f>
        <v/>
      </c>
      <c r="M32" s="18" t="str">
        <f t="shared" si="0"/>
        <v/>
      </c>
      <c r="N32" s="18" t="str">
        <f>ES_MATRIX!K6</f>
        <v/>
      </c>
      <c r="O32" s="18" t="str">
        <f>IFERROR(M32-ES_MATRIX!L6,"")</f>
        <v/>
      </c>
      <c r="P32" s="16" t="str">
        <f>IF(SUMIF(CNXL_SQL_2!$E:$E,PAGE_1_old!R32,CNXL_SQL_2!$F:$F)=0,"",SUMIF(CNXL_SQL_2!$E:$E,PAGE_1_old!R32,CNXL_SQL_2!$F:$F))</f>
        <v/>
      </c>
      <c r="Q32" s="59"/>
      <c r="R32" s="60" t="s">
        <v>63</v>
      </c>
      <c r="S32" s="61" t="s">
        <v>69</v>
      </c>
      <c r="T32" s="60"/>
      <c r="U32" s="60"/>
      <c r="V32" s="59"/>
      <c r="W32" s="57"/>
      <c r="X32" s="57"/>
    </row>
    <row r="33" spans="2:24" ht="14.5" x14ac:dyDescent="0.35">
      <c r="B33" s="66" t="s">
        <v>22</v>
      </c>
      <c r="C33" s="80">
        <f>SUMIF(SCH_DEP_SQL_4!$A:$A,PAGE_1_old!R33,SCH_DEP_SQL_4!$E:$E)</f>
        <v>186</v>
      </c>
      <c r="D33" s="12" t="str">
        <f>IF(SUMIFS(CNXL_SQL_2!$F:$F,CNXL_SQL_2!$A:$A,PAGE_1_old!$R33,CNXL_SQL_2!$D:$D,PAGE_1_old!$S$29)=0,"",SUMIFS(CNXL_SQL_2!$F:$F,CNXL_SQL_2!$A:$A,PAGE_1_old!$R33,CNXL_SQL_2!$D:$D,PAGE_1_old!$S$29))</f>
        <v/>
      </c>
      <c r="E33" s="12" t="str">
        <f>IF(SUMIFS(CNXL_SQL_2!$F:$F,CNXL_SQL_2!$A:$A,PAGE_1_old!$R33,CNXL_SQL_2!$D:$D,PAGE_1_old!$S$30)=0,"",SUMIFS(CNXL_SQL_2!$F:$F,CNXL_SQL_2!$A:$A,PAGE_1_old!$R33,CNXL_SQL_2!$D:$D,PAGE_1_old!$S$30))</f>
        <v/>
      </c>
      <c r="F33" s="12" t="str">
        <f>IF(SUMIFS(CNXL_SQL_2!$F:$F,CNXL_SQL_2!$A:$A,PAGE_1_old!$R33,CNXL_SQL_2!$D:$D,PAGE_1_old!$S$31)=0,"",SUMIFS(CNXL_SQL_2!$F:$F,CNXL_SQL_2!$A:$A,PAGE_1_old!$R33,CNXL_SQL_2!$D:$D,PAGE_1_old!$S$31))</f>
        <v/>
      </c>
      <c r="G33" s="12" t="str">
        <f>IF(SUMIFS(CNXL_SQL_2!$F:$F,CNXL_SQL_2!$A:$A,PAGE_1_old!$R33,CNXL_SQL_2!$D:$D,PAGE_1_old!$S$32)=0,"",SUMIFS(CNXL_SQL_2!$F:$F,CNXL_SQL_2!$A:$A,PAGE_1_old!$R33,CNXL_SQL_2!$D:$D,PAGE_1_old!$S$32))</f>
        <v/>
      </c>
      <c r="H33" s="12" t="str">
        <f>IF(SUMIFS(CNXL_SQL_2!$F:$F,CNXL_SQL_2!$A:$A,PAGE_1_old!$R33,CNXL_SQL_2!$D:$D,PAGE_1_old!$S$33)=0,"",SUMIFS(CNXL_SQL_2!$F:$F,CNXL_SQL_2!$A:$A,PAGE_1_old!$R33,CNXL_SQL_2!$D:$D,PAGE_1_old!$S$33))</f>
        <v/>
      </c>
      <c r="I33" s="12" t="str">
        <f>IF(SUMIFS(CNXL_SQL_2!$F:$F,CNXL_SQL_2!$A:$A,PAGE_1_old!$R33,CNXL_SQL_2!$D:$D,PAGE_1_old!$S$34)=0,"",SUMIFS(CNXL_SQL_2!$F:$F,CNXL_SQL_2!$A:$A,PAGE_1_old!$R33,CNXL_SQL_2!$D:$D,PAGE_1_old!$S$34))</f>
        <v/>
      </c>
      <c r="J33" s="12" t="str">
        <f>IF(SUMIFS(CNXL_SQL_2!$F:$F,CNXL_SQL_2!$A:$A,PAGE_1_old!$R33,CNXL_SQL_2!$D:$D,PAGE_1_old!$S$35)=0,"",SUMIFS(CNXL_SQL_2!$F:$F,CNXL_SQL_2!$A:$A,PAGE_1_old!$R33,CNXL_SQL_2!$D:$D,PAGE_1_old!$S$35))</f>
        <v/>
      </c>
      <c r="K33" s="12" t="str">
        <f>IF(SUMIFS(CNXL_SQL_2!$F:$F,CNXL_SQL_2!$A:$A,PAGE_1_old!$R33,CNXL_SQL_2!$D:$D,PAGE_1_old!$S$36)=0,"",SUMIFS(CNXL_SQL_2!$F:$F,CNXL_SQL_2!$A:$A,PAGE_1_old!$R33,CNXL_SQL_2!$D:$D,PAGE_1_old!$S$36))</f>
        <v/>
      </c>
      <c r="L33" s="12" t="str">
        <f>IF(SUMIFS(CNXL_SQL_2!$F:$F,CNXL_SQL_2!$A:$A,PAGE_1_old!$R33,CNXL_SQL_2!$D:$D,PAGE_1_old!$S$37)=0,"",SUMIFS(CNXL_SQL_2!$F:$F,CNXL_SQL_2!$A:$A,PAGE_1_old!$R33,CNXL_SQL_2!$D:$D,PAGE_1_old!$S$37))</f>
        <v/>
      </c>
      <c r="M33" s="42" t="str">
        <f t="shared" si="0"/>
        <v/>
      </c>
      <c r="N33" s="38" t="str">
        <f>ES_MATRIX!K7</f>
        <v/>
      </c>
      <c r="O33" s="14" t="str">
        <f>IFERROR(M33-ES_MATRIX!L7,"")</f>
        <v/>
      </c>
      <c r="P33" s="40" t="str">
        <f>IF(SUMIF(CNXL_SQL_2!$E:$E,PAGE_1_old!R33,CNXL_SQL_2!$F:$F)=0,"",SUMIF(CNXL_SQL_2!$E:$E,PAGE_1_old!R33,CNXL_SQL_2!$F:$F))</f>
        <v/>
      </c>
      <c r="Q33" s="59"/>
      <c r="R33" s="60" t="s">
        <v>65</v>
      </c>
      <c r="S33" s="61" t="s">
        <v>67</v>
      </c>
      <c r="T33" s="60"/>
      <c r="U33" s="60"/>
      <c r="V33" s="59"/>
      <c r="W33" s="57"/>
      <c r="X33" s="57"/>
    </row>
    <row r="34" spans="2:24" ht="14.5" x14ac:dyDescent="0.35">
      <c r="B34" s="67" t="s">
        <v>23</v>
      </c>
      <c r="C34" s="81">
        <f>SUMIF(SCH_DEP_SQL_4!$A:$A,PAGE_1_old!R34,SCH_DEP_SQL_4!$E:$E)</f>
        <v>193</v>
      </c>
      <c r="D34" s="17">
        <f>IF(SUMIFS(CNXL_SQL_2!$F:$F,CNXL_SQL_2!$A:$A,PAGE_1_old!$R34,CNXL_SQL_2!$D:$D,PAGE_1_old!$S$29)=0,"",SUMIFS(CNXL_SQL_2!$F:$F,CNXL_SQL_2!$A:$A,PAGE_1_old!$R34,CNXL_SQL_2!$D:$D,PAGE_1_old!$S$29))</f>
        <v>1</v>
      </c>
      <c r="E34" s="17" t="str">
        <f>IF(SUMIFS(CNXL_SQL_2!$F:$F,CNXL_SQL_2!$A:$A,PAGE_1_old!$R34,CNXL_SQL_2!$D:$D,PAGE_1_old!$S$30)=0,"",SUMIFS(CNXL_SQL_2!$F:$F,CNXL_SQL_2!$A:$A,PAGE_1_old!$R34,CNXL_SQL_2!$D:$D,PAGE_1_old!$S$30))</f>
        <v/>
      </c>
      <c r="F34" s="17" t="str">
        <f>IF(SUMIFS(CNXL_SQL_2!$F:$F,CNXL_SQL_2!$A:$A,PAGE_1_old!$R34,CNXL_SQL_2!$D:$D,PAGE_1_old!$S$31)=0,"",SUMIFS(CNXL_SQL_2!$F:$F,CNXL_SQL_2!$A:$A,PAGE_1_old!$R34,CNXL_SQL_2!$D:$D,PAGE_1_old!$S$31))</f>
        <v/>
      </c>
      <c r="G34" s="17" t="str">
        <f>IF(SUMIFS(CNXL_SQL_2!$F:$F,CNXL_SQL_2!$A:$A,PAGE_1_old!$R34,CNXL_SQL_2!$D:$D,PAGE_1_old!$S$32)=0,"",SUMIFS(CNXL_SQL_2!$F:$F,CNXL_SQL_2!$A:$A,PAGE_1_old!$R34,CNXL_SQL_2!$D:$D,PAGE_1_old!$S$32))</f>
        <v/>
      </c>
      <c r="H34" s="17" t="str">
        <f>IF(SUMIFS(CNXL_SQL_2!$F:$F,CNXL_SQL_2!$A:$A,PAGE_1_old!$R34,CNXL_SQL_2!$D:$D,PAGE_1_old!$S$33)=0,"",SUMIFS(CNXL_SQL_2!$F:$F,CNXL_SQL_2!$A:$A,PAGE_1_old!$R34,CNXL_SQL_2!$D:$D,PAGE_1_old!$S$33))</f>
        <v/>
      </c>
      <c r="I34" s="17" t="str">
        <f>IF(SUMIFS(CNXL_SQL_2!$F:$F,CNXL_SQL_2!$A:$A,PAGE_1_old!$R34,CNXL_SQL_2!$D:$D,PAGE_1_old!$S$34)=0,"",SUMIFS(CNXL_SQL_2!$F:$F,CNXL_SQL_2!$A:$A,PAGE_1_old!$R34,CNXL_SQL_2!$D:$D,PAGE_1_old!$S$34))</f>
        <v/>
      </c>
      <c r="J34" s="17" t="str">
        <f>IF(SUMIFS(CNXL_SQL_2!$F:$F,CNXL_SQL_2!$A:$A,PAGE_1_old!$R34,CNXL_SQL_2!$D:$D,PAGE_1_old!$S$35)=0,"",SUMIFS(CNXL_SQL_2!$F:$F,CNXL_SQL_2!$A:$A,PAGE_1_old!$R34,CNXL_SQL_2!$D:$D,PAGE_1_old!$S$35))</f>
        <v/>
      </c>
      <c r="K34" s="17" t="str">
        <f>IF(SUMIFS(CNXL_SQL_2!$F:$F,CNXL_SQL_2!$A:$A,PAGE_1_old!$R34,CNXL_SQL_2!$D:$D,PAGE_1_old!$S$36)=0,"",SUMIFS(CNXL_SQL_2!$F:$F,CNXL_SQL_2!$A:$A,PAGE_1_old!$R34,CNXL_SQL_2!$D:$D,PAGE_1_old!$S$36))</f>
        <v/>
      </c>
      <c r="L34" s="17" t="str">
        <f>IF(SUMIFS(CNXL_SQL_2!$F:$F,CNXL_SQL_2!$A:$A,PAGE_1_old!$R34,CNXL_SQL_2!$D:$D,PAGE_1_old!$S$37)=0,"",SUMIFS(CNXL_SQL_2!$F:$F,CNXL_SQL_2!$A:$A,PAGE_1_old!$R34,CNXL_SQL_2!$D:$D,PAGE_1_old!$S$37))</f>
        <v/>
      </c>
      <c r="M34" s="41">
        <f t="shared" si="0"/>
        <v>1</v>
      </c>
      <c r="N34" s="18" t="str">
        <f>ES_MATRIX!K8</f>
        <v/>
      </c>
      <c r="O34" s="18">
        <f>IFERROR(M34-ES_MATRIX!L8,"")</f>
        <v>1</v>
      </c>
      <c r="P34" s="16" t="str">
        <f>IF(SUMIF(CNXL_SQL_2!$E:$E,PAGE_1_old!R34,CNXL_SQL_2!$F:$F)=0,"",SUMIF(CNXL_SQL_2!$E:$E,PAGE_1_old!R34,CNXL_SQL_2!$F:$F))</f>
        <v/>
      </c>
      <c r="Q34" s="59"/>
      <c r="R34" s="60" t="s">
        <v>55</v>
      </c>
      <c r="S34" s="61" t="s">
        <v>70</v>
      </c>
      <c r="T34" s="60"/>
      <c r="U34" s="60"/>
      <c r="V34" s="59"/>
      <c r="W34" s="57"/>
      <c r="X34" s="57"/>
    </row>
    <row r="35" spans="2:24" ht="14.5" x14ac:dyDescent="0.35">
      <c r="B35" s="66" t="s">
        <v>24</v>
      </c>
      <c r="C35" s="80">
        <f>SUMIF(SCH_DEP_SQL_4!$A:$A,PAGE_1_old!R35,SCH_DEP_SQL_4!$E:$E)</f>
        <v>213</v>
      </c>
      <c r="D35" s="12" t="str">
        <f>IF(SUMIFS(CNXL_SQL_2!$F:$F,CNXL_SQL_2!$A:$A,PAGE_1_old!$R35,CNXL_SQL_2!$D:$D,PAGE_1_old!$S$29)=0,"",SUMIFS(CNXL_SQL_2!$F:$F,CNXL_SQL_2!$A:$A,PAGE_1_old!$R35,CNXL_SQL_2!$D:$D,PAGE_1_old!$S$29))</f>
        <v/>
      </c>
      <c r="E35" s="12" t="str">
        <f>IF(SUMIFS(CNXL_SQL_2!$F:$F,CNXL_SQL_2!$A:$A,PAGE_1_old!$R35,CNXL_SQL_2!$D:$D,PAGE_1_old!$S$30)=0,"",SUMIFS(CNXL_SQL_2!$F:$F,CNXL_SQL_2!$A:$A,PAGE_1_old!$R35,CNXL_SQL_2!$D:$D,PAGE_1_old!$S$30))</f>
        <v/>
      </c>
      <c r="F35" s="12" t="str">
        <f>IF(SUMIFS(CNXL_SQL_2!$F:$F,CNXL_SQL_2!$A:$A,PAGE_1_old!$R35,CNXL_SQL_2!$D:$D,PAGE_1_old!$S$31)=0,"",SUMIFS(CNXL_SQL_2!$F:$F,CNXL_SQL_2!$A:$A,PAGE_1_old!$R35,CNXL_SQL_2!$D:$D,PAGE_1_old!$S$31))</f>
        <v/>
      </c>
      <c r="G35" s="12" t="str">
        <f>IF(SUMIFS(CNXL_SQL_2!$F:$F,CNXL_SQL_2!$A:$A,PAGE_1_old!$R35,CNXL_SQL_2!$D:$D,PAGE_1_old!$S$32)=0,"",SUMIFS(CNXL_SQL_2!$F:$F,CNXL_SQL_2!$A:$A,PAGE_1_old!$R35,CNXL_SQL_2!$D:$D,PAGE_1_old!$S$32))</f>
        <v/>
      </c>
      <c r="H35" s="12" t="str">
        <f>IF(SUMIFS(CNXL_SQL_2!$F:$F,CNXL_SQL_2!$A:$A,PAGE_1_old!$R35,CNXL_SQL_2!$D:$D,PAGE_1_old!$S$33)=0,"",SUMIFS(CNXL_SQL_2!$F:$F,CNXL_SQL_2!$A:$A,PAGE_1_old!$R35,CNXL_SQL_2!$D:$D,PAGE_1_old!$S$33))</f>
        <v/>
      </c>
      <c r="I35" s="12" t="str">
        <f>IF(SUMIFS(CNXL_SQL_2!$F:$F,CNXL_SQL_2!$A:$A,PAGE_1_old!$R35,CNXL_SQL_2!$D:$D,PAGE_1_old!$S$34)=0,"",SUMIFS(CNXL_SQL_2!$F:$F,CNXL_SQL_2!$A:$A,PAGE_1_old!$R35,CNXL_SQL_2!$D:$D,PAGE_1_old!$S$34))</f>
        <v/>
      </c>
      <c r="J35" s="12" t="str">
        <f>IF(SUMIFS(CNXL_SQL_2!$F:$F,CNXL_SQL_2!$A:$A,PAGE_1_old!$R35,CNXL_SQL_2!$D:$D,PAGE_1_old!$S$35)=0,"",SUMIFS(CNXL_SQL_2!$F:$F,CNXL_SQL_2!$A:$A,PAGE_1_old!$R35,CNXL_SQL_2!$D:$D,PAGE_1_old!$S$35))</f>
        <v/>
      </c>
      <c r="K35" s="12" t="str">
        <f>IF(SUMIFS(CNXL_SQL_2!$F:$F,CNXL_SQL_2!$A:$A,PAGE_1_old!$R35,CNXL_SQL_2!$D:$D,PAGE_1_old!$S$36)=0,"",SUMIFS(CNXL_SQL_2!$F:$F,CNXL_SQL_2!$A:$A,PAGE_1_old!$R35,CNXL_SQL_2!$D:$D,PAGE_1_old!$S$36))</f>
        <v/>
      </c>
      <c r="L35" s="12" t="str">
        <f>IF(SUMIFS(CNXL_SQL_2!$F:$F,CNXL_SQL_2!$A:$A,PAGE_1_old!$R35,CNXL_SQL_2!$D:$D,PAGE_1_old!$S$37)=0,"",SUMIFS(CNXL_SQL_2!$F:$F,CNXL_SQL_2!$A:$A,PAGE_1_old!$R35,CNXL_SQL_2!$D:$D,PAGE_1_old!$S$37))</f>
        <v/>
      </c>
      <c r="M35" s="38" t="str">
        <f t="shared" si="0"/>
        <v/>
      </c>
      <c r="N35" s="38" t="str">
        <f>ES_MATRIX!K9</f>
        <v/>
      </c>
      <c r="O35" s="14" t="str">
        <f>IFERROR(M35-ES_MATRIX!L9,"")</f>
        <v/>
      </c>
      <c r="P35" s="40" t="str">
        <f>IF(SUMIF(CNXL_SQL_2!$E:$E,PAGE_1_old!R35,CNXL_SQL_2!$F:$F)=0,"",SUMIF(CNXL_SQL_2!$E:$E,PAGE_1_old!R35,CNXL_SQL_2!$F:$F))</f>
        <v/>
      </c>
      <c r="Q35" s="59"/>
      <c r="R35" s="60" t="s">
        <v>62</v>
      </c>
      <c r="S35" s="61" t="s">
        <v>72</v>
      </c>
      <c r="T35" s="60"/>
      <c r="U35" s="60"/>
      <c r="V35" s="59"/>
      <c r="W35" s="57"/>
      <c r="X35" s="57"/>
    </row>
    <row r="36" spans="2:24" ht="15" thickBot="1" x14ac:dyDescent="0.4">
      <c r="B36" s="67" t="s">
        <v>25</v>
      </c>
      <c r="C36" s="81">
        <f>SUMIF(SCH_DEP_SQL_4!$A:$A,PAGE_1_old!R36,SCH_DEP_SQL_4!$E:$E)</f>
        <v>0</v>
      </c>
      <c r="D36" s="17" t="str">
        <f>IF(SUMIFS(CNXL_SQL_2!$F:$F,CNXL_SQL_2!$A:$A,PAGE_1_old!$R36,CNXL_SQL_2!$D:$D,PAGE_1_old!$S$29)=0,"",SUMIFS(CNXL_SQL_2!$F:$F,CNXL_SQL_2!$A:$A,PAGE_1_old!$R36,CNXL_SQL_2!$D:$D,PAGE_1_old!$S$29))</f>
        <v/>
      </c>
      <c r="E36" s="17" t="str">
        <f>IF(SUMIFS(CNXL_SQL_2!$F:$F,CNXL_SQL_2!$A:$A,PAGE_1_old!$R36,CNXL_SQL_2!$D:$D,PAGE_1_old!$S$30)=0,"",SUMIFS(CNXL_SQL_2!$F:$F,CNXL_SQL_2!$A:$A,PAGE_1_old!$R36,CNXL_SQL_2!$D:$D,PAGE_1_old!$S$30))</f>
        <v/>
      </c>
      <c r="F36" s="17" t="str">
        <f>IF(SUMIFS(CNXL_SQL_2!$F:$F,CNXL_SQL_2!$A:$A,PAGE_1_old!$R36,CNXL_SQL_2!$D:$D,PAGE_1_old!$S$31)=0,"",SUMIFS(CNXL_SQL_2!$F:$F,CNXL_SQL_2!$A:$A,PAGE_1_old!$R36,CNXL_SQL_2!$D:$D,PAGE_1_old!$S$31))</f>
        <v/>
      </c>
      <c r="G36" s="17" t="str">
        <f>IF(SUMIFS(CNXL_SQL_2!$F:$F,CNXL_SQL_2!$A:$A,PAGE_1_old!$R36,CNXL_SQL_2!$D:$D,PAGE_1_old!$S$32)=0,"",SUMIFS(CNXL_SQL_2!$F:$F,CNXL_SQL_2!$A:$A,PAGE_1_old!$R36,CNXL_SQL_2!$D:$D,PAGE_1_old!$S$32))</f>
        <v/>
      </c>
      <c r="H36" s="17" t="str">
        <f>IF(SUMIFS(CNXL_SQL_2!$F:$F,CNXL_SQL_2!$A:$A,PAGE_1_old!$R36,CNXL_SQL_2!$D:$D,PAGE_1_old!$S$33)=0,"",SUMIFS(CNXL_SQL_2!$F:$F,CNXL_SQL_2!$A:$A,PAGE_1_old!$R36,CNXL_SQL_2!$D:$D,PAGE_1_old!$S$33))</f>
        <v/>
      </c>
      <c r="I36" s="17" t="str">
        <f>IF(SUMIFS(CNXL_SQL_2!$F:$F,CNXL_SQL_2!$A:$A,PAGE_1_old!$R36,CNXL_SQL_2!$D:$D,PAGE_1_old!$S$34)=0,"",SUMIFS(CNXL_SQL_2!$F:$F,CNXL_SQL_2!$A:$A,PAGE_1_old!$R36,CNXL_SQL_2!$D:$D,PAGE_1_old!$S$34))</f>
        <v/>
      </c>
      <c r="J36" s="17" t="str">
        <f>IF(SUMIFS(CNXL_SQL_2!$F:$F,CNXL_SQL_2!$A:$A,PAGE_1_old!$R36,CNXL_SQL_2!$D:$D,PAGE_1_old!$S$35)=0,"",SUMIFS(CNXL_SQL_2!$F:$F,CNXL_SQL_2!$A:$A,PAGE_1_old!$R36,CNXL_SQL_2!$D:$D,PAGE_1_old!$S$35))</f>
        <v/>
      </c>
      <c r="K36" s="17" t="str">
        <f>IF(SUMIFS(CNXL_SQL_2!$F:$F,CNXL_SQL_2!$A:$A,PAGE_1_old!$R36,CNXL_SQL_2!$D:$D,PAGE_1_old!$S$36)=0,"",SUMIFS(CNXL_SQL_2!$F:$F,CNXL_SQL_2!$A:$A,PAGE_1_old!$R36,CNXL_SQL_2!$D:$D,PAGE_1_old!$S$36))</f>
        <v/>
      </c>
      <c r="L36" s="17" t="str">
        <f>IF(SUMIFS(CNXL_SQL_2!$F:$F,CNXL_SQL_2!$A:$A,PAGE_1_old!$R36,CNXL_SQL_2!$D:$D,PAGE_1_old!$S$37)=0,"",SUMIFS(CNXL_SQL_2!$F:$F,CNXL_SQL_2!$A:$A,PAGE_1_old!$R36,CNXL_SQL_2!$D:$D,PAGE_1_old!$S$37))</f>
        <v/>
      </c>
      <c r="M36" s="18" t="str">
        <f t="shared" si="0"/>
        <v/>
      </c>
      <c r="N36" s="18" t="str">
        <f>ES_MATRIX!K10</f>
        <v/>
      </c>
      <c r="O36" s="18" t="str">
        <f>IFERROR(M36-ES_MATRIX!L10,"")</f>
        <v/>
      </c>
      <c r="P36" s="16" t="str">
        <f>IF(SUMIF(CNXL_SQL_2!$E:$E,PAGE_1_old!R36,CNXL_SQL_2!$F:$F)=0,"",SUMIF(CNXL_SQL_2!$E:$E,PAGE_1_old!R36,CNXL_SQL_2!$F:$F))</f>
        <v/>
      </c>
      <c r="Q36" s="59"/>
      <c r="R36" s="60" t="s">
        <v>59</v>
      </c>
      <c r="S36" s="61" t="s">
        <v>68</v>
      </c>
      <c r="T36" s="60"/>
      <c r="U36" s="60"/>
      <c r="V36" s="59"/>
      <c r="W36" s="57"/>
      <c r="X36" s="57"/>
    </row>
    <row r="37" spans="2:24" ht="15" thickBot="1" x14ac:dyDescent="0.4">
      <c r="B37" s="68" t="s">
        <v>26</v>
      </c>
      <c r="C37" s="82">
        <f>SUM(C29:C36)</f>
        <v>1705</v>
      </c>
      <c r="D37" s="22">
        <f>IF(SUM(D29:D36)=0,"",SUM(D29:D36))</f>
        <v>11</v>
      </c>
      <c r="E37" s="22" t="str">
        <f t="shared" ref="E37:L37" si="1">IF(SUM(E29:E36)=0,"",SUM(E29:E36))</f>
        <v/>
      </c>
      <c r="F37" s="22" t="str">
        <f>IF(SUM(F29:F36)=0,"",SUM(F29:F36))</f>
        <v/>
      </c>
      <c r="G37" s="22" t="str">
        <f t="shared" si="1"/>
        <v/>
      </c>
      <c r="H37" s="22" t="str">
        <f t="shared" si="1"/>
        <v/>
      </c>
      <c r="I37" s="22" t="str">
        <f t="shared" si="1"/>
        <v/>
      </c>
      <c r="J37" s="22" t="str">
        <f t="shared" si="1"/>
        <v/>
      </c>
      <c r="K37" s="22" t="str">
        <f t="shared" si="1"/>
        <v/>
      </c>
      <c r="L37" s="22" t="str">
        <f t="shared" si="1"/>
        <v/>
      </c>
      <c r="M37" s="23">
        <f>SUM(M29:M36)</f>
        <v>11</v>
      </c>
      <c r="N37" s="23"/>
      <c r="O37" s="23">
        <f>SUM(O29:O36)</f>
        <v>11</v>
      </c>
      <c r="P37" s="23">
        <f>SUM(P29:P36)</f>
        <v>0</v>
      </c>
      <c r="Q37" s="59"/>
      <c r="R37" s="60"/>
      <c r="S37" s="61" t="s">
        <v>71</v>
      </c>
      <c r="T37" s="60"/>
      <c r="U37" s="60"/>
      <c r="V37" s="59"/>
      <c r="W37" s="57"/>
      <c r="X37" s="57"/>
    </row>
    <row r="38" spans="2:24" ht="9.4" customHeight="1" x14ac:dyDescent="0.35">
      <c r="B38" s="8"/>
      <c r="C38" s="9"/>
      <c r="D38"/>
      <c r="E38"/>
      <c r="F38"/>
      <c r="G38"/>
      <c r="H38" s="9"/>
      <c r="I38" s="9"/>
      <c r="J38" s="9"/>
      <c r="K38" s="9"/>
      <c r="L38" s="9"/>
      <c r="M38" s="9"/>
      <c r="N38" s="9"/>
      <c r="O38" s="9"/>
      <c r="P38" s="9"/>
      <c r="Q38" s="59"/>
      <c r="R38" s="60"/>
      <c r="S38" s="60"/>
      <c r="T38" s="60"/>
      <c r="U38" s="60"/>
      <c r="V38" s="59"/>
      <c r="W38" s="57"/>
      <c r="X38" s="57"/>
    </row>
    <row r="39" spans="2:24" ht="9.4" customHeight="1" x14ac:dyDescent="0.35">
      <c r="B39" s="8"/>
      <c r="C39" s="9"/>
      <c r="D39"/>
      <c r="E39"/>
      <c r="F39"/>
      <c r="G39"/>
      <c r="H39" s="9"/>
      <c r="I39" s="9"/>
      <c r="J39" s="9"/>
      <c r="K39" s="9"/>
      <c r="L39" s="9"/>
      <c r="M39" s="9"/>
      <c r="N39" s="9"/>
      <c r="O39" s="9"/>
      <c r="P39" s="9"/>
      <c r="Q39" s="59"/>
      <c r="R39" s="60"/>
      <c r="S39" s="60"/>
      <c r="T39" s="60"/>
      <c r="U39" s="60"/>
      <c r="V39" s="59"/>
      <c r="W39" s="57"/>
      <c r="X39" s="57"/>
    </row>
    <row r="40" spans="2:24" ht="9.4" customHeight="1" thickBot="1" x14ac:dyDescent="0.35">
      <c r="Q40" s="59"/>
      <c r="R40" s="60"/>
      <c r="S40" s="60"/>
      <c r="T40" s="60"/>
      <c r="U40" s="60"/>
      <c r="V40" s="59"/>
      <c r="W40" s="57"/>
      <c r="X40" s="57"/>
    </row>
    <row r="41" spans="2:24" ht="16" thickBot="1" x14ac:dyDescent="0.35">
      <c r="B41" s="299" t="s">
        <v>28</v>
      </c>
      <c r="C41" s="300"/>
      <c r="D41" s="300"/>
      <c r="E41" s="300"/>
      <c r="F41" s="300"/>
      <c r="G41" s="300"/>
      <c r="H41" s="300"/>
      <c r="I41" s="300"/>
      <c r="J41" s="300"/>
      <c r="K41" s="300"/>
      <c r="L41" s="300"/>
      <c r="M41" s="300"/>
      <c r="N41" s="300"/>
      <c r="O41" s="300"/>
      <c r="P41" s="300"/>
      <c r="Q41" s="59"/>
      <c r="R41" s="60"/>
      <c r="S41" s="60"/>
      <c r="T41" s="60"/>
      <c r="U41" s="60"/>
      <c r="V41" s="59"/>
      <c r="W41" s="57"/>
      <c r="X41" s="57"/>
    </row>
    <row r="42" spans="2:24" ht="30.65" customHeight="1" thickBot="1" x14ac:dyDescent="0.35">
      <c r="B42" s="70" t="s">
        <v>3</v>
      </c>
      <c r="C42" s="71" t="s">
        <v>85</v>
      </c>
      <c r="D42" s="72" t="s">
        <v>79</v>
      </c>
      <c r="E42" s="72" t="s">
        <v>80</v>
      </c>
      <c r="F42" s="72" t="s">
        <v>81</v>
      </c>
      <c r="G42" s="72" t="s">
        <v>82</v>
      </c>
      <c r="H42" s="72" t="s">
        <v>83</v>
      </c>
      <c r="I42" s="72" t="s">
        <v>84</v>
      </c>
      <c r="J42" s="72" t="s">
        <v>15</v>
      </c>
      <c r="K42" s="72" t="s">
        <v>16</v>
      </c>
      <c r="L42" s="72" t="s">
        <v>66</v>
      </c>
      <c r="M42" s="73" t="s">
        <v>29</v>
      </c>
      <c r="N42" s="74" t="s">
        <v>47</v>
      </c>
      <c r="O42" s="74" t="s">
        <v>73</v>
      </c>
      <c r="P42" s="74" t="s">
        <v>46</v>
      </c>
      <c r="Q42" s="59"/>
      <c r="R42" s="59"/>
      <c r="S42" s="59"/>
      <c r="T42" s="59"/>
      <c r="U42" s="59"/>
      <c r="V42" s="59"/>
      <c r="W42" s="57"/>
      <c r="X42" s="57"/>
    </row>
    <row r="43" spans="2:24" ht="13" x14ac:dyDescent="0.3">
      <c r="B43" s="66" t="s">
        <v>18</v>
      </c>
      <c r="C43" s="80">
        <f>SUMIF(SCH_DEP_SQL_4!$A:$A,PAGE_1_old!R29,SCH_DEP_SQL_4!$E:$E)</f>
        <v>0</v>
      </c>
      <c r="D43" s="12" t="str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2" t="str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2" t="str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2" t="str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2" t="str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2" t="str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2" t="str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2" t="str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2" t="str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7" t="str">
        <f>IF(SUM(D43:L43)=0,"",SUM(D43:L43))</f>
        <v/>
      </c>
      <c r="N43" s="37" t="str">
        <f>ES_MATRIX!K14</f>
        <v/>
      </c>
      <c r="O43" s="14" t="str">
        <f>IFERROR(M43-ES_MATRIX!L14,"")</f>
        <v/>
      </c>
      <c r="P43" s="40" t="str">
        <f>IF(SUMIF(RES_CNXL_SQL_3!$E:$E,PAGE_1_old!R29,RES_CNXL_SQL_3!$F:$F)=0,"",SUMIF(RES_CNXL_SQL_3!$E:$E,PAGE_1_old!R29,RES_CNXL_SQL_3!$F:$F))</f>
        <v/>
      </c>
      <c r="Q43" s="57"/>
      <c r="R43" s="57"/>
      <c r="S43" s="57"/>
      <c r="T43" s="57"/>
      <c r="U43" s="57"/>
      <c r="V43" s="57"/>
      <c r="W43" s="57"/>
      <c r="X43" s="57"/>
    </row>
    <row r="44" spans="2:24" ht="13" x14ac:dyDescent="0.3">
      <c r="B44" s="67" t="s">
        <v>19</v>
      </c>
      <c r="C44" s="81">
        <f>SUMIF(SCH_DEP_SQL_4!$A:$A,PAGE_1_old!R30,SCH_DEP_SQL_4!$E:$E)</f>
        <v>816</v>
      </c>
      <c r="D44" s="17">
        <f>IF(SUMIFS(RES_CNXL_SQL_3!$F:$F,RES_CNXL_SQL_3!$A:$A,PAGE_1_old!$R30,RES_CNXL_SQL_3!$D:$D,PAGE_1_old!$S$29)=0,"",SUMIFS(RES_CNXL_SQL_3!$F:$F,RES_CNXL_SQL_3!$A:$A,PAGE_1_old!$R30,RES_CNXL_SQL_3!$D:$D,PAGE_1_old!$S$29))</f>
        <v>6</v>
      </c>
      <c r="E44" s="17" t="str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7" t="str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7" t="str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7" t="str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7" t="str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7" t="str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7" t="str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7" t="str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8">
        <f t="shared" ref="M44:M50" si="2">IF(SUM(D44:L44)=0,"",SUM(D44:L44))</f>
        <v>6</v>
      </c>
      <c r="N44" s="18" t="str">
        <f>ES_MATRIX!K15</f>
        <v/>
      </c>
      <c r="O44" s="18">
        <f>IFERROR(M44-ES_MATRIX!L15,"")</f>
        <v>6</v>
      </c>
      <c r="P44" s="16" t="str">
        <f>IF(SUMIF(RES_CNXL_SQL_3!$E:$E,PAGE_1_old!R30,RES_CNXL_SQL_3!$F:$F)=0,"",SUMIF(RES_CNXL_SQL_3!$E:$E,PAGE_1_old!R30,RES_CNXL_SQL_3!$F:$F))</f>
        <v/>
      </c>
    </row>
    <row r="45" spans="2:24" ht="13" x14ac:dyDescent="0.3">
      <c r="B45" s="66" t="s">
        <v>20</v>
      </c>
      <c r="C45" s="80">
        <f>SUMIF(SCH_DEP_SQL_4!$A:$A,PAGE_1_old!R31,SCH_DEP_SQL_4!$E:$E)</f>
        <v>0</v>
      </c>
      <c r="D45" s="12" t="str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2" t="str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2" t="str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2" t="str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2" t="str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2" t="str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2" t="str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2" t="str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2" t="str">
        <f>IF(SUMIFS(RES_CNXL_SQL_3!$F:$F,RES_CNXL_SQL_3!$A:$A,PAGE_1_old!$R31,RES_CNXL_SQL_3!$D:$D,PAGE_1_old!$S$37)=0,"",SUMIFS(RES_CNXL_SQL_3!$F:$F,RES_CNXL_SQL_3!$A:$A,PAGE_1_old!$R31,RES_CNXL_SQL_3!$D:$D,PAGE_1_old!$S$37))</f>
        <v/>
      </c>
      <c r="M45" s="42" t="str">
        <f t="shared" si="2"/>
        <v/>
      </c>
      <c r="N45" s="38" t="str">
        <f>ES_MATRIX!K16</f>
        <v/>
      </c>
      <c r="O45" s="14" t="str">
        <f>IFERROR(M45-ES_MATRIX!L16,"")</f>
        <v/>
      </c>
      <c r="P45" s="40" t="str">
        <f>IF(SUMIF(RES_CNXL_SQL_3!$E:$E,PAGE_1_old!R31,RES_CNXL_SQL_3!$F:$F)=0,"",SUMIF(RES_CNXL_SQL_3!$E:$E,PAGE_1_old!R31,RES_CNXL_SQL_3!$F:$F))</f>
        <v/>
      </c>
    </row>
    <row r="46" spans="2:24" ht="13" x14ac:dyDescent="0.3">
      <c r="B46" s="67" t="s">
        <v>21</v>
      </c>
      <c r="C46" s="81">
        <f>SUMIF(SCH_DEP_SQL_4!$A:$A,PAGE_1_old!R32,SCH_DEP_SQL_4!$E:$E)</f>
        <v>297</v>
      </c>
      <c r="D46" s="17" t="str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7" t="str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7" t="str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7" t="str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7" t="str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7" t="str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7" t="str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7" t="str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7" t="str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8" t="str">
        <f t="shared" si="2"/>
        <v/>
      </c>
      <c r="N46" s="18" t="str">
        <f>ES_MATRIX!K17</f>
        <v/>
      </c>
      <c r="O46" s="18" t="str">
        <f>IFERROR(M46-ES_MATRIX!L17,"")</f>
        <v/>
      </c>
      <c r="P46" s="16" t="str">
        <f>IF(SUMIF(RES_CNXL_SQL_3!$E:$E,PAGE_1_old!R32,RES_CNXL_SQL_3!$F:$F)=0,"",SUMIF(RES_CNXL_SQL_3!$E:$E,PAGE_1_old!R32,RES_CNXL_SQL_3!$F:$F))</f>
        <v/>
      </c>
    </row>
    <row r="47" spans="2:24" ht="13" x14ac:dyDescent="0.3">
      <c r="B47" s="66" t="s">
        <v>22</v>
      </c>
      <c r="C47" s="80">
        <f>SUMIF(SCH_DEP_SQL_4!$A:$A,PAGE_1_old!R33,SCH_DEP_SQL_4!$E:$E)</f>
        <v>186</v>
      </c>
      <c r="D47" s="12" t="str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2" t="str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2" t="str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2" t="str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2">
        <f>IF(SUMIFS(RES_CNXL_SQL_3!$F:$F,RES_CNXL_SQL_3!$A:$A,PAGE_1_old!$R33,RES_CNXL_SQL_3!$D:$D,PAGE_1_old!$S$33)=0,"",SUMIFS(RES_CNXL_SQL_3!$F:$F,RES_CNXL_SQL_3!$A:$A,PAGE_1_old!$R33,RES_CNXL_SQL_3!$D:$D,PAGE_1_old!$S$33))</f>
        <v>1</v>
      </c>
      <c r="I47" s="12" t="str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2" t="str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2" t="str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2" t="str">
        <f>IF(SUMIFS(RES_CNXL_SQL_3!$F:$F,RES_CNXL_SQL_3!$A:$A,PAGE_1_old!$R33,RES_CNXL_SQL_3!$D:$D,PAGE_1_old!$S$37)=0,"",SUMIFS(RES_CNXL_SQL_3!$F:$F,RES_CNXL_SQL_3!$A:$A,PAGE_1_old!$R33,RES_CNXL_SQL_3!$D:$D,PAGE_1_old!$S$37))</f>
        <v/>
      </c>
      <c r="M47" s="42">
        <f t="shared" si="2"/>
        <v>1</v>
      </c>
      <c r="N47" s="38" t="str">
        <f>ES_MATRIX!K18</f>
        <v/>
      </c>
      <c r="O47" s="14">
        <f>IFERROR(M47-ES_MATRIX!L18,"")</f>
        <v>1</v>
      </c>
      <c r="P47" s="40" t="str">
        <f>IF(SUMIF(RES_CNXL_SQL_3!$E:$E,PAGE_1_old!R33,RES_CNXL_SQL_3!$F:$F)=0,"",SUMIF(RES_CNXL_SQL_3!$E:$E,PAGE_1_old!R33,RES_CNXL_SQL_3!$F:$F))</f>
        <v/>
      </c>
    </row>
    <row r="48" spans="2:24" ht="13" x14ac:dyDescent="0.3">
      <c r="B48" s="67" t="s">
        <v>23</v>
      </c>
      <c r="C48" s="81">
        <f>SUMIF(SCH_DEP_SQL_4!$A:$A,PAGE_1_old!R34,SCH_DEP_SQL_4!$E:$E)</f>
        <v>193</v>
      </c>
      <c r="D48" s="17" t="str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7" t="str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7" t="str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7" t="str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7" t="str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7" t="str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7" t="str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7" t="str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7" t="str">
        <f>IF(SUMIFS(RES_CNXL_SQL_3!$F:$F,RES_CNXL_SQL_3!$A:$A,PAGE_1_old!$R34,RES_CNXL_SQL_3!$D:$D,PAGE_1_old!$S$37)=0,"",SUMIFS(RES_CNXL_SQL_3!$F:$F,RES_CNXL_SQL_3!$A:$A,PAGE_1_old!$R34,RES_CNXL_SQL_3!$D:$D,PAGE_1_old!$S$37))</f>
        <v/>
      </c>
      <c r="M48" s="41" t="str">
        <f t="shared" si="2"/>
        <v/>
      </c>
      <c r="N48" s="18" t="str">
        <f>ES_MATRIX!K19</f>
        <v/>
      </c>
      <c r="O48" s="18" t="str">
        <f>IFERROR(M48-ES_MATRIX!L19,"")</f>
        <v/>
      </c>
      <c r="P48" s="16" t="str">
        <f>IF(SUMIF(RES_CNXL_SQL_3!$E:$E,PAGE_1_old!R34,RES_CNXL_SQL_3!$F:$F)=0,"",SUMIF(RES_CNXL_SQL_3!$E:$E,PAGE_1_old!R34,RES_CNXL_SQL_3!$F:$F))</f>
        <v/>
      </c>
    </row>
    <row r="49" spans="2:16" ht="13" x14ac:dyDescent="0.3">
      <c r="B49" s="66" t="s">
        <v>24</v>
      </c>
      <c r="C49" s="80">
        <f>SUMIF(SCH_DEP_SQL_4!$A:$A,PAGE_1_old!R35,SCH_DEP_SQL_4!$E:$E)</f>
        <v>213</v>
      </c>
      <c r="D49" s="12" t="str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2" t="str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2" t="str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2" t="str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2" t="str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2" t="str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2" t="str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2" t="str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2" t="str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8" t="str">
        <f t="shared" si="2"/>
        <v/>
      </c>
      <c r="N49" s="38" t="str">
        <f>ES_MATRIX!K20</f>
        <v/>
      </c>
      <c r="O49" s="14" t="str">
        <f>IFERROR(M49-ES_MATRIX!L20,"")</f>
        <v/>
      </c>
      <c r="P49" s="40" t="str">
        <f>IF(SUMIF(RES_CNXL_SQL_3!$E:$E,PAGE_1_old!R35,RES_CNXL_SQL_3!$F:$F)=0,"",SUMIF(RES_CNXL_SQL_3!$E:$E,PAGE_1_old!R35,RES_CNXL_SQL_3!$F:$F))</f>
        <v/>
      </c>
    </row>
    <row r="50" spans="2:16" ht="13.5" thickBot="1" x14ac:dyDescent="0.35">
      <c r="B50" s="67" t="s">
        <v>25</v>
      </c>
      <c r="C50" s="81">
        <f>SUMIF(SCH_DEP_SQL_4!$A:$A,PAGE_1_old!R36,SCH_DEP_SQL_4!$E:$E)</f>
        <v>0</v>
      </c>
      <c r="D50" s="17" t="str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7" t="str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7" t="str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7" t="str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7" t="str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7" t="str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7" t="str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7" t="str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7" t="str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8" t="str">
        <f t="shared" si="2"/>
        <v/>
      </c>
      <c r="N50" s="18" t="str">
        <f>ES_MATRIX!K21</f>
        <v/>
      </c>
      <c r="O50" s="18" t="str">
        <f>IFERROR(M50-ES_MATRIX!L21,"")</f>
        <v/>
      </c>
      <c r="P50" s="16" t="str">
        <f>IF(SUMIF(RES_CNXL_SQL_3!$E:$E,PAGE_1_old!R36,RES_CNXL_SQL_3!$F:$F)=0,"",SUMIF(RES_CNXL_SQL_3!$E:$E,PAGE_1_old!R36,RES_CNXL_SQL_3!$F:$F))</f>
        <v/>
      </c>
    </row>
    <row r="51" spans="2:16" ht="13.5" thickBot="1" x14ac:dyDescent="0.35">
      <c r="B51" s="68" t="s">
        <v>26</v>
      </c>
      <c r="C51" s="82">
        <f>SUM(C43:C50)</f>
        <v>1705</v>
      </c>
      <c r="D51" s="22">
        <f>IF(SUM(D43:D50)=0,"",SUM(D43:D50))</f>
        <v>6</v>
      </c>
      <c r="E51" s="22" t="str">
        <f t="shared" ref="E51:L51" si="3">IF(SUM(E43:E50)=0,"",SUM(E43:E50))</f>
        <v/>
      </c>
      <c r="F51" s="22" t="str">
        <f t="shared" si="3"/>
        <v/>
      </c>
      <c r="G51" s="22" t="str">
        <f t="shared" si="3"/>
        <v/>
      </c>
      <c r="H51" s="22">
        <f t="shared" si="3"/>
        <v>1</v>
      </c>
      <c r="I51" s="22" t="str">
        <f t="shared" si="3"/>
        <v/>
      </c>
      <c r="J51" s="22" t="str">
        <f t="shared" si="3"/>
        <v/>
      </c>
      <c r="K51" s="22" t="str">
        <f t="shared" si="3"/>
        <v/>
      </c>
      <c r="L51" s="22" t="str">
        <f t="shared" si="3"/>
        <v/>
      </c>
      <c r="M51" s="23">
        <f>SUM(M43:M50)</f>
        <v>7</v>
      </c>
      <c r="N51" s="23"/>
      <c r="O51" s="23">
        <f>SUM(O43:O50)</f>
        <v>7</v>
      </c>
      <c r="P51" s="23">
        <f>SUM(P43:P50)</f>
        <v>0</v>
      </c>
    </row>
    <row r="52" spans="2:16" ht="21" customHeight="1" x14ac:dyDescent="0.3">
      <c r="C52" s="69"/>
    </row>
  </sheetData>
  <mergeCells count="6">
    <mergeCell ref="B41:P41"/>
    <mergeCell ref="B2:C2"/>
    <mergeCell ref="D2:E2"/>
    <mergeCell ref="B4:H4"/>
    <mergeCell ref="B27:P27"/>
    <mergeCell ref="B16:K16"/>
  </mergeCells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dxfId="101" priority="119" rank="1"/>
  </conditionalFormatting>
  <conditionalFormatting sqref="E29:E36">
    <cfRule type="top10" dxfId="100" priority="118" rank="1"/>
  </conditionalFormatting>
  <conditionalFormatting sqref="F29:F36">
    <cfRule type="top10" dxfId="99" priority="117" rank="1"/>
  </conditionalFormatting>
  <conditionalFormatting sqref="G29:G36">
    <cfRule type="top10" dxfId="98" priority="116" rank="1"/>
  </conditionalFormatting>
  <conditionalFormatting sqref="H29:H36">
    <cfRule type="top10" dxfId="97" priority="115" rank="1"/>
  </conditionalFormatting>
  <conditionalFormatting sqref="I29:I36">
    <cfRule type="top10" dxfId="96" priority="114" rank="1"/>
  </conditionalFormatting>
  <conditionalFormatting sqref="J29:J36">
    <cfRule type="top10" dxfId="95" priority="113" rank="1"/>
  </conditionalFormatting>
  <conditionalFormatting sqref="K29:K36">
    <cfRule type="top10" dxfId="94" priority="112" rank="1"/>
  </conditionalFormatting>
  <conditionalFormatting sqref="L29:L36">
    <cfRule type="top10" dxfId="93" priority="111" rank="1"/>
  </conditionalFormatting>
  <conditionalFormatting sqref="D43:D50">
    <cfRule type="top10" dxfId="92" priority="110" rank="1"/>
  </conditionalFormatting>
  <conditionalFormatting sqref="E43:E50">
    <cfRule type="top10" dxfId="91" priority="109" rank="1"/>
  </conditionalFormatting>
  <conditionalFormatting sqref="F43:F50">
    <cfRule type="top10" dxfId="90" priority="108" rank="1"/>
  </conditionalFormatting>
  <conditionalFormatting sqref="G43:G50">
    <cfRule type="top10" dxfId="89" priority="107" rank="1"/>
  </conditionalFormatting>
  <conditionalFormatting sqref="H43:H50">
    <cfRule type="top10" dxfId="88" priority="106" rank="1"/>
  </conditionalFormatting>
  <conditionalFormatting sqref="I43:I50">
    <cfRule type="top10" dxfId="87" priority="105" rank="1"/>
  </conditionalFormatting>
  <conditionalFormatting sqref="J43:J50">
    <cfRule type="top10" dxfId="86" priority="104" rank="1"/>
  </conditionalFormatting>
  <conditionalFormatting sqref="K43:K50">
    <cfRule type="top10" dxfId="85" priority="103" rank="1"/>
  </conditionalFormatting>
  <conditionalFormatting sqref="L43:L50">
    <cfRule type="top10" dxfId="84" priority="102" rank="1"/>
  </conditionalFormatting>
  <conditionalFormatting sqref="F6">
    <cfRule type="cellIs" dxfId="83" priority="94" operator="greaterThan">
      <formula>0</formula>
    </cfRule>
    <cfRule type="cellIs" dxfId="82" priority="97" operator="lessThan">
      <formula>0</formula>
    </cfRule>
  </conditionalFormatting>
  <conditionalFormatting sqref="F7">
    <cfRule type="cellIs" dxfId="81" priority="96" operator="lessThan">
      <formula>0</formula>
    </cfRule>
  </conditionalFormatting>
  <conditionalFormatting sqref="G6">
    <cfRule type="cellIs" dxfId="80" priority="91" operator="greaterThan">
      <formula>0</formula>
    </cfRule>
    <cfRule type="cellIs" dxfId="79" priority="92" operator="greaterThan">
      <formula>0</formula>
    </cfRule>
    <cfRule type="cellIs" dxfId="78" priority="93" operator="lessThan">
      <formula>0</formula>
    </cfRule>
  </conditionalFormatting>
  <conditionalFormatting sqref="G7">
    <cfRule type="cellIs" dxfId="77" priority="88" operator="greaterThan">
      <formula>0</formula>
    </cfRule>
    <cfRule type="cellIs" dxfId="76" priority="89" operator="greaterThan">
      <formula>0</formula>
    </cfRule>
    <cfRule type="cellIs" dxfId="75" priority="90" operator="lessThan">
      <formula>0</formula>
    </cfRule>
  </conditionalFormatting>
  <conditionalFormatting sqref="G8">
    <cfRule type="cellIs" dxfId="74" priority="85" operator="greaterThan">
      <formula>0</formula>
    </cfRule>
    <cfRule type="cellIs" dxfId="73" priority="86" operator="greaterThan">
      <formula>0</formula>
    </cfRule>
    <cfRule type="cellIs" dxfId="72" priority="87" operator="lessThan">
      <formula>0</formula>
    </cfRule>
  </conditionalFormatting>
  <conditionalFormatting sqref="F8">
    <cfRule type="cellIs" dxfId="71" priority="82" operator="greaterThan">
      <formula>0</formula>
    </cfRule>
    <cfRule type="cellIs" dxfId="70" priority="83" operator="greaterThan">
      <formula>0</formula>
    </cfRule>
    <cfRule type="cellIs" dxfId="69" priority="84" operator="lessThan">
      <formula>0</formula>
    </cfRule>
  </conditionalFormatting>
  <pageMargins left="1" right="1" top="1" bottom="1" header="0.5" footer="0.5"/>
  <pageSetup scale="52" orientation="landscape" r:id="rId1"/>
  <legacyDrawing r:id="rId2"/>
  <webPublishItems count="3">
    <webPublishItem id="25303" divId="0745_UAX_WB_25303" sourceType="printArea" destinationFile="D:\Users\Nikita\Py\745_UAX_Report\HTML\PAGE_1.htm"/>
    <webPublishItem id="23073" divId="0745_UAX_WB_23073" sourceType="printArea" destinationFile="D:\Users\Nikita\Py\745_UAX_Report\HTML\PAGE_1.htm"/>
    <webPublishItem id="30823" divId="0745_UAX_WB_30823" sourceType="printArea" destinationFile="D:\Users\Nikita\Py\745_UAX_Report\HTML\PAGE_1.htm"/>
  </webPublishItem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37" id="{58E83B9C-EC46-4EE0-B9B4-F80A01719DEE}">
            <x14:iconSet iconSet="3Triangles" custom="1">
              <x14:cfvo type="percent">
                <xm:f>0</xm:f>
              </x14:cfvo>
              <x14:cfvo type="num">
                <xm:f>RANK!$M$2</xm:f>
              </x14:cfvo>
              <x14:cfvo type="num" gte="0">
                <xm:f>RANK!$M$2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H6</xm:sqref>
        </x14:conditionalFormatting>
        <x14:conditionalFormatting xmlns:xm="http://schemas.microsoft.com/office/excel/2006/main">
          <x14:cfRule type="iconSet" priority="139" id="{83FEEA21-879E-4243-8006-68E2D2617E3B}">
            <x14:iconSet custom="1">
              <x14:cfvo type="percent">
                <xm:f>0</xm:f>
              </x14:cfvo>
              <x14:cfvo type="num">
                <xm:f>$E$6</xm:f>
              </x14:cfvo>
              <x14:cfvo type="num">
                <xm:f>$E$6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C6</xm:sqref>
        </x14:conditionalFormatting>
        <x14:conditionalFormatting xmlns:xm="http://schemas.microsoft.com/office/excel/2006/main">
          <x14:cfRule type="iconSet" priority="131" id="{BE5D1021-D1A8-4407-8CCE-3451BDF981B0}">
            <x14:iconSet iconSet="3Triangles" custom="1">
              <x14:cfvo type="percent">
                <xm:f>0</xm:f>
              </x14:cfvo>
              <x14:cfvo type="num">
                <xm:f>RANK!$M$3</xm:f>
              </x14:cfvo>
              <x14:cfvo type="num" gte="0">
                <xm:f>RANK!$M$3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H7</xm:sqref>
        </x14:conditionalFormatting>
        <x14:conditionalFormatting xmlns:xm="http://schemas.microsoft.com/office/excel/2006/main">
          <x14:cfRule type="iconSet" priority="130" id="{D7FB0766-62B1-47EA-ABE0-B7F766A037AE}">
            <x14:iconSet iconSet="3Triangles" custom="1">
              <x14:cfvo type="percent">
                <xm:f>0</xm:f>
              </x14:cfvo>
              <x14:cfvo type="num">
                <xm:f>RANK!$M$4</xm:f>
              </x14:cfvo>
              <x14:cfvo type="num" gte="0">
                <xm:f>RANK!$M$4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H8</xm:sqref>
        </x14:conditionalFormatting>
        <x14:conditionalFormatting xmlns:xm="http://schemas.microsoft.com/office/excel/2006/main">
          <x14:cfRule type="iconSet" priority="48" id="{CB2DEA0E-68C9-41D7-9C71-3E7FAED9B0E0}">
            <x14:iconSet custom="1">
              <x14:cfvo type="percent">
                <xm:f>0</xm:f>
              </x14:cfvo>
              <x14:cfvo type="num">
                <xm:f>$E$6</xm:f>
              </x14:cfvo>
              <x14:cfvo type="num">
                <xm:f>$E$6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C18:D24</xm:sqref>
        </x14:conditionalFormatting>
        <x14:conditionalFormatting xmlns:xm="http://schemas.microsoft.com/office/excel/2006/main">
          <x14:cfRule type="iconSet" priority="19" id="{42079A2D-6A38-45A2-9EBB-7E2C2769A674}">
            <x14:iconSet custom="1">
              <x14:cfvo type="percent">
                <xm:f>0</xm:f>
              </x14:cfvo>
              <x14:cfvo type="num">
                <xm:f>$E$6</xm:f>
              </x14:cfvo>
              <x14:cfvo type="num">
                <xm:f>$E$6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H18:H24</xm:sqref>
        </x14:conditionalFormatting>
        <x14:conditionalFormatting xmlns:xm="http://schemas.microsoft.com/office/excel/2006/main">
          <x14:cfRule type="iconSet" priority="14" id="{8757A105-298F-4AA8-AAD9-B3AD2435EE0D}">
            <x14:iconSet iconSet="3Triangles" custom="1">
              <x14:cfvo type="percent">
                <xm:f>0</xm:f>
              </x14:cfvo>
              <x14:cfvo type="num">
                <xm:f>RANK!$M$2</xm:f>
              </x14:cfvo>
              <x14:cfvo type="num" gte="0">
                <xm:f>RANK!$M$2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K18</xm:sqref>
        </x14:conditionalFormatting>
        <x14:conditionalFormatting xmlns:xm="http://schemas.microsoft.com/office/excel/2006/main">
          <x14:cfRule type="iconSet" priority="13" id="{FFACF3A7-34C5-4124-9ADB-18AA032F736E}">
            <x14:iconSet iconSet="3Triangles" custom="1">
              <x14:cfvo type="percent">
                <xm:f>0</xm:f>
              </x14:cfvo>
              <x14:cfvo type="num">
                <xm:f>RANK!$M$2</xm:f>
              </x14:cfvo>
              <x14:cfvo type="num" gte="0">
                <xm:f>RANK!$M$2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G18</xm:sqref>
        </x14:conditionalFormatting>
        <x14:conditionalFormatting xmlns:xm="http://schemas.microsoft.com/office/excel/2006/main">
          <x14:cfRule type="iconSet" priority="12" id="{D6101ACA-1E53-40B3-BFAF-CDE8A5598534}">
            <x14:iconSet iconSet="3Triangles" custom="1">
              <x14:cfvo type="percent">
                <xm:f>0</xm:f>
              </x14:cfvo>
              <x14:cfvo type="num">
                <xm:f>RANK!$M$2</xm:f>
              </x14:cfvo>
              <x14:cfvo type="num" gte="0">
                <xm:f>RANK!$M$2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K19</xm:sqref>
        </x14:conditionalFormatting>
        <x14:conditionalFormatting xmlns:xm="http://schemas.microsoft.com/office/excel/2006/main">
          <x14:cfRule type="iconSet" priority="11" id="{83498C20-AF7D-4466-83AA-D652A3D37813}">
            <x14:iconSet iconSet="3Triangles" custom="1">
              <x14:cfvo type="percent">
                <xm:f>0</xm:f>
              </x14:cfvo>
              <x14:cfvo type="num">
                <xm:f>RANK!$M$2</xm:f>
              </x14:cfvo>
              <x14:cfvo type="num" gte="0">
                <xm:f>RANK!$M$2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K20</xm:sqref>
        </x14:conditionalFormatting>
        <x14:conditionalFormatting xmlns:xm="http://schemas.microsoft.com/office/excel/2006/main">
          <x14:cfRule type="iconSet" priority="10" id="{08A7058E-E64D-49C0-B123-6E1F48796931}">
            <x14:iconSet iconSet="3Triangles" custom="1">
              <x14:cfvo type="percent">
                <xm:f>0</xm:f>
              </x14:cfvo>
              <x14:cfvo type="num">
                <xm:f>RANK!$M$2</xm:f>
              </x14:cfvo>
              <x14:cfvo type="num" gte="0">
                <xm:f>RANK!$M$2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K21</xm:sqref>
        </x14:conditionalFormatting>
        <x14:conditionalFormatting xmlns:xm="http://schemas.microsoft.com/office/excel/2006/main">
          <x14:cfRule type="iconSet" priority="9" id="{868D08E8-9E70-4BC8-B15F-9D31E5F62306}">
            <x14:iconSet iconSet="3Triangles" custom="1">
              <x14:cfvo type="percent">
                <xm:f>0</xm:f>
              </x14:cfvo>
              <x14:cfvo type="num">
                <xm:f>RANK!$M$2</xm:f>
              </x14:cfvo>
              <x14:cfvo type="num" gte="0">
                <xm:f>RANK!$M$2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K22</xm:sqref>
        </x14:conditionalFormatting>
        <x14:conditionalFormatting xmlns:xm="http://schemas.microsoft.com/office/excel/2006/main">
          <x14:cfRule type="iconSet" priority="8" id="{AEC980C0-7C93-49B7-9A3E-A18B6AA1B402}">
            <x14:iconSet iconSet="3Triangles" custom="1">
              <x14:cfvo type="percent">
                <xm:f>0</xm:f>
              </x14:cfvo>
              <x14:cfvo type="num">
                <xm:f>RANK!$M$2</xm:f>
              </x14:cfvo>
              <x14:cfvo type="num" gte="0">
                <xm:f>RANK!$M$2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K23</xm:sqref>
        </x14:conditionalFormatting>
        <x14:conditionalFormatting xmlns:xm="http://schemas.microsoft.com/office/excel/2006/main">
          <x14:cfRule type="iconSet" priority="7" id="{EFA4A0A0-18C5-4D28-9254-4D1397064819}">
            <x14:iconSet iconSet="3Triangles" custom="1">
              <x14:cfvo type="percent">
                <xm:f>0</xm:f>
              </x14:cfvo>
              <x14:cfvo type="num">
                <xm:f>RANK!$M$2</xm:f>
              </x14:cfvo>
              <x14:cfvo type="num" gte="0">
                <xm:f>RANK!$M$2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K24</xm:sqref>
        </x14:conditionalFormatting>
        <x14:conditionalFormatting xmlns:xm="http://schemas.microsoft.com/office/excel/2006/main">
          <x14:cfRule type="iconSet" priority="6" id="{63272628-C660-4364-AD57-045890C4F806}">
            <x14:iconSet iconSet="3Triangles" custom="1">
              <x14:cfvo type="percent">
                <xm:f>0</xm:f>
              </x14:cfvo>
              <x14:cfvo type="num">
                <xm:f>RANK!$M$2</xm:f>
              </x14:cfvo>
              <x14:cfvo type="num" gte="0">
                <xm:f>RANK!$M$2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G19</xm:sqref>
        </x14:conditionalFormatting>
        <x14:conditionalFormatting xmlns:xm="http://schemas.microsoft.com/office/excel/2006/main">
          <x14:cfRule type="iconSet" priority="5" id="{182085D8-B461-4F19-83FB-B2717F8AEB7B}">
            <x14:iconSet iconSet="3Triangles" custom="1">
              <x14:cfvo type="percent">
                <xm:f>0</xm:f>
              </x14:cfvo>
              <x14:cfvo type="num">
                <xm:f>RANK!$M$2</xm:f>
              </x14:cfvo>
              <x14:cfvo type="num" gte="0">
                <xm:f>RANK!$M$2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G20</xm:sqref>
        </x14:conditionalFormatting>
        <x14:conditionalFormatting xmlns:xm="http://schemas.microsoft.com/office/excel/2006/main">
          <x14:cfRule type="iconSet" priority="4" id="{8E169DAF-A546-481A-959F-F5D80DF7A3DD}">
            <x14:iconSet iconSet="3Triangles" custom="1">
              <x14:cfvo type="percent">
                <xm:f>0</xm:f>
              </x14:cfvo>
              <x14:cfvo type="num">
                <xm:f>RANK!$M$2</xm:f>
              </x14:cfvo>
              <x14:cfvo type="num" gte="0">
                <xm:f>RANK!$M$2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G21</xm:sqref>
        </x14:conditionalFormatting>
        <x14:conditionalFormatting xmlns:xm="http://schemas.microsoft.com/office/excel/2006/main">
          <x14:cfRule type="iconSet" priority="3" id="{FC06DD28-F782-450E-A384-C6A843B8EA2D}">
            <x14:iconSet iconSet="3Triangles" custom="1">
              <x14:cfvo type="percent">
                <xm:f>0</xm:f>
              </x14:cfvo>
              <x14:cfvo type="num">
                <xm:f>RANK!$M$2</xm:f>
              </x14:cfvo>
              <x14:cfvo type="num" gte="0">
                <xm:f>RANK!$M$2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G22</xm:sqref>
        </x14:conditionalFormatting>
        <x14:conditionalFormatting xmlns:xm="http://schemas.microsoft.com/office/excel/2006/main">
          <x14:cfRule type="iconSet" priority="2" id="{E49A56CF-8A31-470E-8B72-A4D4955AEEAB}">
            <x14:iconSet iconSet="3Triangles" custom="1">
              <x14:cfvo type="percent">
                <xm:f>0</xm:f>
              </x14:cfvo>
              <x14:cfvo type="num">
                <xm:f>RANK!$M$2</xm:f>
              </x14:cfvo>
              <x14:cfvo type="num" gte="0">
                <xm:f>RANK!$M$2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G23</xm:sqref>
        </x14:conditionalFormatting>
        <x14:conditionalFormatting xmlns:xm="http://schemas.microsoft.com/office/excel/2006/main">
          <x14:cfRule type="iconSet" priority="1" id="{41765903-2DED-487E-A07C-2EBBF3C9D147}">
            <x14:iconSet iconSet="3Triangles" custom="1">
              <x14:cfvo type="percent">
                <xm:f>0</xm:f>
              </x14:cfvo>
              <x14:cfvo type="num">
                <xm:f>RANK!$M$2</xm:f>
              </x14:cfvo>
              <x14:cfvo type="num" gte="0">
                <xm:f>RANK!$M$2</xm:f>
              </x14:cfvo>
              <x14:cfIcon iconSet="3Triangles" iconId="2"/>
              <x14:cfIcon iconSet="3Triangles" iconId="1"/>
              <x14:cfIcon iconSet="3Triangles" iconId="0"/>
            </x14:iconSet>
          </x14:cfRule>
          <xm:sqref>G24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0">
    <pageSetUpPr fitToPage="1"/>
  </sheetPr>
  <dimension ref="A1:U32"/>
  <sheetViews>
    <sheetView tabSelected="1" topLeftCell="A2" zoomScale="56" workbookViewId="0">
      <selection activeCell="B31" sqref="B31"/>
    </sheetView>
  </sheetViews>
  <sheetFormatPr defaultRowHeight="14.5" x14ac:dyDescent="0.35"/>
  <cols>
    <col min="1" max="1" width="9.1796875" style="154"/>
    <col min="2" max="2" width="6.453125" customWidth="1"/>
    <col min="3" max="3" width="0.54296875" customWidth="1"/>
    <col min="4" max="4" width="35.7265625" customWidth="1"/>
    <col min="5" max="5" width="8.81640625" bestFit="1" customWidth="1"/>
    <col min="6" max="6" width="11.1796875" customWidth="1"/>
    <col min="7" max="11" width="8.81640625" bestFit="1" customWidth="1"/>
    <col min="16" max="16" width="10.453125" bestFit="1" customWidth="1"/>
  </cols>
  <sheetData>
    <row r="1" spans="2:21" ht="21" x14ac:dyDescent="0.35">
      <c r="B1" s="307" t="s">
        <v>164</v>
      </c>
      <c r="C1" s="308"/>
      <c r="D1" s="308"/>
      <c r="E1" s="308"/>
      <c r="F1" s="308"/>
      <c r="G1" s="308"/>
      <c r="H1" s="308"/>
      <c r="I1" s="308"/>
      <c r="J1" s="308"/>
      <c r="K1" s="308"/>
      <c r="L1" s="309"/>
      <c r="M1" s="154"/>
    </row>
    <row r="2" spans="2:21" ht="21" x14ac:dyDescent="0.35">
      <c r="B2" s="241"/>
      <c r="C2" s="129"/>
      <c r="D2" s="129"/>
      <c r="E2" s="129"/>
      <c r="F2" s="129"/>
      <c r="G2" s="129"/>
      <c r="H2" s="129"/>
      <c r="I2" s="129"/>
      <c r="J2" s="129"/>
      <c r="K2" s="129"/>
      <c r="L2" s="236"/>
      <c r="M2" s="154"/>
      <c r="R2" t="s">
        <v>49</v>
      </c>
      <c r="S2" t="s">
        <v>51</v>
      </c>
      <c r="T2" t="s">
        <v>52</v>
      </c>
    </row>
    <row r="3" spans="2:21" x14ac:dyDescent="0.35">
      <c r="B3" s="242"/>
      <c r="C3" s="131"/>
      <c r="D3" s="132" t="s">
        <v>146</v>
      </c>
      <c r="E3" s="206" t="s">
        <v>147</v>
      </c>
      <c r="F3" s="206" t="s">
        <v>148</v>
      </c>
      <c r="G3" s="206" t="s">
        <v>37</v>
      </c>
      <c r="H3" s="207">
        <v>2019</v>
      </c>
      <c r="I3" s="206" t="s">
        <v>77</v>
      </c>
      <c r="J3" s="206" t="s">
        <v>78</v>
      </c>
      <c r="K3" s="208" t="s">
        <v>38</v>
      </c>
      <c r="L3" s="237"/>
      <c r="M3" s="154"/>
      <c r="P3" s="53">
        <f ca="1">TODAY()</f>
        <v>45645</v>
      </c>
      <c r="R3" s="188">
        <f>$G$7</f>
        <v>4.5300737376965999E-3</v>
      </c>
      <c r="S3" s="251">
        <f>OA_SeatCnxl!C2</f>
        <v>0</v>
      </c>
      <c r="T3" s="251">
        <f>OA_SeatCnxl!C3</f>
        <v>0</v>
      </c>
      <c r="U3">
        <f>RANK(R3,R3:T3,1)</f>
        <v>3</v>
      </c>
    </row>
    <row r="4" spans="2:21" x14ac:dyDescent="0.35">
      <c r="B4" s="242"/>
      <c r="C4" s="131"/>
      <c r="D4" s="131"/>
      <c r="E4" s="209"/>
      <c r="F4" s="209"/>
      <c r="G4" s="209"/>
      <c r="H4" s="210"/>
      <c r="I4" s="209"/>
      <c r="J4" s="209"/>
      <c r="K4" s="211"/>
      <c r="L4" s="237"/>
      <c r="M4" s="154"/>
      <c r="P4">
        <f ca="1">DAY(P3)</f>
        <v>19</v>
      </c>
    </row>
    <row r="5" spans="2:21" x14ac:dyDescent="0.35">
      <c r="B5" s="310" t="s">
        <v>149</v>
      </c>
      <c r="C5" s="131"/>
      <c r="D5" s="134" t="s">
        <v>435</v>
      </c>
      <c r="E5" s="222">
        <f>UA_SQL_1!$O$2/UA_SQL_1!$N$2</f>
        <v>6.4516129032258064E-3</v>
      </c>
      <c r="F5" s="222">
        <f>UA_L7D!$F$2/UA_L7D!$E$2</f>
        <v>1.827717736808646E-3</v>
      </c>
      <c r="G5" s="222">
        <f>UA_SQL_1!$F$2/UA_SQL_1!$E$2</f>
        <v>4.0492957746478871E-3</v>
      </c>
      <c r="H5" s="276">
        <f>UA_SQL_1_2019!$F$2/UA_SQL_1_2019!$E$2</f>
        <v>2.2682274479836048E-2</v>
      </c>
      <c r="I5" s="282">
        <f>(G5-RANK!$Q$2)*100</f>
        <v>-0.5931510367386672</v>
      </c>
      <c r="J5" s="282">
        <f>($G$5-RANK!$R$2)*100</f>
        <v>0.10727645783113246</v>
      </c>
      <c r="K5" s="212">
        <v>3</v>
      </c>
      <c r="L5" s="237"/>
      <c r="M5" s="154"/>
    </row>
    <row r="6" spans="2:21" x14ac:dyDescent="0.35">
      <c r="B6" s="310"/>
      <c r="C6" s="131"/>
      <c r="D6" s="134" t="s">
        <v>437</v>
      </c>
      <c r="E6" s="222">
        <f>(UA_SQL_1!$V$2)/UA_SQL_1!$N$2</f>
        <v>0</v>
      </c>
      <c r="F6" s="276">
        <f>(UA_L7D!$M$2)/UA_L7D!$E$2</f>
        <v>1.589319771137953E-4</v>
      </c>
      <c r="G6" s="222">
        <f>(UA_SQL_1!$M$2)/UA_SQL_1!$E$2</f>
        <v>3.5211267605633805E-4</v>
      </c>
      <c r="H6" s="276">
        <f>(UA_SQL_1_2019!$M$2)/UA_SQL_1_2019!$E$2</f>
        <v>1.9799228872138665E-3</v>
      </c>
      <c r="I6" s="282" t="str">
        <f>"-"</f>
        <v>-</v>
      </c>
      <c r="J6" s="282" t="str">
        <f>"-"</f>
        <v>-</v>
      </c>
      <c r="K6" s="213" t="str">
        <f>"-"</f>
        <v>-</v>
      </c>
      <c r="L6" s="237"/>
      <c r="M6" s="154"/>
    </row>
    <row r="7" spans="2:21" x14ac:dyDescent="0.35">
      <c r="B7" s="310"/>
      <c r="C7" s="131"/>
      <c r="D7" s="134" t="s">
        <v>436</v>
      </c>
      <c r="E7" s="277">
        <f>UA_Seat_cancels!B2</f>
        <v>7.0714638112814501E-3</v>
      </c>
      <c r="F7" s="278">
        <f>UA_Seat_cancels!C2</f>
        <v>3.3445224290509601E-3</v>
      </c>
      <c r="G7" s="222">
        <f>UA_Seat_cancels!A2</f>
        <v>4.5300737376965999E-3</v>
      </c>
      <c r="H7" s="276">
        <f>UA_SeatCnxl_2019!$B$2</f>
        <v>2.5895733681135701E-2</v>
      </c>
      <c r="I7" s="282">
        <f>($G$7-OA_SeatCnxl!$C$3)*100</f>
        <v>0.45300737376965999</v>
      </c>
      <c r="J7" s="282">
        <f>($G$7-OA_SeatCnxl!$C$2)*100</f>
        <v>0.45300737376965999</v>
      </c>
      <c r="K7" s="260">
        <f>U3</f>
        <v>3</v>
      </c>
      <c r="L7" s="237"/>
      <c r="M7" s="154"/>
    </row>
    <row r="8" spans="2:21" x14ac:dyDescent="0.35">
      <c r="B8" s="310"/>
      <c r="C8" s="131"/>
      <c r="D8" s="134" t="s">
        <v>150</v>
      </c>
      <c r="E8" s="279">
        <f>UA_SQL_1!$R$2/UA_SQL_1!$N$2</f>
        <v>0.71495601173020529</v>
      </c>
      <c r="F8" s="276">
        <f>UA_L7D!$I$2/UA_L7D!$E$2</f>
        <v>0.6501907183725365</v>
      </c>
      <c r="G8" s="222">
        <f>UA_SQL_1!$I$2/UA_SQL_1!$E$2</f>
        <v>0.64154929577464792</v>
      </c>
      <c r="H8" s="276">
        <f>UA_SQL_1_2019!$I$2/UA_SQL_1_2019!$E$2</f>
        <v>0.60660900575451271</v>
      </c>
      <c r="I8" s="282">
        <f>(RANK!$P$3-RANK!Q3)*100</f>
        <v>8.0704766024168091</v>
      </c>
      <c r="J8" s="282">
        <f>(RANK!$P$3-RANK!R3)*100</f>
        <v>2.8040423422043492</v>
      </c>
      <c r="K8" s="214">
        <f>RANK!$T$3</f>
        <v>1</v>
      </c>
      <c r="L8" s="237"/>
      <c r="M8" s="154"/>
    </row>
    <row r="9" spans="2:21" x14ac:dyDescent="0.35">
      <c r="B9" s="310"/>
      <c r="C9" s="131"/>
      <c r="D9" s="134" t="s">
        <v>151</v>
      </c>
      <c r="E9" s="277">
        <f>UA_SQL_1!$S$2/UA_SQL_1!$N$2</f>
        <v>0.85161290322580641</v>
      </c>
      <c r="F9" s="276">
        <f>UA_L7D!$J$2/UA_L7D!$E$2</f>
        <v>0.79910998092816277</v>
      </c>
      <c r="G9" s="222">
        <f>UA_SQL_1!$J$2/UA_SQL_1!$E$2</f>
        <v>0.79507042253521132</v>
      </c>
      <c r="H9" s="276">
        <f>UA_SQL_1_2019!$J$2/UA_SQL_1_2019!$E$2</f>
        <v>0.74105850614239233</v>
      </c>
      <c r="I9" s="282">
        <f>(RANK!$P$5-RANK!Q5)*100</f>
        <v>7.8371766105268854</v>
      </c>
      <c r="J9" s="282">
        <f>(RANK!$P$5-RANK!R5)*100</f>
        <v>1.2586163805961226</v>
      </c>
      <c r="K9" s="214">
        <f>RANK!T5</f>
        <v>1</v>
      </c>
      <c r="L9" s="237"/>
      <c r="M9" s="154"/>
    </row>
    <row r="10" spans="2:21" x14ac:dyDescent="0.35">
      <c r="B10" s="310"/>
      <c r="C10" s="131"/>
      <c r="D10" s="134" t="s">
        <v>152</v>
      </c>
      <c r="E10" s="279">
        <f>(UA_SQL_1!$Q$2/UA_SQL_1!$N$2)</f>
        <v>0.78064516129032258</v>
      </c>
      <c r="F10" s="276">
        <f>UA_L7D!$H$2/UA_L7D!$E$2</f>
        <v>0.73156389065479976</v>
      </c>
      <c r="G10" s="222">
        <f>UA_SQL_1!$H$2/UA_SQL_1!$E$2</f>
        <v>0.71795774647887323</v>
      </c>
      <c r="H10" s="276">
        <f>UA_SQL_1_2019!$H$2/UA_SQL_1_2019!$E$2</f>
        <v>0.66084268296918958</v>
      </c>
      <c r="I10" s="282">
        <f>(RANK!$P$4-RANK!Q4)*100</f>
        <v>11.834162363818223</v>
      </c>
      <c r="J10" s="282">
        <f>(RANK!$P$4-RANK!R4)*100</f>
        <v>3.7247958270516079</v>
      </c>
      <c r="K10" s="214">
        <f>RANK!$T$4</f>
        <v>1</v>
      </c>
      <c r="L10" s="237"/>
      <c r="M10" s="154"/>
    </row>
    <row r="11" spans="2:21" x14ac:dyDescent="0.35">
      <c r="B11" s="310"/>
      <c r="C11" s="131"/>
      <c r="D11" s="134" t="s">
        <v>153</v>
      </c>
      <c r="E11" s="277">
        <f>UA_SQL_1!$P$2/UA_SQL_1!$N$2</f>
        <v>0.76070381231671558</v>
      </c>
      <c r="F11" s="276">
        <f>UA_L7D!$G$2/UA_L7D!$E$2</f>
        <v>0.71034647171010812</v>
      </c>
      <c r="G11" s="222">
        <f>UA_SQL_1!$G$2/UA_SQL_1!$E$2</f>
        <v>0.69436619718309855</v>
      </c>
      <c r="H11" s="276">
        <f>UA_SQL_1_2019!$G$2/UA_SQL_1_2019!$E$2</f>
        <v>0.65390716361573287</v>
      </c>
      <c r="I11" s="215"/>
      <c r="J11" s="216"/>
      <c r="K11" s="217"/>
      <c r="L11" s="237"/>
      <c r="M11" s="154"/>
    </row>
    <row r="12" spans="2:21" x14ac:dyDescent="0.35">
      <c r="B12" s="310"/>
      <c r="C12" s="131"/>
      <c r="D12" s="134" t="s">
        <v>154</v>
      </c>
      <c r="E12" s="279">
        <f>UA_SQL_1!$U$2/UA_SQL_1!$T$2</f>
        <v>0.8424908424908425</v>
      </c>
      <c r="F12" s="276">
        <f>UA_L7D!$L$2/UA_L7D!$K$2</f>
        <v>0.81639722863741337</v>
      </c>
      <c r="G12" s="222">
        <f>UA_SQL_1!$L$2/UA_SQL_1!$K$2</f>
        <v>0.81639722863741337</v>
      </c>
      <c r="H12" s="276">
        <f>UA_SQL_1_2019!$L$2/UA_SQL_1_2019!$K$2</f>
        <v>0.80671328671328668</v>
      </c>
      <c r="I12" s="218"/>
      <c r="J12" s="217"/>
      <c r="K12" s="217"/>
      <c r="L12" s="237"/>
      <c r="M12" s="154"/>
    </row>
    <row r="13" spans="2:21" x14ac:dyDescent="0.35">
      <c r="B13" s="242"/>
      <c r="C13" s="131"/>
      <c r="D13" s="136"/>
      <c r="E13" s="280"/>
      <c r="F13" s="280"/>
      <c r="G13" s="280"/>
      <c r="H13" s="281"/>
      <c r="I13" s="220"/>
      <c r="J13" s="221"/>
      <c r="K13" s="221"/>
      <c r="L13" s="237"/>
      <c r="M13" s="154"/>
      <c r="P13" t="str">
        <f>"2019"</f>
        <v>2019</v>
      </c>
    </row>
    <row r="14" spans="2:21" x14ac:dyDescent="0.35">
      <c r="B14" s="310" t="s">
        <v>155</v>
      </c>
      <c r="C14" s="137"/>
      <c r="D14" s="134" t="s">
        <v>156</v>
      </c>
      <c r="E14" s="222">
        <f>IFERROR(VLOOKUP("YEST",Delays_Info!$A:$R,14,0)/100,"-")</f>
        <v>9.9706744868035102E-2</v>
      </c>
      <c r="F14" s="222">
        <f>IFERROR(VLOOKUP("L7D",Delays_Info!$A:$R,14,0)/100,"-")</f>
        <v>0.12023204068658601</v>
      </c>
      <c r="G14" s="222">
        <f>IFERROR(VLOOKUP("MTD",Delays_Info!$A:$R,14,0)/100,"-")</f>
        <v>0.12658450704225299</v>
      </c>
      <c r="H14" s="222">
        <f>Delays_Info!$N$5/100</f>
        <v>0.10863918690005599</v>
      </c>
      <c r="I14" s="220"/>
      <c r="J14" s="221"/>
      <c r="K14" s="221"/>
      <c r="L14" s="237"/>
      <c r="M14" s="154"/>
    </row>
    <row r="15" spans="2:21" x14ac:dyDescent="0.35">
      <c r="B15" s="310"/>
      <c r="C15" s="137"/>
      <c r="D15" s="134" t="s">
        <v>157</v>
      </c>
      <c r="E15" s="222">
        <f>IFERROR(VLOOKUP("YEST",Delays_Info!$A$1:$R$5,15,0)/100,"-")</f>
        <v>0.133137829912023</v>
      </c>
      <c r="F15" s="222">
        <f>IFERROR(VLOOKUP("L7D",Delays_Info!$A$1:$R$5,15,0)/100,"-")</f>
        <v>0.16759376986649699</v>
      </c>
      <c r="G15" s="222">
        <f>IFERROR(VLOOKUP("MTD",Delays_Info!$A$1:$R$5,15,0)/100,"-")</f>
        <v>0.17499999999999999</v>
      </c>
      <c r="H15" s="222">
        <f>Delays_Info!$O5/100</f>
        <v>0.28266516092603</v>
      </c>
      <c r="I15" s="220"/>
      <c r="J15" s="221"/>
      <c r="K15" s="221"/>
      <c r="L15" s="237"/>
      <c r="M15" s="154"/>
    </row>
    <row r="16" spans="2:21" x14ac:dyDescent="0.35">
      <c r="B16" s="310"/>
      <c r="C16" s="137"/>
      <c r="D16" s="134" t="s">
        <v>158</v>
      </c>
      <c r="E16" s="222">
        <f>IFERROR(VLOOKUP("YEST",Delays_Info!$A$1:$R$5,17,0)/100,"-")</f>
        <v>2.1114369501466199E-2</v>
      </c>
      <c r="F16" s="222">
        <f>IFERROR(VLOOKUP("L7D",Delays_Info!$A$1:$R$5,17,0)/100,"-")</f>
        <v>2.74157660521296E-2</v>
      </c>
      <c r="G16" s="222">
        <f>IFERROR(VLOOKUP("MTD",Delays_Info!$A$1:$R$5,17,0)/100,"-")</f>
        <v>3.2042253521126697E-2</v>
      </c>
      <c r="H16" s="222">
        <f>Delays_Info!$Q5/100</f>
        <v>7.1936758893280606E-2</v>
      </c>
      <c r="I16" s="223"/>
      <c r="J16" s="221"/>
      <c r="K16" s="221"/>
      <c r="L16" s="237"/>
      <c r="M16" s="154"/>
    </row>
    <row r="17" spans="2:13" x14ac:dyDescent="0.35">
      <c r="B17" s="310"/>
      <c r="C17" s="137"/>
      <c r="D17" s="138" t="s">
        <v>159</v>
      </c>
      <c r="E17" s="222">
        <f>IFERROR(VLOOKUP("YEST",Delays_Info!$A$1:$R$5,7,0)/VLOOKUP("YEST",Delays_Info!$A$1:$R$5,13,0),"-")</f>
        <v>8.2111436950146627E-3</v>
      </c>
      <c r="F17" s="222">
        <f>IFERROR(VLOOKUP("L7D",Delays_Info!$A$1:$R$5,7,0)/VLOOKUP("L7D",Delays_Info!$A$1:$R$5,13,0),"-")</f>
        <v>8.7412587412587419E-3</v>
      </c>
      <c r="G17" s="222">
        <f>IFERROR(VLOOKUP("MTD",Delays_Info!$A$1:$R$5,7,0)/VLOOKUP("MTD",Delays_Info!$A$1:$R$5,13,0),"-")</f>
        <v>1.0387323943661972E-2</v>
      </c>
      <c r="H17" s="222">
        <f>Delays_Info!G$5/Delays_Info!$M$5</f>
        <v>2.3037831733483907E-2</v>
      </c>
      <c r="I17" s="220"/>
      <c r="J17" s="224"/>
      <c r="K17" s="224"/>
      <c r="L17" s="238"/>
      <c r="M17" s="154"/>
    </row>
    <row r="18" spans="2:13" x14ac:dyDescent="0.35">
      <c r="B18" s="310"/>
      <c r="C18" s="137"/>
      <c r="D18" s="138" t="s">
        <v>160</v>
      </c>
      <c r="E18" s="222">
        <f>IFERROR(VLOOKUP("YEST",Delays_Info!$A$1:$R$5,8,0)/VLOOKUP("YEST",Delays_Info!$A$1:$R$5,13,0),"-")</f>
        <v>6.4516129032258064E-3</v>
      </c>
      <c r="F18" s="222">
        <f>IFERROR(VLOOKUP("L7D",Delays_Info!$A$1:$R$5,8,0)/VLOOKUP("L7D",Delays_Info!$A$1:$R$5,13,0),"-")</f>
        <v>4.2116973935155755E-3</v>
      </c>
      <c r="G18" s="222">
        <f>IFERROR(VLOOKUP("MTD",Delays_Info!$A$1:$R$5,8,0)/VLOOKUP("MTD",Delays_Info!$A$1:$R$5,13,0),"-")</f>
        <v>6.1619718309859151E-3</v>
      </c>
      <c r="H18" s="222">
        <f>Delays_Info!H$5/Delays_Info!$M$5</f>
        <v>1.4568040654997177E-2</v>
      </c>
      <c r="I18" s="220"/>
      <c r="J18" s="221"/>
      <c r="K18" s="221"/>
      <c r="L18" s="237"/>
      <c r="M18" s="154"/>
    </row>
    <row r="19" spans="2:13" x14ac:dyDescent="0.35">
      <c r="B19" s="310"/>
      <c r="C19" s="137"/>
      <c r="D19" s="138" t="s">
        <v>161</v>
      </c>
      <c r="E19" s="222">
        <f>IFERROR(VLOOKUP("YEST",Delays_Info!$A$1:$R$5,9,0)/VLOOKUP("YEST",Delays_Info!$A$1:$R$5,13,0),"-")</f>
        <v>4.1055718475073314E-3</v>
      </c>
      <c r="F19" s="222">
        <f>IFERROR(VLOOKUP("L7D",Delays_Info!$A$1:$R$5,9,0)/VLOOKUP("L7D",Delays_Info!$A$1:$R$5,13,0),"-")</f>
        <v>1.0568976478067387E-2</v>
      </c>
      <c r="G19" s="222">
        <f>IFERROR(VLOOKUP("MTD",Delays_Info!$A$1:$R$5,9,0)/VLOOKUP("MTD",Delays_Info!$A$1:$R$5,13,0),"-")</f>
        <v>1.1091549295774649E-2</v>
      </c>
      <c r="H19" s="222">
        <f>Delays_Info!I$5/Delays_Info!$M$5</f>
        <v>1.445511010728402E-2</v>
      </c>
      <c r="I19" s="220"/>
      <c r="J19" s="221"/>
      <c r="K19" s="221"/>
      <c r="L19" s="237"/>
      <c r="M19" s="154"/>
    </row>
    <row r="20" spans="2:13" x14ac:dyDescent="0.35">
      <c r="B20" s="310"/>
      <c r="C20" s="137"/>
      <c r="D20" s="139" t="s">
        <v>162</v>
      </c>
      <c r="E20" s="222">
        <f>IFERROR(VLOOKUP("L7D",Delays_Info!$A$1:$R$5,18,0)/100,"-")</f>
        <v>1.4303877940241501E-2</v>
      </c>
      <c r="F20" s="222">
        <f>IFERROR(VLOOKUP("YEST",Delays_Info!$A$1:$R$5,18,0)/100,"-")</f>
        <v>1.5835777126099699E-2</v>
      </c>
      <c r="G20" s="222">
        <f>IFERROR(VLOOKUP("MTD",Delays_Info!$A$1:$R$5,18,0)/100,"-")</f>
        <v>1.5669014084507001E-2</v>
      </c>
      <c r="H20" s="222">
        <f>Delays_Info!$R5/100</f>
        <v>2.6312817617165401E-2</v>
      </c>
      <c r="I20" s="220"/>
      <c r="J20" s="221"/>
      <c r="K20" s="221"/>
      <c r="L20" s="237"/>
      <c r="M20" s="154"/>
    </row>
    <row r="21" spans="2:13" x14ac:dyDescent="0.35">
      <c r="B21" s="310"/>
      <c r="C21" s="137"/>
      <c r="D21" s="138" t="s">
        <v>159</v>
      </c>
      <c r="E21" s="222">
        <f>IFERROR(VLOOKUP("YEST",Delays_Info!$A$1:$R$5,10,0)/VLOOKUP("YEST",Delays_Info!$A$1:$R$5,13,0),"-")</f>
        <v>4.6920821114369501E-3</v>
      </c>
      <c r="F21" s="222">
        <f>IFERROR(VLOOKUP("L7D",Delays_Info!$A$1:$R$5,10,0)/VLOOKUP("L7D",Delays_Info!$A$1:$R$5,13,0),"-")</f>
        <v>5.6420851875397327E-3</v>
      </c>
      <c r="G21" s="222">
        <f>IFERROR(VLOOKUP("MTD",Delays_Info!$A$1:$R$5,10,0)/VLOOKUP("MTD",Delays_Info!$A$1:$R$5,13,0),"-")</f>
        <v>5.6338028169014088E-3</v>
      </c>
      <c r="H21" s="222">
        <f>Delays_Info!J$5/Delays_Info!$M$5</f>
        <v>1.0615471485036703E-2</v>
      </c>
      <c r="I21" s="220"/>
      <c r="J21" s="221"/>
      <c r="K21" s="221"/>
      <c r="L21" s="237"/>
      <c r="M21" s="154"/>
    </row>
    <row r="22" spans="2:13" x14ac:dyDescent="0.35">
      <c r="B22" s="310"/>
      <c r="C22" s="137"/>
      <c r="D22" s="138" t="s">
        <v>160</v>
      </c>
      <c r="E22" s="222">
        <f>IFERROR(VLOOKUP("YEST",Delays_Info!$A$1:$R$5,11,0)/VLOOKUP("YEST",Delays_Info!$A$1:$R$5,13,0),"-")</f>
        <v>3.5190615835777126E-3</v>
      </c>
      <c r="F22" s="222">
        <f>IFERROR(VLOOKUP("L7D",Delays_Info!$A$1:$R$5,11,0)/VLOOKUP("L7D",Delays_Info!$A$1:$R$5,13,0),"-")</f>
        <v>3.5759694850603942E-3</v>
      </c>
      <c r="G22" s="222">
        <f>IFERROR(VLOOKUP("MTD",Delays_Info!$A$1:$R$5,11,0)/VLOOKUP("MTD",Delays_Info!$A$1:$R$5,13,0),"-")</f>
        <v>4.5774647887323943E-3</v>
      </c>
      <c r="H22" s="222">
        <f>Delays_Info!K$5/Delays_Info!$M$5</f>
        <v>1.5810276679841897E-3</v>
      </c>
      <c r="I22" s="220"/>
      <c r="J22" s="221"/>
      <c r="K22" s="221"/>
      <c r="L22" s="237"/>
      <c r="M22" s="154"/>
    </row>
    <row r="23" spans="2:13" x14ac:dyDescent="0.35">
      <c r="B23" s="310"/>
      <c r="C23" s="137"/>
      <c r="D23" s="138" t="s">
        <v>161</v>
      </c>
      <c r="E23" s="222">
        <f>IFERROR(VLOOKUP("YEST",Delays_Info!$A$1:$R$5,12,0)/VLOOKUP("YEST",Delays_Info!$A$1:$R$5,13,0),"-")</f>
        <v>7.624633431085044E-3</v>
      </c>
      <c r="F23" s="222">
        <f>IFERROR(VLOOKUP("L7D",Delays_Info!$A$1:$R$5,12,0)/VLOOKUP("L7D",Delays_Info!$A$1:$R$5,13,0),"-")</f>
        <v>5.0858232676414495E-3</v>
      </c>
      <c r="G23" s="222">
        <f>IFERROR(VLOOKUP("MTD",Delays_Info!$A$1:$R$5,12,0)/VLOOKUP("MTD",Delays_Info!$A$1:$R$5,13,0),"-")</f>
        <v>5.4577464788732391E-3</v>
      </c>
      <c r="H23" s="222">
        <f>Delays_Info!L$5/Delays_Info!$M$5</f>
        <v>1.4116318464144552E-2</v>
      </c>
      <c r="I23" s="220"/>
      <c r="J23" s="221"/>
      <c r="K23" s="221"/>
      <c r="L23" s="237"/>
      <c r="M23" s="154"/>
    </row>
    <row r="24" spans="2:13" x14ac:dyDescent="0.35">
      <c r="B24" s="242"/>
      <c r="C24" s="131"/>
      <c r="D24" s="138"/>
      <c r="E24" s="225"/>
      <c r="F24" s="225"/>
      <c r="G24" s="225"/>
      <c r="H24" s="226"/>
      <c r="I24" s="220"/>
      <c r="J24" s="221"/>
      <c r="K24" s="221"/>
      <c r="L24" s="237"/>
      <c r="M24" s="154"/>
    </row>
    <row r="25" spans="2:13" x14ac:dyDescent="0.35">
      <c r="B25" s="310" t="s">
        <v>163</v>
      </c>
      <c r="C25" s="137"/>
      <c r="D25" s="139"/>
      <c r="E25" s="219"/>
      <c r="F25" s="209"/>
      <c r="G25" s="209"/>
      <c r="H25" s="210"/>
      <c r="I25" s="227"/>
      <c r="J25" s="221"/>
      <c r="K25" s="221"/>
      <c r="L25" s="237"/>
      <c r="M25" s="154"/>
    </row>
    <row r="26" spans="2:13" x14ac:dyDescent="0.35">
      <c r="B26" s="310"/>
      <c r="C26" s="137"/>
      <c r="D26" s="134" t="s">
        <v>87</v>
      </c>
      <c r="E26" s="228">
        <f>VLOOKUP("YEST",TOTAL_DIVERTS_SQL_5!$A$1:$B$3,2,0)</f>
        <v>3</v>
      </c>
      <c r="F26" s="229">
        <f>VLOOKUP("L7D",DIVERTS_SQL_5_2019!$A$1:$B$3,2,0)/7</f>
        <v>1.4285714285714286</v>
      </c>
      <c r="G26" s="229">
        <f ca="1">VLOOKUP("MTD",TOTAL_DIVERTS_SQL_5!$A$1:$B$3,2,0)/$P$4</f>
        <v>0.47368421052631576</v>
      </c>
      <c r="H26" s="229">
        <f ca="1">DIVERTS_SQL_5_2019!$B$2/$P$4</f>
        <v>0.52631578947368418</v>
      </c>
      <c r="I26" s="220"/>
      <c r="J26" s="221"/>
      <c r="K26" s="221"/>
      <c r="L26" s="237"/>
      <c r="M26" s="154"/>
    </row>
    <row r="27" spans="2:13" x14ac:dyDescent="0.35">
      <c r="B27" s="310"/>
      <c r="C27" s="137"/>
      <c r="D27" s="134" t="s">
        <v>88</v>
      </c>
      <c r="E27" s="228">
        <f>DIVERTS_RECOVERED_SQL_6!$C$2</f>
        <v>6</v>
      </c>
      <c r="F27" s="229">
        <f>RECOVERED_DIVERTS_2019!$C$3/7</f>
        <v>2.2857142857142856</v>
      </c>
      <c r="G27" s="229">
        <f ca="1">DIVERTS_RECOVERED_SQL_6!$C$3/P4</f>
        <v>5.2631578947368418E-2</v>
      </c>
      <c r="H27" s="230">
        <f ca="1">RECOVERED_DIVERTS_2019!$C$2/'Pg1'!$P$4</f>
        <v>0.36842105263157893</v>
      </c>
      <c r="I27" s="220"/>
      <c r="J27" s="221"/>
      <c r="K27" s="221"/>
      <c r="L27" s="237"/>
      <c r="M27" s="154"/>
    </row>
    <row r="28" spans="2:13" x14ac:dyDescent="0.35">
      <c r="B28" s="310"/>
      <c r="C28" s="137"/>
      <c r="D28" s="134" t="s">
        <v>121</v>
      </c>
      <c r="E28" s="228">
        <f>FLIGHTS_NOT_DEPARTED_SQL_8!$A$2</f>
        <v>3</v>
      </c>
      <c r="F28" s="228"/>
      <c r="G28" s="228"/>
      <c r="H28" s="231"/>
      <c r="I28" s="220"/>
      <c r="J28" s="221"/>
      <c r="K28" s="221"/>
      <c r="L28" s="237"/>
      <c r="M28" s="154"/>
    </row>
    <row r="29" spans="2:13" x14ac:dyDescent="0.35">
      <c r="B29" s="310"/>
      <c r="C29" s="137"/>
      <c r="D29" s="134" t="s">
        <v>124</v>
      </c>
      <c r="E29" s="232">
        <f>REPOSITIONED_FLIGHTS_SQL_13!$A$2</f>
        <v>19</v>
      </c>
      <c r="F29" s="232"/>
      <c r="G29" s="232"/>
      <c r="H29" s="233"/>
      <c r="I29" s="234"/>
      <c r="J29" s="235"/>
      <c r="K29" s="235"/>
      <c r="L29" s="237"/>
      <c r="M29" s="154"/>
    </row>
    <row r="30" spans="2:13" x14ac:dyDescent="0.35">
      <c r="B30" s="310"/>
      <c r="C30" s="137"/>
      <c r="D30" s="131"/>
      <c r="E30" s="235"/>
      <c r="F30" s="235"/>
      <c r="G30" s="235"/>
      <c r="H30" s="235"/>
      <c r="I30" s="235"/>
      <c r="J30" s="235"/>
      <c r="K30" s="235"/>
      <c r="L30" s="237"/>
      <c r="M30" s="154"/>
    </row>
    <row r="31" spans="2:13" x14ac:dyDescent="0.35">
      <c r="B31" s="243"/>
      <c r="C31" s="239"/>
      <c r="D31" s="239"/>
      <c r="E31" s="239"/>
      <c r="F31" s="239"/>
      <c r="G31" s="239"/>
      <c r="H31" s="239"/>
      <c r="I31" s="239"/>
      <c r="J31" s="239"/>
      <c r="K31" s="239"/>
      <c r="L31" s="240"/>
      <c r="M31" s="154"/>
    </row>
    <row r="32" spans="2:13" x14ac:dyDescent="0.35"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31"/>
      <c r="M32" s="154"/>
    </row>
  </sheetData>
  <mergeCells count="4">
    <mergeCell ref="B1:L1"/>
    <mergeCell ref="B5:B12"/>
    <mergeCell ref="B14:B23"/>
    <mergeCell ref="B25:B30"/>
  </mergeCells>
  <conditionalFormatting sqref="I6:J6 I8:J10">
    <cfRule type="cellIs" dxfId="68" priority="16" operator="greaterThan">
      <formula>0</formula>
    </cfRule>
    <cfRule type="cellIs" dxfId="67" priority="17" operator="lessThan">
      <formula>0</formula>
    </cfRule>
  </conditionalFormatting>
  <conditionalFormatting sqref="K6">
    <cfRule type="cellIs" dxfId="66" priority="11" operator="greaterThanOrEqual">
      <formula>0</formula>
    </cfRule>
    <cfRule type="cellIs" dxfId="65" priority="12" operator="lessThan">
      <formula>0</formula>
    </cfRule>
  </conditionalFormatting>
  <conditionalFormatting sqref="I5:J5">
    <cfRule type="cellIs" dxfId="64" priority="3" operator="lessThan">
      <formula>0</formula>
    </cfRule>
    <cfRule type="cellIs" dxfId="63" priority="4" operator="greaterThan">
      <formula>0</formula>
    </cfRule>
  </conditionalFormatting>
  <conditionalFormatting sqref="I7:J7">
    <cfRule type="cellIs" dxfId="62" priority="1" operator="lessThan">
      <formula>0</formula>
    </cfRule>
    <cfRule type="cellIs" dxfId="61" priority="2" operator="greaterThan">
      <formula>0</formula>
    </cfRule>
  </conditionalFormatting>
  <pageMargins left="0.7" right="0.7" top="0.75" bottom="0.75" header="0.3" footer="0.3"/>
  <pageSetup scale="66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2">
    <pageSetUpPr fitToPage="1"/>
  </sheetPr>
  <dimension ref="A1:U69"/>
  <sheetViews>
    <sheetView zoomScale="49" zoomScaleNormal="96" workbookViewId="0">
      <selection activeCell="F10" sqref="F10"/>
    </sheetView>
  </sheetViews>
  <sheetFormatPr defaultRowHeight="14.5" x14ac:dyDescent="0.35"/>
  <cols>
    <col min="3" max="3" width="17.1796875" customWidth="1"/>
    <col min="4" max="4" width="14" customWidth="1"/>
    <col min="5" max="5" width="16.81640625" customWidth="1"/>
    <col min="6" max="6" width="12.453125" customWidth="1"/>
    <col min="7" max="7" width="11.26953125" customWidth="1"/>
    <col min="8" max="8" width="10.453125" customWidth="1"/>
    <col min="9" max="9" width="13.7265625" customWidth="1"/>
    <col min="10" max="10" width="11.81640625" customWidth="1"/>
    <col min="11" max="11" width="11.7265625" customWidth="1"/>
    <col min="12" max="12" width="10.7265625" customWidth="1"/>
    <col min="15" max="15" width="11.1796875" customWidth="1"/>
    <col min="16" max="16" width="11.54296875" customWidth="1"/>
  </cols>
  <sheetData>
    <row r="1" spans="1:20" x14ac:dyDescent="0.35">
      <c r="A1" s="154"/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</row>
    <row r="2" spans="1:20" ht="21" x14ac:dyDescent="0.35">
      <c r="A2" s="154"/>
      <c r="B2" s="311" t="s">
        <v>165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3"/>
      <c r="Q2" s="154"/>
      <c r="R2" s="154"/>
    </row>
    <row r="3" spans="1:20" x14ac:dyDescent="0.35">
      <c r="A3" s="154"/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3"/>
      <c r="Q3" s="154"/>
      <c r="R3" s="154"/>
    </row>
    <row r="4" spans="1:20" x14ac:dyDescent="0.35">
      <c r="A4" s="154"/>
      <c r="B4" s="130"/>
      <c r="C4" s="140"/>
      <c r="D4" s="141" t="s">
        <v>153</v>
      </c>
      <c r="E4" s="141" t="s">
        <v>152</v>
      </c>
      <c r="F4" s="204" t="s">
        <v>77</v>
      </c>
      <c r="G4" s="204" t="s">
        <v>78</v>
      </c>
      <c r="H4" s="204" t="s">
        <v>116</v>
      </c>
      <c r="I4" s="204" t="s">
        <v>38</v>
      </c>
      <c r="J4" s="205"/>
      <c r="K4" s="141" t="s">
        <v>441</v>
      </c>
      <c r="L4" s="204" t="s">
        <v>77</v>
      </c>
      <c r="M4" s="204" t="s">
        <v>78</v>
      </c>
      <c r="N4" s="204" t="s">
        <v>116</v>
      </c>
      <c r="O4" s="204" t="s">
        <v>38</v>
      </c>
      <c r="P4" s="143"/>
      <c r="Q4" s="154"/>
      <c r="R4" s="154"/>
    </row>
    <row r="5" spans="1:20" x14ac:dyDescent="0.35">
      <c r="A5" s="154"/>
      <c r="B5" s="130"/>
      <c r="C5" s="140" t="s">
        <v>104</v>
      </c>
      <c r="D5" s="144">
        <f>SUMIFS(UA_HUB_SQL_7!$J:$J,UA_HUB_SQL_7!$B:$B,'Pg2'!$T6)/SUMIFS(UA_HUB_SQL_7!$F:$F,UA_HUB_SQL_7!$B:$B,'Pg2'!$T6)</f>
        <v>0.88</v>
      </c>
      <c r="E5" s="144">
        <f>SUMIFS(UA_HUB_SQL_7!$K:$K,UA_HUB_SQL_7!$B:$B,'Pg2'!$T6)/SUMIFS(UA_HUB_SQL_7!$F:$F,UA_HUB_SQL_7!$B:$B,'Pg2'!$T6)</f>
        <v>0.89142857142857146</v>
      </c>
      <c r="F5" s="145" t="str">
        <f>"-"</f>
        <v>-</v>
      </c>
      <c r="G5" s="145" t="s">
        <v>40</v>
      </c>
      <c r="H5" s="146" t="s">
        <v>40</v>
      </c>
      <c r="I5" s="145" t="str">
        <f>"-"</f>
        <v>-</v>
      </c>
      <c r="J5" s="142"/>
      <c r="K5" s="144">
        <f>SUMIFS(UA_HUB_SQL_7!$G:$G,UA_HUB_SQL_7!$B:$B,'Pg2'!$T6)/SUMIFS(UA_HUB_SQL_7!$F:$F,UA_HUB_SQL_7!$B:$B,'Pg2'!$T6)</f>
        <v>5.7142857142857143E-3</v>
      </c>
      <c r="L5" s="145" t="str">
        <f>"-"</f>
        <v>-</v>
      </c>
      <c r="M5" s="145" t="str">
        <f>"-"</f>
        <v>-</v>
      </c>
      <c r="N5" s="145" t="s">
        <v>40</v>
      </c>
      <c r="O5" s="147">
        <v>1</v>
      </c>
      <c r="P5" s="133"/>
      <c r="Q5" s="154"/>
      <c r="R5" s="154"/>
    </row>
    <row r="6" spans="1:20" x14ac:dyDescent="0.35">
      <c r="A6" s="154"/>
      <c r="B6" s="130"/>
      <c r="C6" s="140" t="s">
        <v>106</v>
      </c>
      <c r="D6" s="144">
        <f>SUMIFS(UA_HUB_SQL_7!$J:$J,UA_HUB_SQL_7!$B:$B,'Pg2'!$T7)/SUMIFS(UA_HUB_SQL_7!$F:$F,UA_HUB_SQL_7!$B:$B,'Pg2'!$T7)</f>
        <v>0.7807017543859649</v>
      </c>
      <c r="E6" s="144">
        <f>SUMIFS(UA_HUB_SQL_7!$K:$K,UA_HUB_SQL_7!$B:$B,'Pg2'!$T7)/SUMIFS(UA_HUB_SQL_7!$F:$F,UA_HUB_SQL_7!$B:$B,'Pg2'!$T7)</f>
        <v>0.81578947368421051</v>
      </c>
      <c r="F6" s="145">
        <f>(RANK!B9-RANK!C9)*100</f>
        <v>4.1843113530953824</v>
      </c>
      <c r="G6" s="145">
        <f>(RANK!B9-RANK!D9)*100</f>
        <v>1.0911424903722655</v>
      </c>
      <c r="H6" s="146" t="s">
        <v>40</v>
      </c>
      <c r="I6" s="147">
        <f>RANK!$F9</f>
        <v>1</v>
      </c>
      <c r="J6" s="142"/>
      <c r="K6" s="144">
        <f>SUMIFS(UA_HUB_SQL_7!$G:$G,UA_HUB_SQL_7!$B:$B,'Pg2'!$T7)/SUMIFS(UA_HUB_SQL_7!$F:$F,UA_HUB_SQL_7!$B:$B,'Pg2'!$T7)</f>
        <v>0</v>
      </c>
      <c r="L6" s="145" t="str">
        <f>IF(((RANK!B20-RANK!C20)*100)=0,"-",(RANK!B20-RANK!C20)*100)</f>
        <v>-</v>
      </c>
      <c r="M6" s="145" t="str">
        <f>IF(((RANK!B20-RANK!D20)*100)=0,"-",(RANK!B20-RANK!D20)*100)</f>
        <v>-</v>
      </c>
      <c r="N6" s="145" t="s">
        <v>40</v>
      </c>
      <c r="O6" s="147">
        <f>RANK!F20</f>
        <v>1</v>
      </c>
      <c r="P6" s="133"/>
      <c r="Q6" s="154"/>
      <c r="R6" s="154"/>
      <c r="T6" s="140" t="s">
        <v>104</v>
      </c>
    </row>
    <row r="7" spans="1:20" x14ac:dyDescent="0.35">
      <c r="A7" s="154"/>
      <c r="B7" s="130"/>
      <c r="C7" s="140" t="s">
        <v>109</v>
      </c>
      <c r="D7" s="144">
        <f>SUMIFS(UA_HUB_SQL_7!$J:$J,UA_HUB_SQL_7!$B:$B,'Pg2'!$T8)/SUMIFS(UA_HUB_SQL_7!$F:$F,UA_HUB_SQL_7!$B:$B,'Pg2'!$T8)</f>
        <v>0.73228346456692917</v>
      </c>
      <c r="E7" s="144">
        <f>SUMIFS(UA_HUB_SQL_7!$K:$K,UA_HUB_SQL_7!$B:$B,'Pg2'!$T8)/SUMIFS(UA_HUB_SQL_7!$F:$F,UA_HUB_SQL_7!$B:$B,'Pg2'!$T8)</f>
        <v>0.77952755905511806</v>
      </c>
      <c r="F7" s="145">
        <f>(RANK!B10-RANK!C10)*100</f>
        <v>8.1853140450466881</v>
      </c>
      <c r="G7" s="145">
        <f>(RANK!B10-RANK!D10)*100</f>
        <v>18.153760930637432</v>
      </c>
      <c r="H7" s="146" t="s">
        <v>40</v>
      </c>
      <c r="I7" s="147">
        <f>RANK!$F10</f>
        <v>1</v>
      </c>
      <c r="J7" s="142"/>
      <c r="K7" s="144">
        <f>SUMIFS(UA_HUB_SQL_7!$G:$G,UA_HUB_SQL_7!$B:$B,'Pg2'!$T8)/SUMIFS(UA_HUB_SQL_7!$F:$F,UA_HUB_SQL_7!$B:$B,'Pg2'!$T8)</f>
        <v>0</v>
      </c>
      <c r="L7" s="145" t="str">
        <f>IF(((RANK!B21-RANK!C21)*100)=0,"-",(RANK!B21-RANK!C21)*100)</f>
        <v>-</v>
      </c>
      <c r="M7" s="145" t="str">
        <f>IF(((RANK!B21-RANK!D21)*100)=0,"-",(RANK!B21-RANK!D21)*100)</f>
        <v>-</v>
      </c>
      <c r="N7" s="145" t="s">
        <v>40</v>
      </c>
      <c r="O7" s="147">
        <f>RANK!F21</f>
        <v>1</v>
      </c>
      <c r="P7" s="133"/>
      <c r="Q7" s="154"/>
      <c r="R7" s="154"/>
      <c r="T7" s="140" t="s">
        <v>106</v>
      </c>
    </row>
    <row r="8" spans="1:20" x14ac:dyDescent="0.35">
      <c r="A8" s="154"/>
      <c r="B8" s="130"/>
      <c r="C8" s="140" t="s">
        <v>108</v>
      </c>
      <c r="D8" s="144">
        <f>SUMIFS(UA_HUB_SQL_7!$J:$J,UA_HUB_SQL_7!$B:$B,'Pg2'!$T9)/SUMIFS(UA_HUB_SQL_7!$F:$F,UA_HUB_SQL_7!$B:$B,'Pg2'!$T9)</f>
        <v>0.74251497005988021</v>
      </c>
      <c r="E8" s="144">
        <f>SUMIFS(UA_HUB_SQL_7!$K:$K,UA_HUB_SQL_7!$B:$B,'Pg2'!$T9)/SUMIFS(UA_HUB_SQL_7!$F:$F,UA_HUB_SQL_7!$B:$B,'Pg2'!$T9)</f>
        <v>0.76047904191616766</v>
      </c>
      <c r="F8" s="145" t="str">
        <f>"-"</f>
        <v>-</v>
      </c>
      <c r="G8" s="145">
        <f>(RANK!B11-RANK!D11)*100</f>
        <v>-3.6622407359194642</v>
      </c>
      <c r="H8" s="146" t="s">
        <v>40</v>
      </c>
      <c r="I8" s="147">
        <f>RANK!$F11</f>
        <v>2</v>
      </c>
      <c r="J8" s="142"/>
      <c r="K8" s="144">
        <f>SUMIFS(UA_HUB_SQL_7!$G:$G,UA_HUB_SQL_7!$B:$B,'Pg2'!$T9)/SUMIFS(UA_HUB_SQL_7!$F:$F,UA_HUB_SQL_7!$B:$B,'Pg2'!$T9)</f>
        <v>0</v>
      </c>
      <c r="L8" s="145" t="str">
        <f>IFERROR((RANK!B22-RANK!C22)*100,"-")</f>
        <v>-</v>
      </c>
      <c r="M8" s="145" t="str">
        <f>IF(((RANK!B22-RANK!D22)*100)= 0,"-",(RANK!B22-RANK!D22)*100 )</f>
        <v>-</v>
      </c>
      <c r="N8" s="145" t="s">
        <v>40</v>
      </c>
      <c r="O8" s="147">
        <f>RANK!F22</f>
        <v>1</v>
      </c>
      <c r="P8" s="133"/>
      <c r="Q8" s="154"/>
      <c r="R8" s="154"/>
      <c r="T8" s="140" t="s">
        <v>109</v>
      </c>
    </row>
    <row r="9" spans="1:20" x14ac:dyDescent="0.35">
      <c r="A9" s="154"/>
      <c r="B9" s="130"/>
      <c r="C9" s="140" t="s">
        <v>105</v>
      </c>
      <c r="D9" s="144">
        <f>SUMIFS(UA_HUB_SQL_7!$J:$J,UA_HUB_SQL_7!$B:$B,'Pg2'!$T10)/SUMIFS(UA_HUB_SQL_7!$F:$F,UA_HUB_SQL_7!$B:$B,'Pg2'!$T10)</f>
        <v>0.55172413793103448</v>
      </c>
      <c r="E9" s="144">
        <f>SUMIFS(UA_HUB_SQL_7!$K:$K,UA_HUB_SQL_7!$B:$B,'Pg2'!$T10)/SUMIFS(UA_HUB_SQL_7!$F:$F,UA_HUB_SQL_7!$B:$B,'Pg2'!$T10)</f>
        <v>0.58620689655172409</v>
      </c>
      <c r="F9" s="145">
        <f>(RANK!B12-RANK!C12)*100</f>
        <v>-1.9853709508881989</v>
      </c>
      <c r="G9" s="145">
        <f>(RANK!B12-RANK!D12)*100</f>
        <v>-33.687002652519901</v>
      </c>
      <c r="H9" s="146" t="s">
        <v>40</v>
      </c>
      <c r="I9" s="147">
        <f>RANK!$F12</f>
        <v>3</v>
      </c>
      <c r="J9" s="142"/>
      <c r="K9" s="144">
        <f>SUMIFS(UA_HUB_SQL_7!$G:$G,UA_HUB_SQL_7!$B:$B,'Pg2'!$T10)/SUMIFS(UA_HUB_SQL_7!$F:$F,UA_HUB_SQL_7!$B:$B,'Pg2'!$T10)</f>
        <v>3.4482758620689655E-2</v>
      </c>
      <c r="L9" s="145">
        <f>IF(((RANK!B23-RANK!C23)*100)=0,"-",(RANK!B23-RANK!C23)*100)</f>
        <v>0.41797283176593786</v>
      </c>
      <c r="M9" s="145">
        <f>IF(((RANK!B23-RANK!D23)*100)=0,"-",(RANK!B23-RANK!D23)*100)</f>
        <v>3.4482758620689653</v>
      </c>
      <c r="N9" s="145" t="s">
        <v>40</v>
      </c>
      <c r="O9" s="147">
        <f>RANK!F23</f>
        <v>3</v>
      </c>
      <c r="P9" s="133"/>
      <c r="Q9" s="154"/>
      <c r="R9" s="154"/>
      <c r="T9" s="140" t="s">
        <v>108</v>
      </c>
    </row>
    <row r="10" spans="1:20" x14ac:dyDescent="0.35">
      <c r="A10" s="154"/>
      <c r="B10" s="130"/>
      <c r="C10" s="140" t="s">
        <v>103</v>
      </c>
      <c r="D10" s="144">
        <f>SUMIFS(UA_HUB_SQL_7!$J:$J,UA_HUB_SQL_7!$B:$B,'Pg2'!$T11)/SUMIFS(UA_HUB_SQL_7!$F:$F,UA_HUB_SQL_7!$B:$B,'Pg2'!$T11)</f>
        <v>0.59615384615384615</v>
      </c>
      <c r="E10" s="144">
        <f>SUMIFS(UA_HUB_SQL_7!$K:$K,UA_HUB_SQL_7!$B:$B,'Pg2'!$T11)/SUMIFS(UA_HUB_SQL_7!$F:$F,UA_HUB_SQL_7!$B:$B,'Pg2'!$T11)</f>
        <v>0.67307692307692313</v>
      </c>
      <c r="F10" s="145" t="s">
        <v>40</v>
      </c>
      <c r="G10" s="145">
        <f>(RANK!B13-RANK!D13)*100</f>
        <v>-10.017889087656528</v>
      </c>
      <c r="H10" s="146" t="s">
        <v>40</v>
      </c>
      <c r="I10" s="147">
        <f>RANK!$F13</f>
        <v>2</v>
      </c>
      <c r="J10" s="142"/>
      <c r="K10" s="144">
        <f>SUMIFS(UA_HUB_SQL_7!$G:$G,UA_HUB_SQL_7!$B:$B,'Pg2'!$T11)/SUMIFS(UA_HUB_SQL_7!$F:$F,UA_HUB_SQL_7!$B:$B,'Pg2'!$T11)</f>
        <v>0</v>
      </c>
      <c r="L10" s="145" t="str">
        <f>"-"</f>
        <v>-</v>
      </c>
      <c r="M10" s="145" t="str">
        <f>IF(((RANK!B24-RANK!D24)*100)=0,"-",(RANK!B24-RANK!D24)*100)</f>
        <v>-</v>
      </c>
      <c r="N10" s="145" t="s">
        <v>40</v>
      </c>
      <c r="O10" s="147">
        <f>RANK!F24</f>
        <v>1</v>
      </c>
      <c r="P10" s="133"/>
      <c r="Q10" s="154"/>
      <c r="R10" s="154"/>
      <c r="T10" s="140" t="s">
        <v>105</v>
      </c>
    </row>
    <row r="11" spans="1:20" x14ac:dyDescent="0.35">
      <c r="A11" s="154"/>
      <c r="B11" s="130"/>
      <c r="C11" s="140" t="s">
        <v>107</v>
      </c>
      <c r="D11" s="144">
        <f>SUMIFS(UA_HUB_SQL_7!$J:$J,UA_HUB_SQL_7!$B:$B,'Pg2'!$T12)/SUMIFS(UA_HUB_SQL_7!$F:$F,UA_HUB_SQL_7!$B:$B,'Pg2'!$T12)</f>
        <v>0.61016949152542377</v>
      </c>
      <c r="E11" s="144">
        <f>SUMIFS(UA_HUB_SQL_7!$K:$K,UA_HUB_SQL_7!$B:$B,'Pg2'!$T12)/SUMIFS(UA_HUB_SQL_7!$F:$F,UA_HUB_SQL_7!$B:$B,'Pg2'!$T12)</f>
        <v>0.64406779661016944</v>
      </c>
      <c r="F11" s="145" t="s">
        <v>40</v>
      </c>
      <c r="G11" s="145" t="str">
        <f>"-"</f>
        <v>-</v>
      </c>
      <c r="H11" s="146">
        <f>(RANK!B14-RANK!E14)*100</f>
        <v>0.40677966101694274</v>
      </c>
      <c r="I11" s="147">
        <f>RANK!$F14</f>
        <v>1</v>
      </c>
      <c r="J11" s="142"/>
      <c r="K11" s="144">
        <f>SUMIFS(UA_HUB_SQL_7!$G:$G,UA_HUB_SQL_7!$B:$B,'Pg2'!$T12)/SUMIFS(UA_HUB_SQL_7!$F:$F,UA_HUB_SQL_7!$B:$B,'Pg2'!$T12)</f>
        <v>8.4745762711864403E-2</v>
      </c>
      <c r="L11" s="145" t="str">
        <f>"-"</f>
        <v>-</v>
      </c>
      <c r="M11" s="145" t="str">
        <f>"-"</f>
        <v>-</v>
      </c>
      <c r="N11" s="145">
        <f>IF(((RANK!B25-RANK!E25)*100)=0,"",(RANK!B25-RANK!E25)*100)</f>
        <v>0.4745762711864443</v>
      </c>
      <c r="O11" s="147">
        <f>RANK!F25</f>
        <v>2</v>
      </c>
      <c r="P11" s="133"/>
      <c r="Q11" s="154"/>
      <c r="R11" s="154"/>
      <c r="T11" s="140" t="s">
        <v>103</v>
      </c>
    </row>
    <row r="12" spans="1:20" x14ac:dyDescent="0.35">
      <c r="A12" s="154"/>
      <c r="B12" s="148" t="s">
        <v>123</v>
      </c>
      <c r="C12" s="140" t="s">
        <v>166</v>
      </c>
      <c r="D12" s="144">
        <f>SUMIFS(UA_HUB_SQL_7!$J:$J,UA_HUB_SQL_7!$B:$B,'Pg2'!$T13)/SUMIFS(UA_HUB_SQL_7!$F:$F,UA_HUB_SQL_7!$B:$B,'Pg2'!$T13)</f>
        <v>0.80378250591016553</v>
      </c>
      <c r="E12" s="144">
        <f>SUMIFS(UA_HUB_SQL_7!$K:$K,UA_HUB_SQL_7!$B:$B,'Pg2'!$T13)/SUMIFS(UA_HUB_SQL_7!$F:$F,UA_HUB_SQL_7!$B:$B,'Pg2'!$T13)</f>
        <v>0.80378250591016553</v>
      </c>
      <c r="F12" s="145">
        <f>(RANK!B15-RANK!C15)*100</f>
        <v>11.08187532449203</v>
      </c>
      <c r="G12" s="145">
        <f>(RANK!B15-RANK!D15)*100</f>
        <v>6.0036731738427829</v>
      </c>
      <c r="H12" s="146">
        <f>(RANK!B15-RANK!E15)*100</f>
        <v>23.696222941246969</v>
      </c>
      <c r="I12" s="147">
        <f>RANK!$F15</f>
        <v>1</v>
      </c>
      <c r="J12" s="142"/>
      <c r="K12" s="144">
        <f>SUMIFS(UA_HUB_SQL_7!$G:$G,UA_HUB_SQL_7!$B:$B,'Pg2'!$T13)/SUMIFS(UA_HUB_SQL_7!$F:$F,UA_HUB_SQL_7!$B:$B,'Pg2'!$T13)</f>
        <v>4.7281323877068557E-3</v>
      </c>
      <c r="L12" s="145">
        <f>IF(((RANK!B26-RANK!C26)*100)=0,"-",(RANK!B26-RANK!C26)*100)</f>
        <v>-0.16684560984339195</v>
      </c>
      <c r="M12" s="145">
        <f>IFERROR((RANK!B26-RANK!D26)*100,"-")</f>
        <v>0.40519998657325629</v>
      </c>
      <c r="N12" s="145">
        <f>IF(((RANK!B26-RANK!E26)*100)=0, "-", (RANK!B26-RANK!E26)*100)</f>
        <v>-6.4396291575426812</v>
      </c>
      <c r="O12" s="147">
        <f>RANK!F26</f>
        <v>2</v>
      </c>
      <c r="P12" s="133"/>
      <c r="Q12" s="154"/>
      <c r="R12" s="154"/>
      <c r="T12" s="140" t="s">
        <v>107</v>
      </c>
    </row>
    <row r="13" spans="1:20" x14ac:dyDescent="0.35">
      <c r="A13" s="154"/>
      <c r="B13" s="130"/>
      <c r="C13" s="140" t="s">
        <v>167</v>
      </c>
      <c r="D13" s="144">
        <f>SUMIFS(UA_Line!$K:$K,UA_Line!$B:$B,"Line Int")/SUMIFS(UA_Line!$F:$F,UA_Line!$B:$B,"Line Int")</f>
        <v>0.77551020408163263</v>
      </c>
      <c r="E13" s="144">
        <f>SUMIFS(UA_Line!$J:$J,UA_Line!$B:$B,"Line Int")/SUMIFS(UA_Line!$F:$F,UA_Line!$B:$B,"Line Int")</f>
        <v>0.77551020408163263</v>
      </c>
      <c r="F13" s="145">
        <f>(RANK!B16-RANK!C16)*100</f>
        <v>-10.684273709483794</v>
      </c>
      <c r="G13" s="145">
        <f>(RANK!B16-RANK!D16)*100</f>
        <v>4.5351473922902503</v>
      </c>
      <c r="H13" s="146" t="s">
        <v>40</v>
      </c>
      <c r="I13" s="147">
        <f>RANK!$F16</f>
        <v>2</v>
      </c>
      <c r="J13" s="142"/>
      <c r="K13" s="144">
        <f>SUMIFS(UA_Line!$G:$G,UA_Line!$B:$B,"Line Int")/SUMIFS(UA_Line!$F:$F,UA_Line!$B:$B,"Line Int")</f>
        <v>0</v>
      </c>
      <c r="L13" s="145" t="str">
        <f>IF(((RANK!B27-RANK!C27)*100)=0,"-",(RANK!B27-RANK!C27)*100)</f>
        <v>-</v>
      </c>
      <c r="M13" s="145" t="str">
        <f>IF(((RANK!B27-RANK!D27)*100)=0,"-",(RANK!B27-RANK!D27)*100)</f>
        <v>-</v>
      </c>
      <c r="N13" s="145" t="str">
        <f>"-"</f>
        <v>-</v>
      </c>
      <c r="O13" s="147">
        <f>RANK!F27</f>
        <v>1</v>
      </c>
      <c r="P13" s="133"/>
      <c r="Q13" s="154"/>
      <c r="R13" s="154"/>
      <c r="T13" s="140" t="s">
        <v>123</v>
      </c>
    </row>
    <row r="14" spans="1:20" x14ac:dyDescent="0.35">
      <c r="A14" s="154"/>
      <c r="B14" s="130"/>
      <c r="C14" s="140" t="s">
        <v>168</v>
      </c>
      <c r="D14" s="200">
        <f>SUMIFS(UA_Line!$K:$K,UA_Line!$B:$B,"Line Dom")/SUMIFS(UA_Line!$F:$F,UA_Line!$B:$B,"Line Dom")</f>
        <v>0.80552070263488085</v>
      </c>
      <c r="E14" s="200">
        <f>SUMIFS(UA_Line!$J:$J,UA_Line!$B:$B,"Line Dom")/SUMIFS(UA_Line!$F:$F,UA_Line!$B:$B,"Line Dom")</f>
        <v>0.80552070263488085</v>
      </c>
      <c r="F14" s="201">
        <f>(RANK!B17-RANK!C17)*100</f>
        <v>13.765929283798716</v>
      </c>
      <c r="G14" s="201">
        <f>(RANK!B17-RANK!D17)*100</f>
        <v>7.0087631768739111</v>
      </c>
      <c r="H14" s="202" t="str">
        <f>"-"</f>
        <v>-</v>
      </c>
      <c r="I14" s="203">
        <f>RANK!$F17</f>
        <v>1</v>
      </c>
      <c r="J14" s="142"/>
      <c r="K14" s="200">
        <f>SUMIFS(UA_Line!$G:$G,UA_Line!$B:$B,"Line Dom")/SUMIFS(UA_Line!$F:$F,UA_Line!$B:$B,"Line Dom")</f>
        <v>5.018820577164366E-3</v>
      </c>
      <c r="L14" s="201">
        <f>IF(((RANK!$B$28-RANK!C28)*100)=0,"-",(RANK!$B$28-RANK!C28)*100)</f>
        <v>-0.21496382041975978</v>
      </c>
      <c r="M14" s="201">
        <f>IF(((RANK!$B$28-RANK!D28)*100)=0,"-",(RANK!$B$28-RANK!D28)*100)</f>
        <v>0.42314190023611958</v>
      </c>
      <c r="N14" s="201" t="s">
        <v>40</v>
      </c>
      <c r="O14" s="203">
        <f>RANK!F28</f>
        <v>2</v>
      </c>
      <c r="P14" s="133"/>
      <c r="Q14" s="154"/>
      <c r="R14" s="154"/>
      <c r="T14" s="140" t="s">
        <v>167</v>
      </c>
    </row>
    <row r="15" spans="1:20" x14ac:dyDescent="0.35">
      <c r="A15" s="154"/>
      <c r="B15" s="130"/>
      <c r="C15" s="149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3"/>
      <c r="Q15" s="154"/>
      <c r="R15" s="154"/>
      <c r="T15" s="140" t="s">
        <v>168</v>
      </c>
    </row>
    <row r="16" spans="1:20" x14ac:dyDescent="0.35">
      <c r="A16" s="154"/>
      <c r="B16" s="150"/>
      <c r="C16" s="151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3"/>
      <c r="Q16" s="154"/>
      <c r="R16" s="154"/>
    </row>
    <row r="17" spans="1:21" x14ac:dyDescent="0.35">
      <c r="A17" s="154"/>
      <c r="B17" s="154"/>
      <c r="C17" s="155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</row>
    <row r="18" spans="1:21" x14ac:dyDescent="0.35">
      <c r="A18" s="154"/>
      <c r="B18" s="154"/>
      <c r="C18" s="155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</row>
    <row r="19" spans="1:21" ht="21" x14ac:dyDescent="0.35">
      <c r="A19" s="250" t="s">
        <v>27</v>
      </c>
      <c r="B19" s="315" t="s">
        <v>429</v>
      </c>
      <c r="C19" s="315"/>
      <c r="D19" s="315"/>
      <c r="E19" s="315"/>
      <c r="F19" s="315"/>
      <c r="G19" s="315"/>
      <c r="H19" s="315"/>
      <c r="I19" s="315"/>
      <c r="J19" s="315"/>
      <c r="K19" s="315"/>
      <c r="L19" s="315"/>
      <c r="M19" s="315"/>
      <c r="N19" s="315"/>
      <c r="O19" s="315"/>
      <c r="P19" s="315"/>
      <c r="Q19" s="315"/>
      <c r="R19" s="315"/>
    </row>
    <row r="20" spans="1:21" x14ac:dyDescent="0.35">
      <c r="A20" s="154"/>
      <c r="B20" s="254"/>
      <c r="C20" s="157"/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258"/>
      <c r="Q20" s="131"/>
      <c r="R20" s="237"/>
    </row>
    <row r="21" spans="1:21" ht="58" x14ac:dyDescent="0.35">
      <c r="A21" s="154"/>
      <c r="B21" s="242"/>
      <c r="C21" s="158"/>
      <c r="D21" s="244" t="s">
        <v>85</v>
      </c>
      <c r="E21" s="198" t="s">
        <v>79</v>
      </c>
      <c r="F21" s="197" t="s">
        <v>80</v>
      </c>
      <c r="G21" s="197" t="s">
        <v>81</v>
      </c>
      <c r="H21" s="197" t="s">
        <v>82</v>
      </c>
      <c r="I21" s="197" t="s">
        <v>169</v>
      </c>
      <c r="J21" s="197" t="s">
        <v>170</v>
      </c>
      <c r="K21" s="197" t="s">
        <v>15</v>
      </c>
      <c r="L21" s="197" t="s">
        <v>16</v>
      </c>
      <c r="M21" s="196" t="s">
        <v>66</v>
      </c>
      <c r="N21" s="195" t="s">
        <v>29</v>
      </c>
      <c r="O21" s="195" t="s">
        <v>47</v>
      </c>
      <c r="P21" s="195" t="s">
        <v>73</v>
      </c>
      <c r="Q21" s="195" t="s">
        <v>46</v>
      </c>
      <c r="R21" s="237"/>
    </row>
    <row r="22" spans="1:21" x14ac:dyDescent="0.35">
      <c r="A22" s="154"/>
      <c r="B22" s="255"/>
      <c r="C22" s="174" t="s">
        <v>19</v>
      </c>
      <c r="D22" s="159">
        <f>SUMIFS(SCH_DEP_SQL_4!$E:$E,SCH_DEP_SQL_4!$A:$A,'Pg2'!$T22)</f>
        <v>816</v>
      </c>
      <c r="E22" s="160">
        <f>IF((SUMIFS(CNXL_SQL_2!$F:$F,CNXL_SQL_2!$D:$D,'Pg2'!$U$22,CNXL_SQL_2!$A:$A,'Pg2'!$T22))=0,"",SUMIFS(CNXL_SQL_2!$F:$F,CNXL_SQL_2!$D:$D,'Pg2'!$U$22,CNXL_SQL_2!$A:$A,'Pg2'!$T22))</f>
        <v>10</v>
      </c>
      <c r="F22" s="160" t="str">
        <f>IF((SUMIFS(CNXL_SQL_2!$F:$F,CNXL_SQL_2!$D:$D,'Pg2'!$U$23,CNXL_SQL_2!$A:$A,'Pg2'!$T22))=0,"",SUMIFS(CNXL_SQL_2!$F:$F,CNXL_SQL_2!$D:$D,'Pg2'!$U$23,CNXL_SQL_2!$A:$A,'Pg2'!$T22))</f>
        <v/>
      </c>
      <c r="G22" s="160" t="str">
        <f>IF((SUMIFS(CNXL_SQL_2!$F:$F,CNXL_SQL_2!$D:$D,'Pg2'!$U$24,CNXL_SQL_2!$A:$A,'Pg2'!$T22))=0,"",SUMIFS(CNXL_SQL_2!$F:$F,CNXL_SQL_2!$D:$D,'Pg2'!$U$24,CNXL_SQL_2!$A:$A,'Pg2'!$T22))</f>
        <v/>
      </c>
      <c r="H22" s="160" t="str">
        <f>IF((SUMIFS(CNXL_SQL_2!$F:$F,CNXL_SQL_2!$D:$D,'Pg2'!$U$25,CNXL_SQL_2!$A:$A,'Pg2'!$T22))=0,"",SUMIFS(CNXL_SQL_2!$F:$F,CNXL_SQL_2!$D:$D,'Pg2'!$U$25,CNXL_SQL_2!$A:$A,'Pg2'!$T22))</f>
        <v/>
      </c>
      <c r="I22" s="160" t="str">
        <f>IF((SUMIFS(CNXL_SQL_2!$F:$F,CNXL_SQL_2!$D:$D,'Pg2'!$U$26,CNXL_SQL_2!$A:$A,'Pg2'!$T22))=0,"",SUMIFS(CNXL_SQL_2!$F:$F,CNXL_SQL_2!$D:$D,'Pg2'!$U$26,CNXL_SQL_2!$A:$A,'Pg2'!$T22))</f>
        <v/>
      </c>
      <c r="J22" s="160" t="str">
        <f>IF((SUMIFS(CNXL_SQL_2!$F:$F,CNXL_SQL_2!$D:$D,'Pg2'!$U$27,CNXL_SQL_2!$A:$A,'Pg2'!$T22))=0,"",SUMIFS(CNXL_SQL_2!$F:$F,CNXL_SQL_2!$D:$D,'Pg2'!$U$27,CNXL_SQL_2!$A:$A,'Pg2'!$T22))</f>
        <v/>
      </c>
      <c r="K22" s="160" t="str">
        <f>IF((SUMIFS(CNXL_SQL_2!$F:$F,CNXL_SQL_2!$D:$D,'Pg2'!$U$28,CNXL_SQL_2!$A:$A,'Pg2'!$T22))=0,"",SUMIFS(CNXL_SQL_2!$F:$F,CNXL_SQL_2!$D:$D,'Pg2'!$U$28,CNXL_SQL_2!$A:$A,'Pg2'!$T22))</f>
        <v/>
      </c>
      <c r="L22" s="160" t="str">
        <f>IF((SUMIFS(CNXL_SQL_2!$F:$F,CNXL_SQL_2!$D:$D,'Pg2'!$U$29,CNXL_SQL_2!$A:$A,'Pg2'!$T22))=0,"",SUMIFS(CNXL_SQL_2!$F:$F,CNXL_SQL_2!$D:$D,'Pg2'!$U$29,CNXL_SQL_2!$A:$A,'Pg2'!$T22))</f>
        <v/>
      </c>
      <c r="M22" s="161"/>
      <c r="N22" s="199">
        <f>IF((SUM(E22:M22))=0,"",SUM(E22:M22))</f>
        <v>10</v>
      </c>
      <c r="O22" s="199" t="str">
        <f>IFERROR(VLOOKUP($T22,ES_MATRIX!$A$2:$L$10,11,0),"")</f>
        <v/>
      </c>
      <c r="P22" s="199">
        <f>IF(((SUM(E22:M22))-(SUMIFS(ES_MATRIX!$L$3:$L$10,ES_MATRIX!$A$3:$A$10,'Pg2'!$T22)))=0,"",(SUM(E22:M22))-(SUMIFS(ES_MATRIX!$L$3:$L$10,ES_MATRIX!$A$3:$A$10,'Pg2'!$T22)))</f>
        <v>10</v>
      </c>
      <c r="Q22" s="199" t="str">
        <f>VLOOKUP($T22,ES_MATRIX!$A$25:$B$30,2,0)</f>
        <v/>
      </c>
      <c r="R22" s="237"/>
      <c r="T22" t="s">
        <v>60</v>
      </c>
      <c r="U22" s="172" t="s">
        <v>56</v>
      </c>
    </row>
    <row r="23" spans="1:21" x14ac:dyDescent="0.35">
      <c r="A23" s="131"/>
      <c r="B23" s="255"/>
      <c r="C23" s="175" t="s">
        <v>21</v>
      </c>
      <c r="D23" s="163">
        <f>SUMIFS(SCH_DEP_SQL_4!$E:$E,SCH_DEP_SQL_4!$A:$A,'Pg2'!$T23)</f>
        <v>297</v>
      </c>
      <c r="E23" s="176" t="str">
        <f>IF((SUMIFS(CNXL_SQL_2!$F:$F,CNXL_SQL_2!$D:$D,'Pg2'!$U$22,CNXL_SQL_2!$A:$A,'Pg2'!$T23))=0,"",SUMIFS(CNXL_SQL_2!$F:$F,CNXL_SQL_2!$D:$D,'Pg2'!$U$22,CNXL_SQL_2!$A:$A,'Pg2'!$T23))</f>
        <v/>
      </c>
      <c r="F23" s="176" t="str">
        <f>IF((SUMIFS(CNXL_SQL_2!$F:$F,CNXL_SQL_2!$D:$D,'Pg2'!$U$23,CNXL_SQL_2!$A:$A,'Pg2'!$T23))=0,"",SUMIFS(CNXL_SQL_2!$F:$F,CNXL_SQL_2!$D:$D,'Pg2'!$U$23,CNXL_SQL_2!$A:$A,'Pg2'!$T23))</f>
        <v/>
      </c>
      <c r="G23" s="176" t="str">
        <f>IF((SUMIFS(CNXL_SQL_2!$F:$F,CNXL_SQL_2!$D:$D,'Pg2'!$U$24,CNXL_SQL_2!$A:$A,'Pg2'!$T23))=0,"",SUMIFS(CNXL_SQL_2!$F:$F,CNXL_SQL_2!$D:$D,'Pg2'!$U$24,CNXL_SQL_2!$A:$A,'Pg2'!$T23))</f>
        <v/>
      </c>
      <c r="H23" s="176" t="str">
        <f>IF((SUMIFS(CNXL_SQL_2!$F:$F,CNXL_SQL_2!$D:$D,'Pg2'!$U$25,CNXL_SQL_2!$A:$A,'Pg2'!$T23))=0,"",SUMIFS(CNXL_SQL_2!$F:$F,CNXL_SQL_2!$D:$D,'Pg2'!$U$25,CNXL_SQL_2!$A:$A,'Pg2'!$T23))</f>
        <v/>
      </c>
      <c r="I23" s="176" t="str">
        <f>IF((SUMIFS(CNXL_SQL_2!$F:$F,CNXL_SQL_2!$D:$D,'Pg2'!$U$26,CNXL_SQL_2!$A:$A,'Pg2'!$T23))=0,"",SUMIFS(CNXL_SQL_2!$F:$F,CNXL_SQL_2!$D:$D,'Pg2'!$U$26,CNXL_SQL_2!$A:$A,'Pg2'!$T23))</f>
        <v/>
      </c>
      <c r="J23" s="176" t="str">
        <f>IF((SUMIFS(CNXL_SQL_2!$F:$F,CNXL_SQL_2!$D:$D,'Pg2'!$U$27,CNXL_SQL_2!$A:$A,'Pg2'!$T23))=0,"",SUMIFS(CNXL_SQL_2!$F:$F,CNXL_SQL_2!$D:$D,'Pg2'!$U$27,CNXL_SQL_2!$A:$A,'Pg2'!$T23))</f>
        <v/>
      </c>
      <c r="K23" s="176" t="str">
        <f>IF((SUMIFS(CNXL_SQL_2!$F:$F,CNXL_SQL_2!$D:$D,'Pg2'!$U$28,CNXL_SQL_2!$A:$A,'Pg2'!$T23))=0,"",SUMIFS(CNXL_SQL_2!$F:$F,CNXL_SQL_2!$D:$D,'Pg2'!$U$28,CNXL_SQL_2!$A:$A,'Pg2'!$T23))</f>
        <v/>
      </c>
      <c r="L23" s="176" t="str">
        <f>IF((SUMIFS(CNXL_SQL_2!$F:$F,CNXL_SQL_2!$D:$D,'Pg2'!$U$29,CNXL_SQL_2!$A:$A,'Pg2'!$T23))=0,"",SUMIFS(CNXL_SQL_2!$F:$F,CNXL_SQL_2!$D:$D,'Pg2'!$U$29,CNXL_SQL_2!$A:$A,'Pg2'!$T23))</f>
        <v/>
      </c>
      <c r="M23" s="164"/>
      <c r="N23" s="245" t="str">
        <f t="shared" ref="N23:N27" si="0">IF((SUM(E23:M23))=0,"",SUM(E23:M23))</f>
        <v/>
      </c>
      <c r="O23" s="245" t="str">
        <f>IFERROR(VLOOKUP($T23,ES_MATRIX!$A$2:$L$10,11,0),"")</f>
        <v/>
      </c>
      <c r="P23" s="245" t="str">
        <f>IF(((SUM(E23:M23))-(SUMIFS(ES_MATRIX!$L$3:$L$10,ES_MATRIX!$A$3:$A$10,'Pg2'!$T23)))=0,"",(SUM(E23:M23))-(SUMIFS(ES_MATRIX!$L$3:$L$10,ES_MATRIX!$A$3:$A$10,'Pg2'!$T23)))</f>
        <v/>
      </c>
      <c r="Q23" s="245" t="str">
        <f>VLOOKUP($T23,ES_MATRIX!$A$25:$B$30,2,0)</f>
        <v/>
      </c>
      <c r="R23" s="237"/>
      <c r="T23" t="s">
        <v>63</v>
      </c>
      <c r="U23" s="172" t="s">
        <v>61</v>
      </c>
    </row>
    <row r="24" spans="1:21" x14ac:dyDescent="0.35">
      <c r="A24" s="154"/>
      <c r="B24" s="255"/>
      <c r="C24" s="174" t="s">
        <v>22</v>
      </c>
      <c r="D24" s="159">
        <f>SUMIFS(SCH_DEP_SQL_4!$E:$E,SCH_DEP_SQL_4!$A:$A,'Pg2'!$T24)</f>
        <v>186</v>
      </c>
      <c r="E24" s="160" t="str">
        <f>IF((SUMIFS(CNXL_SQL_2!$F:$F,CNXL_SQL_2!$D:$D,'Pg2'!$U$22,CNXL_SQL_2!$A:$A,'Pg2'!$T24))=0,"",SUMIFS(CNXL_SQL_2!$F:$F,CNXL_SQL_2!$D:$D,'Pg2'!$U$22,CNXL_SQL_2!$A:$A,'Pg2'!$T24))</f>
        <v/>
      </c>
      <c r="F24" s="160" t="str">
        <f>IF((SUMIFS(CNXL_SQL_2!$F:$F,CNXL_SQL_2!$D:$D,'Pg2'!$U$23,CNXL_SQL_2!$A:$A,'Pg2'!$T24))=0,"",SUMIFS(CNXL_SQL_2!$F:$F,CNXL_SQL_2!$D:$D,'Pg2'!$U$23,CNXL_SQL_2!$A:$A,'Pg2'!$T24))</f>
        <v/>
      </c>
      <c r="G24" s="160" t="str">
        <f>IF((SUMIFS(CNXL_SQL_2!$F:$F,CNXL_SQL_2!$D:$D,'Pg2'!$U$24,CNXL_SQL_2!$A:$A,'Pg2'!$T24))=0,"",SUMIFS(CNXL_SQL_2!$F:$F,CNXL_SQL_2!$D:$D,'Pg2'!$U$24,CNXL_SQL_2!$A:$A,'Pg2'!$T24))</f>
        <v/>
      </c>
      <c r="H24" s="160" t="str">
        <f>IF((SUMIFS(CNXL_SQL_2!$F:$F,CNXL_SQL_2!$D:$D,'Pg2'!$U$25,CNXL_SQL_2!$A:$A,'Pg2'!$T24))=0,"",SUMIFS(CNXL_SQL_2!$F:$F,CNXL_SQL_2!$D:$D,'Pg2'!$U$25,CNXL_SQL_2!$A:$A,'Pg2'!$T24))</f>
        <v/>
      </c>
      <c r="I24" s="160" t="str">
        <f>IF((SUMIFS(CNXL_SQL_2!$F:$F,CNXL_SQL_2!$D:$D,'Pg2'!$U$26,CNXL_SQL_2!$A:$A,'Pg2'!$T24))=0,"",SUMIFS(CNXL_SQL_2!$F:$F,CNXL_SQL_2!$D:$D,'Pg2'!$U$26,CNXL_SQL_2!$A:$A,'Pg2'!$T24))</f>
        <v/>
      </c>
      <c r="J24" s="160" t="str">
        <f>IF((SUMIFS(CNXL_SQL_2!$F:$F,CNXL_SQL_2!$D:$D,'Pg2'!$U$27,CNXL_SQL_2!$A:$A,'Pg2'!$T24))=0,"",SUMIFS(CNXL_SQL_2!$F:$F,CNXL_SQL_2!$D:$D,'Pg2'!$U$27,CNXL_SQL_2!$A:$A,'Pg2'!$T24))</f>
        <v/>
      </c>
      <c r="K24" s="160" t="str">
        <f>IF((SUMIFS(CNXL_SQL_2!$F:$F,CNXL_SQL_2!$D:$D,'Pg2'!$U$28,CNXL_SQL_2!$A:$A,'Pg2'!$T24))=0,"",SUMIFS(CNXL_SQL_2!$F:$F,CNXL_SQL_2!$D:$D,'Pg2'!$U$28,CNXL_SQL_2!$A:$A,'Pg2'!$T24))</f>
        <v/>
      </c>
      <c r="L24" s="160" t="str">
        <f>IF((SUMIFS(CNXL_SQL_2!$F:$F,CNXL_SQL_2!$D:$D,'Pg2'!$U$29,CNXL_SQL_2!$A:$A,'Pg2'!$T24))=0,"",SUMIFS(CNXL_SQL_2!$F:$F,CNXL_SQL_2!$D:$D,'Pg2'!$U$29,CNXL_SQL_2!$A:$A,'Pg2'!$T24))</f>
        <v/>
      </c>
      <c r="M24" s="165"/>
      <c r="N24" s="199" t="str">
        <f t="shared" si="0"/>
        <v/>
      </c>
      <c r="O24" s="199" t="str">
        <f>IFERROR(VLOOKUP($T24,ES_MATRIX!$A$2:$L$10,11,0),"")</f>
        <v/>
      </c>
      <c r="P24" s="199" t="str">
        <f>IF(((SUM(E24:M24))-(SUMIFS(ES_MATRIX!$L$3:$L$10,ES_MATRIX!$A$3:$A$10,'Pg2'!$T24)))=0,"",(SUM(E24:M24))-(SUMIFS(ES_MATRIX!$L$3:$L$10,ES_MATRIX!$A$3:$A$10,'Pg2'!$T24)))</f>
        <v/>
      </c>
      <c r="Q24" s="199" t="str">
        <f>VLOOKUP($T24,ES_MATRIX!$A$25:$B$30,2,0)</f>
        <v/>
      </c>
      <c r="R24" s="237"/>
      <c r="T24" t="s">
        <v>65</v>
      </c>
      <c r="U24" s="172" t="s">
        <v>58</v>
      </c>
    </row>
    <row r="25" spans="1:21" x14ac:dyDescent="0.35">
      <c r="A25" s="131"/>
      <c r="B25" s="242"/>
      <c r="C25" s="175" t="s">
        <v>23</v>
      </c>
      <c r="D25" s="163">
        <f>SUMIFS(SCH_DEP_SQL_4!$E:$E,SCH_DEP_SQL_4!$A:$A,'Pg2'!$T25)</f>
        <v>193</v>
      </c>
      <c r="E25" s="176">
        <f>IF((SUMIFS(CNXL_SQL_2!$F:$F,CNXL_SQL_2!$D:$D,'Pg2'!$U$22,CNXL_SQL_2!$A:$A,'Pg2'!$T25))=0,"",SUMIFS(CNXL_SQL_2!$F:$F,CNXL_SQL_2!$D:$D,'Pg2'!$U$22,CNXL_SQL_2!$A:$A,'Pg2'!$T25))</f>
        <v>1</v>
      </c>
      <c r="F25" s="176" t="str">
        <f>IF((SUMIFS(CNXL_SQL_2!$F:$F,CNXL_SQL_2!$D:$D,'Pg2'!$U$23,CNXL_SQL_2!$A:$A,'Pg2'!$T25))=0,"",SUMIFS(CNXL_SQL_2!$F:$F,CNXL_SQL_2!$D:$D,'Pg2'!$U$23,CNXL_SQL_2!$A:$A,'Pg2'!$T25))</f>
        <v/>
      </c>
      <c r="G25" s="176" t="str">
        <f>IF((SUMIFS(CNXL_SQL_2!$F:$F,CNXL_SQL_2!$D:$D,'Pg2'!$U$24,CNXL_SQL_2!$A:$A,'Pg2'!$T25))=0,"",SUMIFS(CNXL_SQL_2!$F:$F,CNXL_SQL_2!$D:$D,'Pg2'!$U$24,CNXL_SQL_2!$A:$A,'Pg2'!$T25))</f>
        <v/>
      </c>
      <c r="H25" s="176" t="str">
        <f>IF((SUMIFS(CNXL_SQL_2!$F:$F,CNXL_SQL_2!$D:$D,'Pg2'!$U$25,CNXL_SQL_2!$A:$A,'Pg2'!$T25))=0,"",SUMIFS(CNXL_SQL_2!$F:$F,CNXL_SQL_2!$D:$D,'Pg2'!$U$25,CNXL_SQL_2!$A:$A,'Pg2'!$T25))</f>
        <v/>
      </c>
      <c r="I25" s="176" t="str">
        <f>IF((SUMIFS(CNXL_SQL_2!$F:$F,CNXL_SQL_2!$D:$D,'Pg2'!$U$26,CNXL_SQL_2!$A:$A,'Pg2'!$T25))=0,"",SUMIFS(CNXL_SQL_2!$F:$F,CNXL_SQL_2!$D:$D,'Pg2'!$U$26,CNXL_SQL_2!$A:$A,'Pg2'!$T25))</f>
        <v/>
      </c>
      <c r="J25" s="176" t="str">
        <f>IF((SUMIFS(CNXL_SQL_2!$F:$F,CNXL_SQL_2!$D:$D,'Pg2'!$U$27,CNXL_SQL_2!$A:$A,'Pg2'!$T25))=0,"",SUMIFS(CNXL_SQL_2!$F:$F,CNXL_SQL_2!$D:$D,'Pg2'!$U$27,CNXL_SQL_2!$A:$A,'Pg2'!$T25))</f>
        <v/>
      </c>
      <c r="K25" s="176" t="str">
        <f>IF((SUMIFS(CNXL_SQL_2!$F:$F,CNXL_SQL_2!$D:$D,'Pg2'!$U$28,CNXL_SQL_2!$A:$A,'Pg2'!$T25))=0,"",SUMIFS(CNXL_SQL_2!$F:$F,CNXL_SQL_2!$D:$D,'Pg2'!$U$28,CNXL_SQL_2!$A:$A,'Pg2'!$T25))</f>
        <v/>
      </c>
      <c r="L25" s="176" t="str">
        <f>IF((SUMIFS(CNXL_SQL_2!$F:$F,CNXL_SQL_2!$D:$D,'Pg2'!$U$29,CNXL_SQL_2!$A:$A,'Pg2'!$T25))=0,"",SUMIFS(CNXL_SQL_2!$F:$F,CNXL_SQL_2!$D:$D,'Pg2'!$U$29,CNXL_SQL_2!$A:$A,'Pg2'!$T25))</f>
        <v/>
      </c>
      <c r="M25" s="164"/>
      <c r="N25" s="245">
        <f t="shared" si="0"/>
        <v>1</v>
      </c>
      <c r="O25" s="245" t="str">
        <f>IFERROR(VLOOKUP($T25,ES_MATRIX!$A$2:$L$10,11,0),"")</f>
        <v/>
      </c>
      <c r="P25" s="245">
        <f>IF(((SUM(E25:M25))-(SUMIFS(ES_MATRIX!$L$3:$L$10,ES_MATRIX!$A$3:$A$10,'Pg2'!$T25)))=0,"",(SUM(E25:M25))-(SUMIFS(ES_MATRIX!$L$3:$L$10,ES_MATRIX!$A$3:$A$10,'Pg2'!$T25)))</f>
        <v>1</v>
      </c>
      <c r="Q25" s="245" t="str">
        <f>VLOOKUP($T25,ES_MATRIX!$A$25:$B$30,2,0)</f>
        <v/>
      </c>
      <c r="R25" s="237"/>
      <c r="T25" t="s">
        <v>55</v>
      </c>
      <c r="U25" s="172" t="s">
        <v>69</v>
      </c>
    </row>
    <row r="26" spans="1:21" x14ac:dyDescent="0.35">
      <c r="A26" s="154"/>
      <c r="B26" s="255"/>
      <c r="C26" s="174" t="s">
        <v>24</v>
      </c>
      <c r="D26" s="159">
        <f>SUMIFS(SCH_DEP_SQL_4!$E:$E,SCH_DEP_SQL_4!$A:$A,'Pg2'!$T26)</f>
        <v>213</v>
      </c>
      <c r="E26" s="160" t="str">
        <f>IF((SUMIFS(CNXL_SQL_2!$F:$F,CNXL_SQL_2!$D:$D,'Pg2'!$U$22,CNXL_SQL_2!$A:$A,'Pg2'!$T26))=0,"",SUMIFS(CNXL_SQL_2!$F:$F,CNXL_SQL_2!$D:$D,'Pg2'!$U$22,CNXL_SQL_2!$A:$A,'Pg2'!$T26))</f>
        <v/>
      </c>
      <c r="F26" s="160" t="str">
        <f>IF((SUMIFS(CNXL_SQL_2!$F:$F,CNXL_SQL_2!$D:$D,'Pg2'!$U$23,CNXL_SQL_2!$A:$A,'Pg2'!$T26))=0,"",SUMIFS(CNXL_SQL_2!$F:$F,CNXL_SQL_2!$D:$D,'Pg2'!$U$23,CNXL_SQL_2!$A:$A,'Pg2'!$T26))</f>
        <v/>
      </c>
      <c r="G26" s="160" t="str">
        <f>IF((SUMIFS(CNXL_SQL_2!$F:$F,CNXL_SQL_2!$D:$D,'Pg2'!$U$24,CNXL_SQL_2!$A:$A,'Pg2'!$T26))=0,"",SUMIFS(CNXL_SQL_2!$F:$F,CNXL_SQL_2!$D:$D,'Pg2'!$U$24,CNXL_SQL_2!$A:$A,'Pg2'!$T26))</f>
        <v/>
      </c>
      <c r="H26" s="160" t="str">
        <f>IF((SUMIFS(CNXL_SQL_2!$F:$F,CNXL_SQL_2!$D:$D,'Pg2'!$U$25,CNXL_SQL_2!$A:$A,'Pg2'!$T26))=0,"",SUMIFS(CNXL_SQL_2!$F:$F,CNXL_SQL_2!$D:$D,'Pg2'!$U$25,CNXL_SQL_2!$A:$A,'Pg2'!$T26))</f>
        <v/>
      </c>
      <c r="I26" s="160" t="str">
        <f>IF((SUMIFS(CNXL_SQL_2!$F:$F,CNXL_SQL_2!$D:$D,'Pg2'!$U$26,CNXL_SQL_2!$A:$A,'Pg2'!$T26))=0,"",SUMIFS(CNXL_SQL_2!$F:$F,CNXL_SQL_2!$D:$D,'Pg2'!$U$26,CNXL_SQL_2!$A:$A,'Pg2'!$T26))</f>
        <v/>
      </c>
      <c r="J26" s="160" t="str">
        <f>IF((SUMIFS(CNXL_SQL_2!$F:$F,CNXL_SQL_2!$D:$D,'Pg2'!$U$27,CNXL_SQL_2!$A:$A,'Pg2'!$T26))=0,"",SUMIFS(CNXL_SQL_2!$F:$F,CNXL_SQL_2!$D:$D,'Pg2'!$U$27,CNXL_SQL_2!$A:$A,'Pg2'!$T26))</f>
        <v/>
      </c>
      <c r="K26" s="160" t="str">
        <f>IF((SUMIFS(CNXL_SQL_2!$F:$F,CNXL_SQL_2!$D:$D,'Pg2'!$U$28,CNXL_SQL_2!$A:$A,'Pg2'!$T26))=0,"",SUMIFS(CNXL_SQL_2!$F:$F,CNXL_SQL_2!$D:$D,'Pg2'!$U$28,CNXL_SQL_2!$A:$A,'Pg2'!$T26))</f>
        <v/>
      </c>
      <c r="L26" s="160" t="str">
        <f>IF((SUMIFS(CNXL_SQL_2!$F:$F,CNXL_SQL_2!$D:$D,'Pg2'!$U$29,CNXL_SQL_2!$A:$A,'Pg2'!$T26))=0,"",SUMIFS(CNXL_SQL_2!$F:$F,CNXL_SQL_2!$D:$D,'Pg2'!$U$29,CNXL_SQL_2!$A:$A,'Pg2'!$T26))</f>
        <v/>
      </c>
      <c r="M26" s="165"/>
      <c r="N26" s="199" t="str">
        <f t="shared" si="0"/>
        <v/>
      </c>
      <c r="O26" s="199" t="str">
        <f>IFERROR(VLOOKUP($T26,ES_MATRIX!$A$2:$L$10,11,0),"")</f>
        <v/>
      </c>
      <c r="P26" s="199" t="str">
        <f>IF(((SUM(E26:M26))-(SUMIFS(ES_MATRIX!$L$3:$L$10,ES_MATRIX!$A$3:$A$10,'Pg2'!$T26)))=0,"",(SUM(E26:M26))-(SUMIFS(ES_MATRIX!$L$3:$L$10,ES_MATRIX!$A$3:$A$10,'Pg2'!$T26)))</f>
        <v/>
      </c>
      <c r="Q26" s="199" t="str">
        <f>VLOOKUP($T26,ES_MATRIX!$A$25:$B$30,2,0)</f>
        <v/>
      </c>
      <c r="R26" s="237"/>
      <c r="T26" t="s">
        <v>62</v>
      </c>
      <c r="U26" s="172" t="s">
        <v>67</v>
      </c>
    </row>
    <row r="27" spans="1:21" x14ac:dyDescent="0.35">
      <c r="A27" s="154"/>
      <c r="B27" s="255"/>
      <c r="C27" s="175" t="s">
        <v>25</v>
      </c>
      <c r="D27" s="163">
        <f>SUMIFS(SCH_DEP_SQL_4!$E:$E,SCH_DEP_SQL_4!$A:$A,'Pg2'!$T27)</f>
        <v>0</v>
      </c>
      <c r="E27" s="176" t="str">
        <f>IF((SUMIFS(CNXL_SQL_2!$F:$F,CNXL_SQL_2!$D:$D,'Pg2'!$U$22,CNXL_SQL_2!$A:$A,'Pg2'!$T27))=0,"",SUMIFS(CNXL_SQL_2!$F:$F,CNXL_SQL_2!$D:$D,'Pg2'!$U$22,CNXL_SQL_2!$A:$A,'Pg2'!$T27))</f>
        <v/>
      </c>
      <c r="F27" s="176" t="str">
        <f>IF((SUMIFS(CNXL_SQL_2!$F:$F,CNXL_SQL_2!$D:$D,'Pg2'!$U$23,CNXL_SQL_2!$A:$A,'Pg2'!$T27))=0,"",SUMIFS(CNXL_SQL_2!$F:$F,CNXL_SQL_2!$D:$D,'Pg2'!$U$23,CNXL_SQL_2!$A:$A,'Pg2'!$T27))</f>
        <v/>
      </c>
      <c r="G27" s="176" t="str">
        <f>IF((SUMIFS(CNXL_SQL_2!$F:$F,CNXL_SQL_2!$D:$D,'Pg2'!$U$24,CNXL_SQL_2!$A:$A,'Pg2'!$T27))=0,"",SUMIFS(CNXL_SQL_2!$F:$F,CNXL_SQL_2!$D:$D,'Pg2'!$U$24,CNXL_SQL_2!$A:$A,'Pg2'!$T27))</f>
        <v/>
      </c>
      <c r="H27" s="176" t="str">
        <f>IF((SUMIFS(CNXL_SQL_2!$F:$F,CNXL_SQL_2!$D:$D,'Pg2'!$U$25,CNXL_SQL_2!$A:$A,'Pg2'!$T27))=0,"",SUMIFS(CNXL_SQL_2!$F:$F,CNXL_SQL_2!$D:$D,'Pg2'!$U$25,CNXL_SQL_2!$A:$A,'Pg2'!$T27))</f>
        <v/>
      </c>
      <c r="I27" s="176" t="str">
        <f>IF((SUMIFS(CNXL_SQL_2!$F:$F,CNXL_SQL_2!$D:$D,'Pg2'!$U$26,CNXL_SQL_2!$A:$A,'Pg2'!$T27))=0,"",SUMIFS(CNXL_SQL_2!$F:$F,CNXL_SQL_2!$D:$D,'Pg2'!$U$26,CNXL_SQL_2!$A:$A,'Pg2'!$T27))</f>
        <v/>
      </c>
      <c r="J27" s="176" t="str">
        <f>IF((SUMIFS(CNXL_SQL_2!$F:$F,CNXL_SQL_2!$D:$D,'Pg2'!$U$27,CNXL_SQL_2!$A:$A,'Pg2'!$T27))=0,"",SUMIFS(CNXL_SQL_2!$F:$F,CNXL_SQL_2!$D:$D,'Pg2'!$U$27,CNXL_SQL_2!$A:$A,'Pg2'!$T27))</f>
        <v/>
      </c>
      <c r="K27" s="176" t="str">
        <f>IF((SUMIFS(CNXL_SQL_2!$F:$F,CNXL_SQL_2!$D:$D,'Pg2'!$U$28,CNXL_SQL_2!$A:$A,'Pg2'!$T27))=0,"",SUMIFS(CNXL_SQL_2!$F:$F,CNXL_SQL_2!$D:$D,'Pg2'!$U$28,CNXL_SQL_2!$A:$A,'Pg2'!$T27))</f>
        <v/>
      </c>
      <c r="L27" s="176" t="str">
        <f>IF((SUMIFS(CNXL_SQL_2!$F:$F,CNXL_SQL_2!$D:$D,'Pg2'!$U$29,CNXL_SQL_2!$A:$A,'Pg2'!$T27))=0,"",SUMIFS(CNXL_SQL_2!$F:$F,CNXL_SQL_2!$D:$D,'Pg2'!$U$29,CNXL_SQL_2!$A:$A,'Pg2'!$T27))</f>
        <v/>
      </c>
      <c r="M27" s="164"/>
      <c r="N27" s="245" t="str">
        <f t="shared" si="0"/>
        <v/>
      </c>
      <c r="O27" s="245" t="str">
        <f>IFERROR(VLOOKUP($T27,ES_MATRIX!$A$2:$L$10,11,0),"")</f>
        <v/>
      </c>
      <c r="P27" s="245" t="str">
        <f>IF(((SUM(E27:M27))-(SUMIFS(ES_MATRIX!$L$3:$L$10,ES_MATRIX!$A$3:$A$10,'Pg2'!$T27)))=0,"",(SUM(E27:M27))-(SUMIFS(ES_MATRIX!$L$3:$L$10,ES_MATRIX!$A$3:$A$10,'Pg2'!$T27)))</f>
        <v/>
      </c>
      <c r="Q27" s="245" t="str">
        <f>VLOOKUP($T27,ES_MATRIX!$A$25:$B$30,2,0)</f>
        <v/>
      </c>
      <c r="R27" s="237"/>
      <c r="T27" t="s">
        <v>59</v>
      </c>
      <c r="U27" s="172" t="s">
        <v>70</v>
      </c>
    </row>
    <row r="28" spans="1:21" x14ac:dyDescent="0.35">
      <c r="A28" s="131"/>
      <c r="B28" s="256"/>
      <c r="C28" s="166" t="s">
        <v>26</v>
      </c>
      <c r="D28" s="167">
        <f>SUM(D22:D27)</f>
        <v>1705</v>
      </c>
      <c r="E28" s="168">
        <f t="shared" ref="E28:M28" si="1">IF(SUM(E22:E27)=0,"",SUM(E22:E27))</f>
        <v>11</v>
      </c>
      <c r="F28" s="168" t="str">
        <f t="shared" si="1"/>
        <v/>
      </c>
      <c r="G28" s="168" t="str">
        <f t="shared" si="1"/>
        <v/>
      </c>
      <c r="H28" s="168" t="str">
        <f t="shared" si="1"/>
        <v/>
      </c>
      <c r="I28" s="168" t="str">
        <f t="shared" si="1"/>
        <v/>
      </c>
      <c r="J28" s="168" t="str">
        <f t="shared" si="1"/>
        <v/>
      </c>
      <c r="K28" s="168" t="str">
        <f t="shared" si="1"/>
        <v/>
      </c>
      <c r="L28" s="168" t="str">
        <f t="shared" si="1"/>
        <v/>
      </c>
      <c r="M28" s="168" t="str">
        <f t="shared" si="1"/>
        <v/>
      </c>
      <c r="N28" s="247">
        <f>IF(SUM(N22:N27)=0,"",SUM(N22:N27))</f>
        <v>11</v>
      </c>
      <c r="O28" s="247" t="str">
        <f t="shared" ref="O28:Q28" si="2">IF(SUM(O22:O27)=0,"",SUM(O22:O27))</f>
        <v/>
      </c>
      <c r="P28" s="247">
        <f t="shared" si="2"/>
        <v>11</v>
      </c>
      <c r="Q28" s="247" t="str">
        <f t="shared" si="2"/>
        <v/>
      </c>
      <c r="R28" s="237"/>
      <c r="U28" s="172" t="s">
        <v>72</v>
      </c>
    </row>
    <row r="29" spans="1:21" x14ac:dyDescent="0.35">
      <c r="A29" s="154"/>
      <c r="B29" s="243"/>
      <c r="C29" s="257"/>
      <c r="D29" s="257"/>
      <c r="E29" s="239"/>
      <c r="F29" s="239"/>
      <c r="G29" s="239"/>
      <c r="H29" s="239"/>
      <c r="I29" s="257"/>
      <c r="J29" s="257"/>
      <c r="K29" s="257"/>
      <c r="L29" s="239"/>
      <c r="M29" s="239"/>
      <c r="N29" s="239"/>
      <c r="O29" s="239"/>
      <c r="P29" s="257"/>
      <c r="Q29" s="257"/>
      <c r="R29" s="240"/>
      <c r="U29" s="172" t="s">
        <v>68</v>
      </c>
    </row>
    <row r="30" spans="1:21" x14ac:dyDescent="0.35">
      <c r="A30" s="154"/>
      <c r="B30" s="131"/>
      <c r="C30" s="154"/>
      <c r="D30" s="154"/>
      <c r="E30" s="131"/>
      <c r="F30" s="131"/>
      <c r="G30" s="131"/>
      <c r="H30" s="131"/>
      <c r="I30" s="154"/>
      <c r="J30" s="154"/>
      <c r="K30" s="154"/>
      <c r="L30" s="131"/>
      <c r="M30" s="131"/>
      <c r="N30" s="131"/>
      <c r="O30" s="154"/>
      <c r="P30" s="131"/>
      <c r="Q30" s="154"/>
      <c r="R30" s="154"/>
    </row>
    <row r="31" spans="1:21" x14ac:dyDescent="0.35">
      <c r="A31" s="154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</row>
    <row r="32" spans="1:21" ht="21" x14ac:dyDescent="0.35">
      <c r="A32" s="154"/>
      <c r="B32" s="316" t="s">
        <v>28</v>
      </c>
      <c r="C32" s="315"/>
      <c r="D32" s="315"/>
      <c r="E32" s="315"/>
      <c r="F32" s="315"/>
      <c r="G32" s="315"/>
      <c r="H32" s="315"/>
      <c r="I32" s="315"/>
      <c r="J32" s="315"/>
      <c r="K32" s="315"/>
      <c r="L32" s="315"/>
      <c r="M32" s="315"/>
      <c r="N32" s="315"/>
      <c r="O32" s="315"/>
      <c r="P32" s="315"/>
      <c r="Q32" s="315"/>
      <c r="R32" s="315"/>
    </row>
    <row r="33" spans="1:18" x14ac:dyDescent="0.35">
      <c r="A33" s="154"/>
      <c r="B33" s="156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31"/>
      <c r="R33" s="237"/>
    </row>
    <row r="34" spans="1:18" ht="58" x14ac:dyDescent="0.35">
      <c r="A34" s="154"/>
      <c r="B34" s="130"/>
      <c r="C34" s="158"/>
      <c r="D34" s="244" t="s">
        <v>85</v>
      </c>
      <c r="E34" s="197" t="s">
        <v>79</v>
      </c>
      <c r="F34" s="197" t="s">
        <v>80</v>
      </c>
      <c r="G34" s="197" t="s">
        <v>81</v>
      </c>
      <c r="H34" s="197" t="s">
        <v>82</v>
      </c>
      <c r="I34" s="197" t="s">
        <v>169</v>
      </c>
      <c r="J34" s="197" t="s">
        <v>170</v>
      </c>
      <c r="K34" s="197" t="s">
        <v>15</v>
      </c>
      <c r="L34" s="197" t="s">
        <v>16</v>
      </c>
      <c r="M34" s="197" t="s">
        <v>66</v>
      </c>
      <c r="N34" s="195" t="s">
        <v>29</v>
      </c>
      <c r="O34" s="195" t="s">
        <v>86</v>
      </c>
      <c r="P34" s="195" t="s">
        <v>73</v>
      </c>
      <c r="Q34" s="195" t="s">
        <v>46</v>
      </c>
      <c r="R34" s="237"/>
    </row>
    <row r="35" spans="1:18" x14ac:dyDescent="0.35">
      <c r="A35" s="154"/>
      <c r="B35" s="130"/>
      <c r="C35" s="174" t="s">
        <v>19</v>
      </c>
      <c r="D35" s="159">
        <f>SUMIFS(SCH_DEP_SQL_4!$E:$E,SCH_DEP_SQL_4!$A:$A,'Pg2'!$T22)</f>
        <v>816</v>
      </c>
      <c r="E35" s="17">
        <f>IF((SUMIFS(RES_CNXL_SQL_3!$F:$F,RES_CNXL_SQL_3!$D:$D,'Pg2'!$U$22,RES_CNXL_SQL_3!$A:$A,'Pg2'!$T22))=0,"",SUMIFS(RES_CNXL_SQL_3!$F:$F,RES_CNXL_SQL_3!$D:$D,'Pg2'!$U$22,RES_CNXL_SQL_3!$A:$A,'Pg2'!$T22))</f>
        <v>6</v>
      </c>
      <c r="F35" s="173" t="str">
        <f>IF((SUMIFS(RES_CNXL_SQL_3!$F:$F,RES_CNXL_SQL_3!$D:$D,'Pg2'!$U$23,RES_CNXL_SQL_3!$A:$A,'Pg2'!$T22))=0,"",SUMIFS(RES_CNXL_SQL_3!$F:$F,RES_CNXL_SQL_3!$D:$D,'Pg2'!$U$23,RES_CNXL_SQL_3!$A:$A,'Pg2'!$T22))</f>
        <v/>
      </c>
      <c r="G35" s="173" t="str">
        <f>IF((SUMIFS(RES_CNXL_SQL_3!$F:$F,RES_CNXL_SQL_3!$D:$D,'Pg2'!$U$24,RES_CNXL_SQL_3!$A:$A,'Pg2'!$T22))=0,"",SUMIFS(RES_CNXL_SQL_3!$F:$F,RES_CNXL_SQL_3!$D:$D,'Pg2'!$U$24,RES_CNXL_SQL_3!$A:$A,'Pg2'!$T22))</f>
        <v/>
      </c>
      <c r="H35" s="173" t="str">
        <f>IF((SUMIFS(RES_CNXL_SQL_3!$F:$F,RES_CNXL_SQL_3!$D:$D,'Pg2'!$U$25,RES_CNXL_SQL_3!$A:$A,'Pg2'!$T22))=0,"",SUMIFS(RES_CNXL_SQL_3!$F:$F,RES_CNXL_SQL_3!$D:$D,'Pg2'!$U$25,RES_CNXL_SQL_3!$A:$A,'Pg2'!$T22))</f>
        <v/>
      </c>
      <c r="I35" s="173" t="str">
        <f>IF((SUMIFS(RES_CNXL_SQL_3!$F:$F,RES_CNXL_SQL_3!$D:$D,'Pg2'!$U$26,RES_CNXL_SQL_3!$A:$A,'Pg2'!$T22))=0,"",SUMIFS(RES_CNXL_SQL_3!$F:$F,RES_CNXL_SQL_3!$D:$D,'Pg2'!$U$26,RES_CNXL_SQL_3!$A:$A,'Pg2'!$T22))</f>
        <v/>
      </c>
      <c r="J35" s="173" t="str">
        <f>IF((SUMIFS(RES_CNXL_SQL_3!$F:$F,RES_CNXL_SQL_3!$D:$D,'Pg2'!$U$27,RES_CNXL_SQL_3!$A:$A,'Pg2'!$T22))=0,"",SUMIFS(RES_CNXL_SQL_3!$F:$F,RES_CNXL_SQL_3!$D:$D,'Pg2'!$U$27,RES_CNXL_SQL_3!$A:$A,'Pg2'!$T22))</f>
        <v/>
      </c>
      <c r="K35" s="173" t="str">
        <f>IF((SUMIFS(RES_CNXL_SQL_3!$F:$F,RES_CNXL_SQL_3!$D:$D,'Pg2'!$U$28,RES_CNXL_SQL_3!$A:$A,'Pg2'!$T22))=0,"",SUMIFS(RES_CNXL_SQL_3!$F:$F,RES_CNXL_SQL_3!$D:$D,'Pg2'!$U$28,RES_CNXL_SQL_3!$A:$A,'Pg2'!$T22))</f>
        <v/>
      </c>
      <c r="L35" s="173" t="str">
        <f>IF((SUMIFS(RES_CNXL_SQL_3!$F:$F,RES_CNXL_SQL_3!$D:$D,'Pg2'!$U$29,RES_CNXL_SQL_3!$A:$A,'Pg2'!$T22))=0,"",SUMIFS(RES_CNXL_SQL_3!$F:$F,RES_CNXL_SQL_3!$D:$D,'Pg2'!$U$29,RES_CNXL_SQL_3!$A:$A,'Pg2'!$T22))</f>
        <v/>
      </c>
      <c r="M35" s="17"/>
      <c r="N35" s="199">
        <f t="shared" ref="N35" si="3">IF(SUM(E35:M35)=0,"",SUM(E35:M35))</f>
        <v>6</v>
      </c>
      <c r="O35" s="199" t="str">
        <f>IFERROR(VLOOKUP($T22,ES_MATRIX!$A$13:$L$21,11,0),"")</f>
        <v/>
      </c>
      <c r="P35" s="199">
        <f>IF(((SUM(E35:M35))-(SUMIFS(ES_MATRIX!$L$14:$L$21,ES_MATRIX!$A$14:$A$21,'Pg2'!$T22)))=0,"",(SUM(E35:M35))-(SUMIFS(ES_MATRIX!$L$14:$L$21,ES_MATRIX!$A$14:$A$21,'Pg2'!$T22)))</f>
        <v>6</v>
      </c>
      <c r="Q35" s="199" t="str">
        <f ca="1">VLOOKUP($T22,ES_MATRIX!$E$25:$F$30,2,0)</f>
        <v/>
      </c>
      <c r="R35" s="237"/>
    </row>
    <row r="36" spans="1:18" x14ac:dyDescent="0.35">
      <c r="A36" s="154"/>
      <c r="B36" s="130"/>
      <c r="C36" s="175" t="s">
        <v>21</v>
      </c>
      <c r="D36" s="163">
        <f>SUMIFS(SCH_DEP_SQL_4!$E:$E,SCH_DEP_SQL_4!$A:$A,'Pg2'!$T23)</f>
        <v>297</v>
      </c>
      <c r="E36" s="176" t="str">
        <f>IF((SUMIFS(RES_CNXL_SQL_3!$F:$F,RES_CNXL_SQL_3!$D:$D,'Pg2'!$U$22,RES_CNXL_SQL_3!$A:$A,'Pg2'!$T23))=0,"",SUMIFS(RES_CNXL_SQL_3!$F:$F,RES_CNXL_SQL_3!$D:$D,'Pg2'!$U$22,RES_CNXL_SQL_3!$A:$A,'Pg2'!$T23))</f>
        <v/>
      </c>
      <c r="F36" s="176" t="str">
        <f>IF((SUMIFS(RES_CNXL_SQL_3!$F:$F,RES_CNXL_SQL_3!$D:$D,'Pg2'!$U$23,RES_CNXL_SQL_3!$A:$A,'Pg2'!$T23))=0,"",SUMIFS(RES_CNXL_SQL_3!$F:$F,RES_CNXL_SQL_3!$D:$D,'Pg2'!$U$23,RES_CNXL_SQL_3!$A:$A,'Pg2'!$T23))</f>
        <v/>
      </c>
      <c r="G36" s="176" t="str">
        <f>IF((SUMIFS(RES_CNXL_SQL_3!$F:$F,RES_CNXL_SQL_3!$D:$D,'Pg2'!$U$24,RES_CNXL_SQL_3!$A:$A,'Pg2'!$T23))=0,"",SUMIFS(RES_CNXL_SQL_3!$F:$F,RES_CNXL_SQL_3!$D:$D,'Pg2'!$U$24,RES_CNXL_SQL_3!$A:$A,'Pg2'!$T23))</f>
        <v/>
      </c>
      <c r="H36" s="176" t="str">
        <f>IF((SUMIFS(RES_CNXL_SQL_3!$F:$F,RES_CNXL_SQL_3!$D:$D,'Pg2'!$U$25,RES_CNXL_SQL_3!$A:$A,'Pg2'!$T23))=0,"",SUMIFS(RES_CNXL_SQL_3!$F:$F,RES_CNXL_SQL_3!$D:$D,'Pg2'!$U$25,RES_CNXL_SQL_3!$A:$A,'Pg2'!$T23))</f>
        <v/>
      </c>
      <c r="I36" s="176" t="str">
        <f>IF((SUMIFS(RES_CNXL_SQL_3!$F:$F,RES_CNXL_SQL_3!$D:$D,'Pg2'!$U$26,RES_CNXL_SQL_3!$A:$A,'Pg2'!$T23))=0,"",SUMIFS(RES_CNXL_SQL_3!$F:$F,RES_CNXL_SQL_3!$D:$D,'Pg2'!$U$26,RES_CNXL_SQL_3!$A:$A,'Pg2'!$T23))</f>
        <v/>
      </c>
      <c r="J36" s="176" t="str">
        <f>IF((SUMIFS(RES_CNXL_SQL_3!$F:$F,RES_CNXL_SQL_3!$D:$D,'Pg2'!$U$27,RES_CNXL_SQL_3!$A:$A,'Pg2'!$T23))=0,"",SUMIFS(RES_CNXL_SQL_3!$F:$F,RES_CNXL_SQL_3!$D:$D,'Pg2'!$U$27,RES_CNXL_SQL_3!$A:$A,'Pg2'!$T23))</f>
        <v/>
      </c>
      <c r="K36" s="176" t="str">
        <f>IF((SUMIFS(RES_CNXL_SQL_3!$F:$F,RES_CNXL_SQL_3!$D:$D,'Pg2'!$U$28,RES_CNXL_SQL_3!$A:$A,'Pg2'!$T23))=0,"",SUMIFS(RES_CNXL_SQL_3!$F:$F,RES_CNXL_SQL_3!$D:$D,'Pg2'!$U$28,RES_CNXL_SQL_3!$A:$A,'Pg2'!$T23))</f>
        <v/>
      </c>
      <c r="L36" s="176" t="str">
        <f>IF((SUMIFS(RES_CNXL_SQL_3!$F:$F,RES_CNXL_SQL_3!$D:$D,'Pg2'!$U$29,RES_CNXL_SQL_3!$A:$A,'Pg2'!$T23))=0,"",SUMIFS(RES_CNXL_SQL_3!$F:$F,RES_CNXL_SQL_3!$D:$D,'Pg2'!$U$29,RES_CNXL_SQL_3!$A:$A,'Pg2'!$T23))</f>
        <v/>
      </c>
      <c r="M36" s="128" t="s">
        <v>171</v>
      </c>
      <c r="N36" s="245" t="str">
        <f>IF(SUM(E36:M36)=0,"",SUM(E36:M36))</f>
        <v/>
      </c>
      <c r="O36" s="245" t="str">
        <f>IFERROR(VLOOKUP($T23,ES_MATRIX!$A$13:$L$21,11,0),"")</f>
        <v/>
      </c>
      <c r="P36" s="245" t="str">
        <f>IF(((SUM(E36:M36))-(SUMIFS(ES_MATRIX!$L$14:$L$21,ES_MATRIX!$A$14:$A$21,'Pg2'!$T23)))=0,"",(SUM(E36:M36))-(SUMIFS(ES_MATRIX!$L$14:$L$21,ES_MATRIX!$A$14:$A$21,'Pg2'!$T23)))</f>
        <v/>
      </c>
      <c r="Q36" s="245" t="str">
        <f ca="1">VLOOKUP($T23,ES_MATRIX!$E$25:$F$30,2,0)</f>
        <v/>
      </c>
      <c r="R36" s="237"/>
    </row>
    <row r="37" spans="1:18" x14ac:dyDescent="0.35">
      <c r="A37" s="154"/>
      <c r="B37" s="130"/>
      <c r="C37" s="174" t="s">
        <v>22</v>
      </c>
      <c r="D37" s="159">
        <f>SUMIFS(SCH_DEP_SQL_4!$E:$E,SCH_DEP_SQL_4!$A:$A,'Pg2'!$T24)</f>
        <v>186</v>
      </c>
      <c r="E37" s="173" t="str">
        <f>IF((SUMIFS(RES_CNXL_SQL_3!$F:$F,RES_CNXL_SQL_3!$D:$D,'Pg2'!$U$22,RES_CNXL_SQL_3!$A:$A,'Pg2'!$T24))=0,"",SUMIFS(RES_CNXL_SQL_3!$F:$F,RES_CNXL_SQL_3!$D:$D,'Pg2'!$U$22,RES_CNXL_SQL_3!$A:$A,'Pg2'!$T24))</f>
        <v/>
      </c>
      <c r="F37" s="173" t="str">
        <f>IF((SUMIFS(RES_CNXL_SQL_3!$F:$F,RES_CNXL_SQL_3!$D:$D,'Pg2'!$U$23,RES_CNXL_SQL_3!$A:$A,'Pg2'!$T24))=0,"",SUMIFS(RES_CNXL_SQL_3!$F:$F,RES_CNXL_SQL_3!$D:$D,'Pg2'!$U$23,RES_CNXL_SQL_3!$A:$A,'Pg2'!$T24))</f>
        <v/>
      </c>
      <c r="G37" s="173" t="str">
        <f>IF((SUMIFS(RES_CNXL_SQL_3!$F:$F,RES_CNXL_SQL_3!$D:$D,'Pg2'!$U$24,RES_CNXL_SQL_3!$A:$A,'Pg2'!$T24))=0,"",SUMIFS(RES_CNXL_SQL_3!$F:$F,RES_CNXL_SQL_3!$D:$D,'Pg2'!$U$24,RES_CNXL_SQL_3!$A:$A,'Pg2'!$T24))</f>
        <v/>
      </c>
      <c r="H37" s="173" t="str">
        <f>IF((SUMIFS(RES_CNXL_SQL_3!$F:$F,RES_CNXL_SQL_3!$D:$D,'Pg2'!$U$25,RES_CNXL_SQL_3!$A:$A,'Pg2'!$T24))=0,"",SUMIFS(RES_CNXL_SQL_3!$F:$F,RES_CNXL_SQL_3!$D:$D,'Pg2'!$U$25,RES_CNXL_SQL_3!$A:$A,'Pg2'!$T24))</f>
        <v/>
      </c>
      <c r="I37" s="173">
        <f>IF((SUMIFS(RES_CNXL_SQL_3!$F:$F,RES_CNXL_SQL_3!$D:$D,'Pg2'!$U$26,RES_CNXL_SQL_3!$A:$A,'Pg2'!$T24))=0,"",SUMIFS(RES_CNXL_SQL_3!$F:$F,RES_CNXL_SQL_3!$D:$D,'Pg2'!$U$26,RES_CNXL_SQL_3!$A:$A,'Pg2'!$T24))</f>
        <v>1</v>
      </c>
      <c r="J37" s="173" t="str">
        <f>IF((SUMIFS(RES_CNXL_SQL_3!$F:$F,RES_CNXL_SQL_3!$D:$D,'Pg2'!$U$27,RES_CNXL_SQL_3!$A:$A,'Pg2'!$T24))=0,"",SUMIFS(RES_CNXL_SQL_3!$F:$F,RES_CNXL_SQL_3!$D:$D,'Pg2'!$U$27,RES_CNXL_SQL_3!$A:$A,'Pg2'!$T24))</f>
        <v/>
      </c>
      <c r="K37" s="173" t="str">
        <f>IF((SUMIFS(RES_CNXL_SQL_3!$F:$F,RES_CNXL_SQL_3!$D:$D,'Pg2'!$U$28,RES_CNXL_SQL_3!$A:$A,'Pg2'!$T24))=0,"",SUMIFS(RES_CNXL_SQL_3!$F:$F,RES_CNXL_SQL_3!$D:$D,'Pg2'!$U$28,RES_CNXL_SQL_3!$A:$A,'Pg2'!$T24))</f>
        <v/>
      </c>
      <c r="L37" s="173" t="str">
        <f>IF((SUMIFS(RES_CNXL_SQL_3!$F:$F,RES_CNXL_SQL_3!$D:$D,'Pg2'!$U$29,RES_CNXL_SQL_3!$A:$A,'Pg2'!$T24))=0,"",SUMIFS(RES_CNXL_SQL_3!$F:$F,RES_CNXL_SQL_3!$D:$D,'Pg2'!$U$29,RES_CNXL_SQL_3!$A:$A,'Pg2'!$T24))</f>
        <v/>
      </c>
      <c r="M37" s="17" t="s">
        <v>171</v>
      </c>
      <c r="N37" s="199">
        <f t="shared" ref="N37:N40" si="4">IF(SUM(E37:M37)=0,"",SUM(E37:M37))</f>
        <v>1</v>
      </c>
      <c r="O37" s="199" t="str">
        <f>IFERROR(VLOOKUP($T24,ES_MATRIX!$A$13:$L$21,11,0),"")</f>
        <v/>
      </c>
      <c r="P37" s="199">
        <f>IF(((SUM(E37:M37))-(SUMIFS(ES_MATRIX!$L$14:$L$21,ES_MATRIX!$A$14:$A$21,'Pg2'!$T24)))=0,"",(SUM(E37:M37))-(SUMIFS(ES_MATRIX!$L$14:$L$21,ES_MATRIX!$A$14:$A$21,'Pg2'!$T24)))</f>
        <v>1</v>
      </c>
      <c r="Q37" s="199" t="str">
        <f ca="1">VLOOKUP($T24,ES_MATRIX!$E$25:$F$30,2,0)</f>
        <v/>
      </c>
      <c r="R37" s="237"/>
    </row>
    <row r="38" spans="1:18" x14ac:dyDescent="0.35">
      <c r="A38" s="154"/>
      <c r="B38" s="130"/>
      <c r="C38" s="175" t="s">
        <v>23</v>
      </c>
      <c r="D38" s="163">
        <f>SUMIFS(SCH_DEP_SQL_4!$E:$E,SCH_DEP_SQL_4!$A:$A,'Pg2'!$T25)</f>
        <v>193</v>
      </c>
      <c r="E38" s="176" t="str">
        <f>IF((SUMIFS(RES_CNXL_SQL_3!$F:$F,RES_CNXL_SQL_3!$D:$D,'Pg2'!$U$22,RES_CNXL_SQL_3!$A:$A,'Pg2'!$T25))=0,"",SUMIFS(RES_CNXL_SQL_3!$F:$F,RES_CNXL_SQL_3!$D:$D,'Pg2'!$U$22,RES_CNXL_SQL_3!$A:$A,'Pg2'!$T25))</f>
        <v/>
      </c>
      <c r="F38" s="176" t="str">
        <f>IF((SUMIFS(RES_CNXL_SQL_3!$F:$F,RES_CNXL_SQL_3!$D:$D,'Pg2'!$U$23,RES_CNXL_SQL_3!$A:$A,'Pg2'!$T25))=0,"",SUMIFS(RES_CNXL_SQL_3!$F:$F,RES_CNXL_SQL_3!$D:$D,'Pg2'!$U$23,RES_CNXL_SQL_3!$A:$A,'Pg2'!$T25))</f>
        <v/>
      </c>
      <c r="G38" s="176" t="str">
        <f>IF((SUMIFS(RES_CNXL_SQL_3!$F:$F,RES_CNXL_SQL_3!$D:$D,'Pg2'!$U$24,RES_CNXL_SQL_3!$A:$A,'Pg2'!$T25))=0,"",SUMIFS(RES_CNXL_SQL_3!$F:$F,RES_CNXL_SQL_3!$D:$D,'Pg2'!$U$24,RES_CNXL_SQL_3!$A:$A,'Pg2'!$T25))</f>
        <v/>
      </c>
      <c r="H38" s="176" t="str">
        <f>IF((SUMIFS(RES_CNXL_SQL_3!$F:$F,RES_CNXL_SQL_3!$D:$D,'Pg2'!$U$25,RES_CNXL_SQL_3!$A:$A,'Pg2'!$T25))=0,"",SUMIFS(RES_CNXL_SQL_3!$F:$F,RES_CNXL_SQL_3!$D:$D,'Pg2'!$U$25,RES_CNXL_SQL_3!$A:$A,'Pg2'!$T25))</f>
        <v/>
      </c>
      <c r="I38" s="176" t="str">
        <f>IF((SUMIFS(RES_CNXL_SQL_3!$F:$F,RES_CNXL_SQL_3!$D:$D,'Pg2'!$U$26,RES_CNXL_SQL_3!$A:$A,'Pg2'!$T25))=0,"",SUMIFS(RES_CNXL_SQL_3!$F:$F,RES_CNXL_SQL_3!$D:$D,'Pg2'!$U$26,RES_CNXL_SQL_3!$A:$A,'Pg2'!$T25))</f>
        <v/>
      </c>
      <c r="J38" s="176" t="str">
        <f>IF((SUMIFS(RES_CNXL_SQL_3!$F:$F,RES_CNXL_SQL_3!$D:$D,'Pg2'!$U$27,RES_CNXL_SQL_3!$A:$A,'Pg2'!$T25))=0,"",SUMIFS(RES_CNXL_SQL_3!$F:$F,RES_CNXL_SQL_3!$D:$D,'Pg2'!$U$27,RES_CNXL_SQL_3!$A:$A,'Pg2'!$T25))</f>
        <v/>
      </c>
      <c r="K38" s="176" t="str">
        <f>IF((SUMIFS(RES_CNXL_SQL_3!$F:$F,RES_CNXL_SQL_3!$D:$D,'Pg2'!$U$28,RES_CNXL_SQL_3!$A:$A,'Pg2'!$T25))=0,"",SUMIFS(RES_CNXL_SQL_3!$F:$F,RES_CNXL_SQL_3!$D:$D,'Pg2'!$U$28,RES_CNXL_SQL_3!$A:$A,'Pg2'!$T25))</f>
        <v/>
      </c>
      <c r="L38" s="176" t="str">
        <f>IF((SUMIFS(RES_CNXL_SQL_3!$F:$F,RES_CNXL_SQL_3!$D:$D,'Pg2'!$U$29,RES_CNXL_SQL_3!$A:$A,'Pg2'!$T25))=0,"",SUMIFS(RES_CNXL_SQL_3!$F:$F,RES_CNXL_SQL_3!$D:$D,'Pg2'!$U$29,RES_CNXL_SQL_3!$A:$A,'Pg2'!$T25))</f>
        <v/>
      </c>
      <c r="M38" s="128" t="s">
        <v>171</v>
      </c>
      <c r="N38" s="245" t="str">
        <f t="shared" si="4"/>
        <v/>
      </c>
      <c r="O38" s="245" t="str">
        <f>IFERROR(VLOOKUP($T25,ES_MATRIX!$A$13:$L$21,11,0),"")</f>
        <v/>
      </c>
      <c r="P38" s="245" t="str">
        <f>IF(((SUM(E38:M38))-(SUMIFS(ES_MATRIX!$L$14:$L$21,ES_MATRIX!$A$14:$A$21,'Pg2'!$T25)))=0,"",(SUM(E38:M38))-(SUMIFS(ES_MATRIX!$L$14:$L$21,ES_MATRIX!$A$14:$A$21,'Pg2'!$T25)))</f>
        <v/>
      </c>
      <c r="Q38" s="245" t="str">
        <f ca="1">VLOOKUP($T25,ES_MATRIX!$E$25:$F$30,2,0)</f>
        <v/>
      </c>
      <c r="R38" s="237"/>
    </row>
    <row r="39" spans="1:18" x14ac:dyDescent="0.35">
      <c r="A39" s="154"/>
      <c r="B39" s="130"/>
      <c r="C39" s="174" t="s">
        <v>24</v>
      </c>
      <c r="D39" s="159">
        <f>SUMIFS(SCH_DEP_SQL_4!$E:$E,SCH_DEP_SQL_4!$A:$A,'Pg2'!$T26)</f>
        <v>213</v>
      </c>
      <c r="E39" s="173" t="str">
        <f>IF((SUMIFS(RES_CNXL_SQL_3!$F:$F,RES_CNXL_SQL_3!$D:$D,'Pg2'!$U$22,RES_CNXL_SQL_3!$A:$A,'Pg2'!$T26))=0,"",SUMIFS(RES_CNXL_SQL_3!$F:$F,RES_CNXL_SQL_3!$D:$D,'Pg2'!$U$22,RES_CNXL_SQL_3!$A:$A,'Pg2'!$T26))</f>
        <v/>
      </c>
      <c r="F39" s="173" t="str">
        <f>IF((SUMIFS(RES_CNXL_SQL_3!$F:$F,RES_CNXL_SQL_3!$D:$D,'Pg2'!$U$23,RES_CNXL_SQL_3!$A:$A,'Pg2'!$T26))=0,"",SUMIFS(RES_CNXL_SQL_3!$F:$F,RES_CNXL_SQL_3!$D:$D,'Pg2'!$U$23,RES_CNXL_SQL_3!$A:$A,'Pg2'!$T26))</f>
        <v/>
      </c>
      <c r="G39" s="173" t="str">
        <f>IF((SUMIFS(RES_CNXL_SQL_3!$F:$F,RES_CNXL_SQL_3!$D:$D,'Pg2'!$U$24,RES_CNXL_SQL_3!$A:$A,'Pg2'!$T26))=0,"",SUMIFS(RES_CNXL_SQL_3!$F:$F,RES_CNXL_SQL_3!$D:$D,'Pg2'!$U$24,RES_CNXL_SQL_3!$A:$A,'Pg2'!$T26))</f>
        <v/>
      </c>
      <c r="H39" s="173" t="str">
        <f>IF((SUMIFS(RES_CNXL_SQL_3!$F:$F,RES_CNXL_SQL_3!$D:$D,'Pg2'!$U$25,RES_CNXL_SQL_3!$A:$A,'Pg2'!$T26))=0,"",SUMIFS(RES_CNXL_SQL_3!$F:$F,RES_CNXL_SQL_3!$D:$D,'Pg2'!$U$25,RES_CNXL_SQL_3!$A:$A,'Pg2'!$T26))</f>
        <v/>
      </c>
      <c r="I39" s="173" t="str">
        <f>IF((SUMIFS(RES_CNXL_SQL_3!$F:$F,RES_CNXL_SQL_3!$D:$D,'Pg2'!$U$26,RES_CNXL_SQL_3!$A:$A,'Pg2'!$T26))=0,"",SUMIFS(RES_CNXL_SQL_3!$F:$F,RES_CNXL_SQL_3!$D:$D,'Pg2'!$U$26,RES_CNXL_SQL_3!$A:$A,'Pg2'!$T26))</f>
        <v/>
      </c>
      <c r="J39" s="173" t="str">
        <f>IF((SUMIFS(RES_CNXL_SQL_3!$F:$F,RES_CNXL_SQL_3!$D:$D,'Pg2'!$U$27,RES_CNXL_SQL_3!$A:$A,'Pg2'!$T26))=0,"",SUMIFS(RES_CNXL_SQL_3!$F:$F,RES_CNXL_SQL_3!$D:$D,'Pg2'!$U$27,RES_CNXL_SQL_3!$A:$A,'Pg2'!$T26))</f>
        <v/>
      </c>
      <c r="K39" s="173" t="str">
        <f>IF((SUMIFS(RES_CNXL_SQL_3!$F:$F,RES_CNXL_SQL_3!$D:$D,'Pg2'!$U$28,RES_CNXL_SQL_3!$A:$A,'Pg2'!$T26))=0,"",SUMIFS(RES_CNXL_SQL_3!$F:$F,RES_CNXL_SQL_3!$D:$D,'Pg2'!$U$28,RES_CNXL_SQL_3!$A:$A,'Pg2'!$T26))</f>
        <v/>
      </c>
      <c r="L39" s="173" t="str">
        <f>IF((SUMIFS(RES_CNXL_SQL_3!$F:$F,RES_CNXL_SQL_3!$D:$D,'Pg2'!$U$29,RES_CNXL_SQL_3!$A:$A,'Pg2'!$T26))=0,"",SUMIFS(RES_CNXL_SQL_3!$F:$F,RES_CNXL_SQL_3!$D:$D,'Pg2'!$U$29,RES_CNXL_SQL_3!$A:$A,'Pg2'!$T26))</f>
        <v/>
      </c>
      <c r="M39" s="17" t="s">
        <v>171</v>
      </c>
      <c r="N39" s="199" t="str">
        <f t="shared" si="4"/>
        <v/>
      </c>
      <c r="O39" s="199" t="str">
        <f>IFERROR(VLOOKUP($T26,ES_MATRIX!$A$13:$L$21,11,0),"")</f>
        <v/>
      </c>
      <c r="P39" s="199" t="str">
        <f>IF(((SUM(E39:M39))-(SUMIFS(ES_MATRIX!$L$14:$L$21,ES_MATRIX!$A$14:$A$21,'Pg2'!$T26)))=0,"",(SUM(E39:M39))-(SUMIFS(ES_MATRIX!$L$14:$L$21,ES_MATRIX!$A$14:$A$21,'Pg2'!$T26)))</f>
        <v/>
      </c>
      <c r="Q39" s="199" t="str">
        <f ca="1">VLOOKUP($T26,ES_MATRIX!$E$25:$F$30,2,0)</f>
        <v/>
      </c>
      <c r="R39" s="237"/>
    </row>
    <row r="40" spans="1:18" x14ac:dyDescent="0.35">
      <c r="A40" s="154"/>
      <c r="B40" s="130"/>
      <c r="C40" s="175" t="s">
        <v>25</v>
      </c>
      <c r="D40" s="163">
        <f>SUMIFS(SCH_DEP_SQL_4!$E:$E,SCH_DEP_SQL_4!$A:$A,'Pg2'!$T27)</f>
        <v>0</v>
      </c>
      <c r="E40" s="176" t="str">
        <f>IF((SUMIFS(RES_CNXL_SQL_3!$F:$F,RES_CNXL_SQL_3!$D:$D,'Pg2'!$U$22,RES_CNXL_SQL_3!$A:$A,'Pg2'!$T27))=0,"",SUMIFS(RES_CNXL_SQL_3!$F:$F,RES_CNXL_SQL_3!$D:$D,'Pg2'!$U$22,RES_CNXL_SQL_3!$A:$A,'Pg2'!$T27))</f>
        <v/>
      </c>
      <c r="F40" s="176" t="str">
        <f>IF((SUMIFS(RES_CNXL_SQL_3!$F:$F,RES_CNXL_SQL_3!$D:$D,'Pg2'!$U$23,RES_CNXL_SQL_3!$A:$A,'Pg2'!$T27))=0,"",SUMIFS(RES_CNXL_SQL_3!$F:$F,RES_CNXL_SQL_3!$D:$D,'Pg2'!$U$23,RES_CNXL_SQL_3!$A:$A,'Pg2'!$T27))</f>
        <v/>
      </c>
      <c r="G40" s="176" t="str">
        <f>IF((SUMIFS(RES_CNXL_SQL_3!$F:$F,RES_CNXL_SQL_3!$D:$D,'Pg2'!$U$24,RES_CNXL_SQL_3!$A:$A,'Pg2'!$T27))=0,"",SUMIFS(RES_CNXL_SQL_3!$F:$F,RES_CNXL_SQL_3!$D:$D,'Pg2'!$U$24,RES_CNXL_SQL_3!$A:$A,'Pg2'!$T27))</f>
        <v/>
      </c>
      <c r="H40" s="176" t="str">
        <f>IF((SUMIFS(RES_CNXL_SQL_3!$F:$F,RES_CNXL_SQL_3!$D:$D,'Pg2'!$U$25,RES_CNXL_SQL_3!$A:$A,'Pg2'!$T27))=0,"",SUMIFS(RES_CNXL_SQL_3!$F:$F,RES_CNXL_SQL_3!$D:$D,'Pg2'!$U$25,RES_CNXL_SQL_3!$A:$A,'Pg2'!$T27))</f>
        <v/>
      </c>
      <c r="I40" s="176" t="str">
        <f>IF((SUMIFS(RES_CNXL_SQL_3!$F:$F,RES_CNXL_SQL_3!$D:$D,'Pg2'!$U$26,RES_CNXL_SQL_3!$A:$A,'Pg2'!$T27))=0,"",SUMIFS(RES_CNXL_SQL_3!$F:$F,RES_CNXL_SQL_3!$D:$D,'Pg2'!$U$26,RES_CNXL_SQL_3!$A:$A,'Pg2'!$T27))</f>
        <v/>
      </c>
      <c r="J40" s="176" t="str">
        <f>IF((SUMIFS(RES_CNXL_SQL_3!$F:$F,RES_CNXL_SQL_3!$D:$D,'Pg2'!$U$27,RES_CNXL_SQL_3!$A:$A,'Pg2'!$T27))=0,"",SUMIFS(RES_CNXL_SQL_3!$F:$F,RES_CNXL_SQL_3!$D:$D,'Pg2'!$U$27,RES_CNXL_SQL_3!$A:$A,'Pg2'!$T27))</f>
        <v/>
      </c>
      <c r="K40" s="176" t="str">
        <f>IF((SUMIFS(RES_CNXL_SQL_3!$F:$F,RES_CNXL_SQL_3!$D:$D,'Pg2'!$U$28,RES_CNXL_SQL_3!$A:$A,'Pg2'!$T27))=0,"",SUMIFS(RES_CNXL_SQL_3!$F:$F,RES_CNXL_SQL_3!$D:$D,'Pg2'!$U$28,RES_CNXL_SQL_3!$A:$A,'Pg2'!$T27))</f>
        <v/>
      </c>
      <c r="L40" s="176" t="str">
        <f>IF((SUMIFS(RES_CNXL_SQL_3!$F:$F,RES_CNXL_SQL_3!$D:$D,'Pg2'!$U$29,RES_CNXL_SQL_3!$A:$A,'Pg2'!$T27))=0,"",SUMIFS(RES_CNXL_SQL_3!$F:$F,RES_CNXL_SQL_3!$D:$D,'Pg2'!$U$29,RES_CNXL_SQL_3!$A:$A,'Pg2'!$T27))</f>
        <v/>
      </c>
      <c r="M40" s="176" t="s">
        <v>171</v>
      </c>
      <c r="N40" s="246" t="str">
        <f t="shared" si="4"/>
        <v/>
      </c>
      <c r="O40" s="245" t="str">
        <f>IFERROR(VLOOKUP($T27,ES_MATRIX!$A$13:$L$21,11,0),"")</f>
        <v/>
      </c>
      <c r="P40" s="245" t="str">
        <f>IF(((SUM(E40:M40))-(SUMIFS(ES_MATRIX!$L$14:$L$21,ES_MATRIX!$A$14:$A$21,'Pg2'!$T27)))=0,"",(SUM(E40:M40))-(SUMIFS(ES_MATRIX!$L$14:$L$21,ES_MATRIX!$A$14:$A$21,'Pg2'!$T27)))</f>
        <v/>
      </c>
      <c r="Q40" s="245" t="str">
        <f ca="1">VLOOKUP($T27,ES_MATRIX!$E$25:$F$30,2,0)</f>
        <v/>
      </c>
      <c r="R40" s="237"/>
    </row>
    <row r="41" spans="1:18" x14ac:dyDescent="0.35">
      <c r="A41" s="154"/>
      <c r="B41" s="130"/>
      <c r="C41" s="166" t="s">
        <v>26</v>
      </c>
      <c r="D41" s="167">
        <f>SUM(D35:D40)</f>
        <v>1705</v>
      </c>
      <c r="E41" s="168">
        <f t="shared" ref="E41:M41" si="5">IF(SUM(E35:E40)=0,"",SUM(E35:E40))</f>
        <v>6</v>
      </c>
      <c r="F41" s="168" t="str">
        <f t="shared" si="5"/>
        <v/>
      </c>
      <c r="G41" s="168" t="str">
        <f t="shared" si="5"/>
        <v/>
      </c>
      <c r="H41" s="168" t="str">
        <f t="shared" si="5"/>
        <v/>
      </c>
      <c r="I41" s="168">
        <f t="shared" si="5"/>
        <v>1</v>
      </c>
      <c r="J41" s="168" t="str">
        <f t="shared" si="5"/>
        <v/>
      </c>
      <c r="K41" s="168" t="str">
        <f t="shared" si="5"/>
        <v/>
      </c>
      <c r="L41" s="168" t="str">
        <f t="shared" si="5"/>
        <v/>
      </c>
      <c r="M41" s="168" t="str">
        <f t="shared" si="5"/>
        <v/>
      </c>
      <c r="N41" s="169">
        <f>IF(SUM(N35:N40)=0,"",SUM(N35:N40))</f>
        <v>7</v>
      </c>
      <c r="O41" s="169" t="str">
        <f t="shared" ref="O41:Q41" si="6">IF(SUM(O35:O40)=0,"",SUM(O35:O40))</f>
        <v/>
      </c>
      <c r="P41" s="169">
        <f t="shared" si="6"/>
        <v>7</v>
      </c>
      <c r="Q41" s="169" t="str">
        <f t="shared" ca="1" si="6"/>
        <v/>
      </c>
      <c r="R41" s="237"/>
    </row>
    <row r="42" spans="1:18" x14ac:dyDescent="0.35">
      <c r="A42" s="154"/>
      <c r="B42" s="150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239"/>
      <c r="R42" s="240"/>
    </row>
    <row r="43" spans="1:18" x14ac:dyDescent="0.35">
      <c r="A43" s="154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54"/>
      <c r="R43" s="154"/>
    </row>
    <row r="44" spans="1:18" x14ac:dyDescent="0.35">
      <c r="A44" s="154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54"/>
      <c r="R44" s="154"/>
    </row>
    <row r="45" spans="1:18" x14ac:dyDescent="0.35">
      <c r="A45" s="154"/>
      <c r="B45" s="170" t="s">
        <v>172</v>
      </c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</row>
    <row r="46" spans="1:18" ht="21" x14ac:dyDescent="0.35">
      <c r="A46" s="154"/>
      <c r="B46" s="171" t="s">
        <v>173</v>
      </c>
      <c r="C46" s="252"/>
      <c r="D46" s="252"/>
      <c r="E46" s="252"/>
      <c r="F46" s="252"/>
      <c r="G46" s="252"/>
      <c r="H46" s="252"/>
      <c r="I46" s="252"/>
      <c r="J46" s="252"/>
      <c r="K46" s="252"/>
      <c r="L46" s="252"/>
      <c r="M46" s="252"/>
      <c r="N46" s="252"/>
      <c r="O46" s="252"/>
      <c r="P46" s="252"/>
      <c r="Q46" s="154"/>
      <c r="R46" s="154"/>
    </row>
    <row r="47" spans="1:18" ht="21" x14ac:dyDescent="0.35">
      <c r="A47" s="154"/>
      <c r="B47" s="171" t="s">
        <v>174</v>
      </c>
      <c r="C47" s="252"/>
      <c r="D47" s="252"/>
      <c r="E47" s="252"/>
      <c r="F47" s="252"/>
      <c r="G47" s="252"/>
      <c r="H47" s="252"/>
      <c r="I47" s="252"/>
      <c r="J47" s="252"/>
      <c r="K47" s="252"/>
      <c r="L47" s="252"/>
      <c r="M47" s="252"/>
      <c r="N47" s="252"/>
      <c r="O47" s="252"/>
      <c r="P47" s="252"/>
      <c r="Q47" s="154"/>
      <c r="R47" s="154"/>
    </row>
    <row r="48" spans="1:18" x14ac:dyDescent="0.35">
      <c r="A48" s="154"/>
      <c r="B48" s="171" t="s">
        <v>175</v>
      </c>
      <c r="C48" s="158"/>
      <c r="D48" s="158"/>
      <c r="E48" s="158"/>
      <c r="F48" s="158"/>
      <c r="G48" s="158"/>
      <c r="H48" s="158"/>
      <c r="I48" s="158"/>
      <c r="J48" s="158"/>
      <c r="K48" s="158"/>
      <c r="L48" s="158"/>
      <c r="M48" s="158"/>
      <c r="N48" s="131"/>
      <c r="O48" s="131"/>
      <c r="P48" s="131"/>
      <c r="Q48" s="154"/>
      <c r="R48" s="154"/>
    </row>
    <row r="49" spans="1:18" x14ac:dyDescent="0.35">
      <c r="A49" s="154"/>
      <c r="B49" s="171" t="s">
        <v>176</v>
      </c>
      <c r="C49" s="253"/>
      <c r="D49" s="248"/>
      <c r="E49" s="253"/>
      <c r="F49" s="248"/>
      <c r="G49" s="162"/>
      <c r="H49" s="162"/>
      <c r="I49" s="162"/>
      <c r="J49" s="162"/>
      <c r="K49" s="162"/>
      <c r="L49" s="162"/>
      <c r="M49" s="162"/>
      <c r="N49" s="131"/>
      <c r="O49" s="131"/>
      <c r="P49" s="131"/>
      <c r="Q49" s="154"/>
      <c r="R49" s="154"/>
    </row>
    <row r="50" spans="1:18" x14ac:dyDescent="0.35">
      <c r="A50" s="154"/>
      <c r="B50" s="131"/>
      <c r="C50" s="253"/>
      <c r="D50" s="248"/>
      <c r="E50" s="253"/>
      <c r="F50" s="248"/>
      <c r="G50" s="162"/>
      <c r="H50" s="162"/>
      <c r="I50" s="162"/>
      <c r="J50" s="162"/>
      <c r="K50" s="162"/>
      <c r="L50" s="162"/>
      <c r="M50" s="162"/>
      <c r="N50" s="131"/>
      <c r="O50" s="131"/>
      <c r="P50" s="131"/>
      <c r="Q50" s="154"/>
      <c r="R50" s="154"/>
    </row>
    <row r="51" spans="1:18" x14ac:dyDescent="0.35">
      <c r="A51" s="154"/>
      <c r="B51" s="131"/>
      <c r="C51" s="253"/>
      <c r="D51" s="248"/>
      <c r="E51" s="253"/>
      <c r="F51" s="248"/>
      <c r="G51" s="162"/>
      <c r="H51" s="162"/>
      <c r="I51" s="162"/>
      <c r="J51" s="162"/>
      <c r="K51" s="162"/>
      <c r="L51" s="162"/>
      <c r="M51" s="162"/>
      <c r="N51" s="131"/>
      <c r="O51" s="131"/>
      <c r="P51" s="131"/>
      <c r="Q51" s="154"/>
      <c r="R51" s="154"/>
    </row>
    <row r="52" spans="1:18" x14ac:dyDescent="0.35">
      <c r="A52" s="154"/>
      <c r="B52" s="259"/>
      <c r="C52" s="253"/>
      <c r="D52" s="248"/>
      <c r="E52" s="253"/>
      <c r="F52" s="248"/>
      <c r="G52" s="162"/>
      <c r="H52" s="162"/>
      <c r="I52" s="162"/>
      <c r="J52" s="162"/>
      <c r="K52" s="162"/>
      <c r="L52" s="162"/>
      <c r="M52" s="162"/>
      <c r="N52" s="131"/>
      <c r="O52" s="131"/>
      <c r="P52" s="131"/>
      <c r="Q52" s="154"/>
      <c r="R52" s="154"/>
    </row>
    <row r="53" spans="1:18" x14ac:dyDescent="0.35">
      <c r="A53" s="154"/>
      <c r="B53" s="131"/>
      <c r="C53" s="253"/>
      <c r="D53" s="248"/>
      <c r="E53" s="253"/>
      <c r="F53" s="248"/>
      <c r="G53" s="162"/>
      <c r="H53" s="162"/>
      <c r="I53" s="162"/>
      <c r="J53" s="162"/>
      <c r="K53" s="162"/>
      <c r="L53" s="162"/>
      <c r="M53" s="162"/>
      <c r="N53" s="131"/>
      <c r="O53" s="131"/>
      <c r="P53" s="131"/>
      <c r="Q53" s="154"/>
      <c r="R53" s="154"/>
    </row>
    <row r="54" spans="1:18" x14ac:dyDescent="0.35">
      <c r="A54" s="154"/>
      <c r="B54" s="131"/>
      <c r="C54" s="253"/>
      <c r="D54" s="248"/>
      <c r="E54" s="253"/>
      <c r="F54" s="248"/>
      <c r="G54" s="162"/>
      <c r="H54" s="162"/>
      <c r="I54" s="162"/>
      <c r="J54" s="162"/>
      <c r="K54" s="162"/>
      <c r="L54" s="162"/>
      <c r="M54" s="162"/>
      <c r="N54" s="131"/>
      <c r="O54" s="131"/>
      <c r="P54" s="131"/>
      <c r="Q54" s="154"/>
      <c r="R54" s="154"/>
    </row>
    <row r="55" spans="1:18" x14ac:dyDescent="0.35">
      <c r="A55" s="154"/>
      <c r="B55" s="131"/>
      <c r="C55" s="249"/>
      <c r="D55" s="249"/>
      <c r="E55" s="249"/>
      <c r="F55" s="249"/>
      <c r="G55" s="249"/>
      <c r="H55" s="249"/>
      <c r="I55" s="249"/>
      <c r="J55" s="249"/>
      <c r="K55" s="249"/>
      <c r="L55" s="249"/>
      <c r="M55" s="249"/>
      <c r="N55" s="131"/>
      <c r="O55" s="131"/>
      <c r="P55" s="131"/>
      <c r="Q55" s="154"/>
      <c r="R55" s="154"/>
    </row>
    <row r="56" spans="1:18" x14ac:dyDescent="0.35">
      <c r="A56" s="154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54"/>
      <c r="R56" s="154"/>
    </row>
    <row r="57" spans="1:18" x14ac:dyDescent="0.35">
      <c r="A57" s="154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54"/>
      <c r="R57" s="154"/>
    </row>
    <row r="58" spans="1:18" x14ac:dyDescent="0.35">
      <c r="A58" s="154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54"/>
      <c r="R58" s="154"/>
    </row>
    <row r="59" spans="1:18" ht="21" x14ac:dyDescent="0.35">
      <c r="A59" s="154"/>
      <c r="B59" s="314"/>
      <c r="C59" s="314"/>
      <c r="D59" s="314"/>
      <c r="E59" s="314"/>
      <c r="F59" s="314"/>
      <c r="G59" s="314"/>
      <c r="H59" s="314"/>
      <c r="I59" s="314"/>
      <c r="J59" s="314"/>
      <c r="K59" s="314"/>
      <c r="L59" s="314"/>
      <c r="M59" s="314"/>
      <c r="N59" s="314"/>
      <c r="O59" s="314"/>
      <c r="P59" s="314"/>
      <c r="Q59" s="154"/>
      <c r="R59" s="154"/>
    </row>
    <row r="60" spans="1:18" ht="21" x14ac:dyDescent="0.35">
      <c r="B60" s="252"/>
      <c r="C60" s="252"/>
      <c r="D60" s="252"/>
      <c r="E60" s="252"/>
      <c r="F60" s="252"/>
      <c r="G60" s="252"/>
      <c r="H60" s="252"/>
      <c r="I60" s="252"/>
      <c r="J60" s="252"/>
      <c r="K60" s="252"/>
      <c r="L60" s="252"/>
      <c r="M60" s="252"/>
      <c r="N60" s="252"/>
      <c r="O60" s="252"/>
      <c r="P60" s="252"/>
      <c r="Q60" s="154"/>
      <c r="R60" s="154"/>
    </row>
    <row r="61" spans="1:18" x14ac:dyDescent="0.35">
      <c r="A61" s="154"/>
      <c r="B61" s="131"/>
      <c r="C61" s="158"/>
      <c r="D61" s="158"/>
      <c r="E61" s="158"/>
      <c r="F61" s="158"/>
      <c r="G61" s="158"/>
      <c r="H61" s="158"/>
      <c r="I61" s="158"/>
      <c r="J61" s="158"/>
      <c r="K61" s="158"/>
      <c r="L61" s="158"/>
      <c r="M61" s="158"/>
      <c r="N61" s="131"/>
      <c r="O61" s="131"/>
      <c r="P61" s="131"/>
      <c r="Q61" s="154"/>
      <c r="R61" s="154"/>
    </row>
    <row r="62" spans="1:18" x14ac:dyDescent="0.35">
      <c r="B62" s="131"/>
      <c r="C62" s="253"/>
      <c r="D62" s="248"/>
      <c r="E62" s="253"/>
      <c r="F62" s="248"/>
      <c r="G62" s="162"/>
      <c r="H62" s="162"/>
      <c r="I62" s="162"/>
      <c r="J62" s="162"/>
      <c r="K62" s="162"/>
      <c r="L62" s="162"/>
      <c r="M62" s="162"/>
      <c r="N62" s="131"/>
      <c r="O62" s="131"/>
      <c r="P62" s="131"/>
      <c r="Q62" s="154"/>
      <c r="R62" s="154"/>
    </row>
    <row r="63" spans="1:18" x14ac:dyDescent="0.35">
      <c r="A63" s="154"/>
      <c r="B63" s="131"/>
      <c r="C63" s="253"/>
      <c r="D63" s="248"/>
      <c r="E63" s="253"/>
      <c r="F63" s="248"/>
      <c r="G63" s="162"/>
      <c r="H63" s="162"/>
      <c r="I63" s="162"/>
      <c r="J63" s="162"/>
      <c r="K63" s="162"/>
      <c r="L63" s="162"/>
      <c r="M63" s="162"/>
      <c r="N63" s="131"/>
      <c r="O63" s="131"/>
      <c r="P63" s="131"/>
      <c r="Q63" s="154"/>
      <c r="R63" s="154"/>
    </row>
    <row r="64" spans="1:18" x14ac:dyDescent="0.35">
      <c r="A64" s="154"/>
      <c r="B64" s="131"/>
      <c r="C64" s="253"/>
      <c r="D64" s="248"/>
      <c r="E64" s="253"/>
      <c r="F64" s="248"/>
      <c r="G64" s="162"/>
      <c r="H64" s="162"/>
      <c r="I64" s="162"/>
      <c r="J64" s="162"/>
      <c r="K64" s="162"/>
      <c r="L64" s="162"/>
      <c r="M64" s="162"/>
      <c r="N64" s="131"/>
      <c r="O64" s="131"/>
      <c r="P64" s="131"/>
      <c r="Q64" s="154"/>
      <c r="R64" s="154"/>
    </row>
    <row r="65" spans="1:18" x14ac:dyDescent="0.35">
      <c r="A65" s="154"/>
      <c r="B65" s="259"/>
      <c r="C65" s="253"/>
      <c r="D65" s="248"/>
      <c r="E65" s="253"/>
      <c r="F65" s="248"/>
      <c r="G65" s="162"/>
      <c r="H65" s="162"/>
      <c r="I65" s="162"/>
      <c r="J65" s="162"/>
      <c r="K65" s="162"/>
      <c r="L65" s="162"/>
      <c r="M65" s="162"/>
      <c r="N65" s="131"/>
      <c r="O65" s="131"/>
      <c r="P65" s="131"/>
      <c r="Q65" s="154"/>
      <c r="R65" s="154"/>
    </row>
    <row r="66" spans="1:18" x14ac:dyDescent="0.35">
      <c r="B66" s="131"/>
      <c r="C66" s="253"/>
      <c r="D66" s="248"/>
      <c r="E66" s="253"/>
      <c r="F66" s="248"/>
      <c r="G66" s="162"/>
      <c r="H66" s="162"/>
      <c r="I66" s="162"/>
      <c r="J66" s="162"/>
      <c r="K66" s="162"/>
      <c r="L66" s="162"/>
      <c r="M66" s="162"/>
      <c r="N66" s="131"/>
      <c r="O66" s="131"/>
      <c r="P66" s="131"/>
    </row>
    <row r="67" spans="1:18" x14ac:dyDescent="0.35">
      <c r="B67" s="131"/>
      <c r="C67" s="253"/>
      <c r="D67" s="248"/>
      <c r="E67" s="253"/>
      <c r="F67" s="248"/>
      <c r="G67" s="162"/>
      <c r="H67" s="162"/>
      <c r="I67" s="162"/>
      <c r="J67" s="162"/>
      <c r="K67" s="162"/>
      <c r="L67" s="162"/>
      <c r="M67" s="162"/>
      <c r="N67" s="131"/>
      <c r="O67" s="131"/>
      <c r="P67" s="131"/>
    </row>
    <row r="68" spans="1:18" x14ac:dyDescent="0.35">
      <c r="B68" s="131"/>
      <c r="C68" s="249"/>
      <c r="D68" s="249"/>
      <c r="E68" s="249"/>
      <c r="F68" s="249"/>
      <c r="G68" s="249"/>
      <c r="H68" s="249"/>
      <c r="I68" s="249"/>
      <c r="J68" s="249"/>
      <c r="K68" s="249"/>
      <c r="L68" s="249"/>
      <c r="M68" s="249"/>
      <c r="N68" s="131"/>
      <c r="O68" s="131"/>
      <c r="P68" s="131"/>
    </row>
    <row r="69" spans="1:18" x14ac:dyDescent="0.35"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</row>
  </sheetData>
  <sheetProtection formatCells="0"/>
  <mergeCells count="4">
    <mergeCell ref="B2:P2"/>
    <mergeCell ref="B59:P59"/>
    <mergeCell ref="B19:R19"/>
    <mergeCell ref="B32:R32"/>
  </mergeCells>
  <conditionalFormatting sqref="F5:H14">
    <cfRule type="cellIs" dxfId="60" priority="111" operator="greaterThan">
      <formula>0</formula>
    </cfRule>
    <cfRule type="cellIs" dxfId="59" priority="112" operator="lessThan">
      <formula>0</formula>
    </cfRule>
  </conditionalFormatting>
  <conditionalFormatting sqref="M27 M25 E22:E27">
    <cfRule type="top10" dxfId="58" priority="108" rank="1"/>
  </conditionalFormatting>
  <conditionalFormatting sqref="M24:M25 M27">
    <cfRule type="top10" dxfId="57" priority="102" rank="1"/>
  </conditionalFormatting>
  <conditionalFormatting sqref="M22">
    <cfRule type="top10" dxfId="56" priority="101" rank="1"/>
  </conditionalFormatting>
  <conditionalFormatting sqref="M23">
    <cfRule type="top10" dxfId="55" priority="100" rank="1"/>
  </conditionalFormatting>
  <conditionalFormatting sqref="M26">
    <cfRule type="top10" dxfId="54" priority="99" rank="1"/>
  </conditionalFormatting>
  <conditionalFormatting sqref="E22:E27">
    <cfRule type="top10" dxfId="53" priority="98" rank="1"/>
  </conditionalFormatting>
  <conditionalFormatting sqref="M35">
    <cfRule type="top10" dxfId="52" priority="84" rank="1"/>
    <cfRule type="top10" dxfId="51" priority="90" rank="1"/>
  </conditionalFormatting>
  <conditionalFormatting sqref="M35:M40">
    <cfRule type="top10" dxfId="50" priority="85" rank="1"/>
  </conditionalFormatting>
  <conditionalFormatting sqref="E22:E27">
    <cfRule type="top10" dxfId="49" priority="54" rank="1"/>
  </conditionalFormatting>
  <conditionalFormatting sqref="H22:L22">
    <cfRule type="top10" dxfId="48" priority="52" rank="1"/>
  </conditionalFormatting>
  <conditionalFormatting sqref="H22:L22">
    <cfRule type="top10" dxfId="47" priority="51" rank="1"/>
  </conditionalFormatting>
  <conditionalFormatting sqref="H22:L22">
    <cfRule type="top10" dxfId="46" priority="50" rank="1"/>
  </conditionalFormatting>
  <conditionalFormatting sqref="H23:L27">
    <cfRule type="top10" dxfId="45" priority="49" rank="1"/>
  </conditionalFormatting>
  <conditionalFormatting sqref="H23:L27">
    <cfRule type="top10" dxfId="44" priority="48" rank="1"/>
  </conditionalFormatting>
  <conditionalFormatting sqref="H23:L27">
    <cfRule type="top10" dxfId="43" priority="47" rank="1"/>
  </conditionalFormatting>
  <conditionalFormatting sqref="G22:G27">
    <cfRule type="top10" dxfId="42" priority="46" rank="1"/>
  </conditionalFormatting>
  <conditionalFormatting sqref="F35:L35">
    <cfRule type="top10" dxfId="41" priority="45" rank="1"/>
  </conditionalFormatting>
  <conditionalFormatting sqref="F36:L40">
    <cfRule type="top10" dxfId="40" priority="44" rank="1"/>
  </conditionalFormatting>
  <conditionalFormatting sqref="E35:E40">
    <cfRule type="top10" dxfId="39" priority="43" rank="1"/>
  </conditionalFormatting>
  <conditionalFormatting sqref="I5">
    <cfRule type="cellIs" dxfId="38" priority="41" operator="greaterThan">
      <formula>0</formula>
    </cfRule>
    <cfRule type="cellIs" dxfId="37" priority="42" operator="lessThan">
      <formula>0</formula>
    </cfRule>
  </conditionalFormatting>
  <conditionalFormatting sqref="F22:F27">
    <cfRule type="top10" dxfId="36" priority="40" rank="1"/>
  </conditionalFormatting>
  <conditionalFormatting sqref="L54 L52">
    <cfRule type="top10" dxfId="35" priority="39" rank="1"/>
  </conditionalFormatting>
  <conditionalFormatting sqref="L51:L52 L54">
    <cfRule type="top10" dxfId="34" priority="38" rank="1"/>
  </conditionalFormatting>
  <conditionalFormatting sqref="L49:L54">
    <cfRule type="top10" dxfId="33" priority="37" rank="1"/>
  </conditionalFormatting>
  <conditionalFormatting sqref="L50">
    <cfRule type="top10" dxfId="32" priority="36" rank="1"/>
  </conditionalFormatting>
  <conditionalFormatting sqref="L53">
    <cfRule type="top10" dxfId="31" priority="35" rank="1"/>
  </conditionalFormatting>
  <conditionalFormatting sqref="G49:L54">
    <cfRule type="top10" dxfId="30" priority="32" rank="1"/>
  </conditionalFormatting>
  <conditionalFormatting sqref="G49:L54">
    <cfRule type="top10" dxfId="29" priority="31" rank="1"/>
  </conditionalFormatting>
  <conditionalFormatting sqref="G49:L54">
    <cfRule type="top10" dxfId="28" priority="30" rank="1"/>
  </conditionalFormatting>
  <conditionalFormatting sqref="G50:L54">
    <cfRule type="top10" dxfId="27" priority="29" rank="1"/>
  </conditionalFormatting>
  <conditionalFormatting sqref="G50:L54">
    <cfRule type="top10" dxfId="26" priority="28" rank="1"/>
  </conditionalFormatting>
  <conditionalFormatting sqref="G50:L54">
    <cfRule type="top10" dxfId="25" priority="27" rank="1"/>
  </conditionalFormatting>
  <conditionalFormatting sqref="E49:E54">
    <cfRule type="top10" dxfId="24" priority="25" rank="1"/>
  </conditionalFormatting>
  <conditionalFormatting sqref="G49:L54">
    <cfRule type="top10" dxfId="23" priority="24" rank="1"/>
  </conditionalFormatting>
  <conditionalFormatting sqref="G49:L54">
    <cfRule type="top10" dxfId="22" priority="23" rank="1"/>
  </conditionalFormatting>
  <conditionalFormatting sqref="G49:L54">
    <cfRule type="top10" dxfId="21" priority="22" rank="1"/>
  </conditionalFormatting>
  <conditionalFormatting sqref="I49:I54">
    <cfRule type="top10" dxfId="20" priority="21" rank="1"/>
  </conditionalFormatting>
  <conditionalFormatting sqref="H49:H54">
    <cfRule type="top10" dxfId="19" priority="20" rank="1"/>
  </conditionalFormatting>
  <conditionalFormatting sqref="L67 L65">
    <cfRule type="top10" dxfId="18" priority="19" rank="1"/>
  </conditionalFormatting>
  <conditionalFormatting sqref="L64:L65 L67">
    <cfRule type="top10" dxfId="17" priority="18" rank="1"/>
  </conditionalFormatting>
  <conditionalFormatting sqref="L62:L67">
    <cfRule type="top10" dxfId="16" priority="17" rank="1"/>
  </conditionalFormatting>
  <conditionalFormatting sqref="L63">
    <cfRule type="top10" dxfId="15" priority="16" rank="1"/>
  </conditionalFormatting>
  <conditionalFormatting sqref="L66">
    <cfRule type="top10" dxfId="14" priority="15" rank="1"/>
  </conditionalFormatting>
  <conditionalFormatting sqref="G62:L67">
    <cfRule type="top10" dxfId="13" priority="14" rank="1"/>
  </conditionalFormatting>
  <conditionalFormatting sqref="G62:L67">
    <cfRule type="top10" dxfId="12" priority="13" rank="1"/>
  </conditionalFormatting>
  <conditionalFormatting sqref="G62:L67">
    <cfRule type="top10" dxfId="11" priority="12" rank="1"/>
  </conditionalFormatting>
  <conditionalFormatting sqref="G63:L67">
    <cfRule type="top10" dxfId="10" priority="11" rank="1"/>
  </conditionalFormatting>
  <conditionalFormatting sqref="G63:L67">
    <cfRule type="top10" dxfId="9" priority="10" rank="1"/>
  </conditionalFormatting>
  <conditionalFormatting sqref="G63:L67">
    <cfRule type="top10" dxfId="8" priority="9" rank="1"/>
  </conditionalFormatting>
  <conditionalFormatting sqref="E62:E67">
    <cfRule type="top10" dxfId="7" priority="8" rank="1"/>
  </conditionalFormatting>
  <conditionalFormatting sqref="G62:L67">
    <cfRule type="top10" dxfId="6" priority="7" rank="1"/>
  </conditionalFormatting>
  <conditionalFormatting sqref="G62:L67">
    <cfRule type="top10" dxfId="5" priority="6" rank="1"/>
  </conditionalFormatting>
  <conditionalFormatting sqref="G62:L67">
    <cfRule type="top10" dxfId="4" priority="5" rank="1"/>
  </conditionalFormatting>
  <conditionalFormatting sqref="I62:I67">
    <cfRule type="top10" dxfId="3" priority="4" rank="1"/>
  </conditionalFormatting>
  <conditionalFormatting sqref="H62:H67">
    <cfRule type="top10" dxfId="2" priority="3" rank="1"/>
  </conditionalFormatting>
  <conditionalFormatting sqref="L5:N1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scale="4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">
    <tabColor theme="4" tint="0.39997558519241921"/>
  </sheetPr>
  <dimension ref="A1:V28"/>
  <sheetViews>
    <sheetView workbookViewId="0">
      <selection activeCell="D16" sqref="D16"/>
    </sheetView>
  </sheetViews>
  <sheetFormatPr defaultRowHeight="14.5" x14ac:dyDescent="0.35"/>
  <cols>
    <col min="1" max="1" width="14.453125" bestFit="1" customWidth="1"/>
    <col min="2" max="2" width="11.26953125" customWidth="1"/>
    <col min="4" max="5" width="11.81640625" customWidth="1"/>
    <col min="6" max="6" width="9.26953125" bestFit="1" customWidth="1"/>
    <col min="8" max="8" width="16.1796875" customWidth="1"/>
    <col min="9" max="9" width="12.7265625" customWidth="1"/>
    <col min="10" max="10" width="12.453125" customWidth="1"/>
    <col min="11" max="12" width="13.26953125" customWidth="1"/>
    <col min="13" max="13" width="15.54296875" bestFit="1" customWidth="1"/>
    <col min="14" max="14" width="15.54296875" customWidth="1"/>
    <col min="15" max="15" width="15.81640625" customWidth="1"/>
    <col min="16" max="16" width="10.1796875" bestFit="1" customWidth="1"/>
  </cols>
  <sheetData>
    <row r="1" spans="1:22" ht="15" thickBot="1" x14ac:dyDescent="0.4">
      <c r="A1" s="47" t="s">
        <v>33</v>
      </c>
      <c r="B1" s="47" t="s">
        <v>49</v>
      </c>
      <c r="C1" s="47" t="s">
        <v>52</v>
      </c>
      <c r="D1" s="47" t="s">
        <v>51</v>
      </c>
      <c r="E1" s="47" t="s">
        <v>117</v>
      </c>
      <c r="F1" s="47" t="s">
        <v>53</v>
      </c>
      <c r="H1" s="47" t="s">
        <v>33</v>
      </c>
      <c r="I1" s="47" t="s">
        <v>49</v>
      </c>
      <c r="J1" s="47" t="s">
        <v>52</v>
      </c>
      <c r="K1" s="47" t="s">
        <v>51</v>
      </c>
      <c r="L1" s="47" t="s">
        <v>117</v>
      </c>
      <c r="M1" s="47" t="s">
        <v>54</v>
      </c>
      <c r="N1" s="113"/>
      <c r="O1" s="47" t="s">
        <v>33</v>
      </c>
      <c r="P1" s="47" t="s">
        <v>49</v>
      </c>
      <c r="Q1" s="47" t="s">
        <v>52</v>
      </c>
      <c r="R1" s="47" t="s">
        <v>51</v>
      </c>
      <c r="S1" s="47" t="s">
        <v>117</v>
      </c>
      <c r="T1" s="47" t="s">
        <v>179</v>
      </c>
      <c r="V1" s="113" t="s">
        <v>99</v>
      </c>
    </row>
    <row r="2" spans="1:22" x14ac:dyDescent="0.35">
      <c r="A2" s="44" t="s">
        <v>1</v>
      </c>
      <c r="B2" s="125">
        <f>UA_SQL_1!O2/UA_SQL_1!N2</f>
        <v>6.4516129032258064E-3</v>
      </c>
      <c r="C2" s="123">
        <f>SUMIFS(OA_SQL_1!$L:$L,OA_SQL_1!$A:$A,"DL")/SUMIFS(OA_SQL_1!$J:$J,OA_SQL_1!$A:$A,"DL")</f>
        <v>0.99124343257443082</v>
      </c>
      <c r="D2" s="123">
        <f>SUMIFS(OA_SQL_1!$L:$L,OA_SQL_1!$A:$A,"AA")/SUMIFS(OA_SQL_1!$J:$J,OA_SQL_1!$A:$A,"AA")</f>
        <v>0.99962335216572507</v>
      </c>
      <c r="E2" s="50"/>
      <c r="F2" s="51">
        <f>RANK(B2,B2:D2,0)</f>
        <v>3</v>
      </c>
      <c r="H2" s="44" t="s">
        <v>1</v>
      </c>
      <c r="I2" s="28">
        <f>(UA_SQL_1!$X$2/UA_SQL_1!$W$2)</f>
        <v>0.99689601655457838</v>
      </c>
      <c r="J2" s="50">
        <f>SUMIF(OA_SQL_1!$A$1:$A$3,"DL",OA_SQL_1!$O$1:$O$3)/SUMIF(OA_SQL_1!$A$1:$A$3,"DL",OA_SQL_1!$M$1:$M$3)</f>
        <v>1.5589285714285714</v>
      </c>
      <c r="K2" s="50">
        <f>SUMIF(OA_SQL_1!$A$1:$A$3,"AA",OA_SQL_1!$O1:O$3)/SUMIF(OA_SQL_1!$A$1:$A$3,"AA",OA_SQL_1!$M$1:$M$3)</f>
        <v>1.720890410958904</v>
      </c>
      <c r="L2" s="50"/>
      <c r="M2" s="51">
        <f>RANK(I2,I2:K2,0)</f>
        <v>3</v>
      </c>
      <c r="N2" s="51"/>
      <c r="O2" s="44" t="s">
        <v>1</v>
      </c>
      <c r="P2" s="135">
        <v>0.01</v>
      </c>
      <c r="Q2" s="251">
        <f>1-(SUMIFS(OA_SQL_1!$G:$G,OA_SQL_1!$A:$A,"DL")/SUMIFS(OA_SQL_1!$E:$E,OA_SQL_1!$A:$A,"DL"))</f>
        <v>9.9808061420345595E-3</v>
      </c>
      <c r="R2" s="251">
        <f>1-(SUMIFS(OA_SQL_1!$G:$G,OA_SQL_1!$A:$A,"AA")/SUMIFS(OA_SQL_1!$E:$E,OA_SQL_1!$A:$A,"AA"))</f>
        <v>2.9765311963365626E-3</v>
      </c>
      <c r="S2" s="50"/>
      <c r="T2" s="51">
        <f>RANK(P2,P2:R2,1)</f>
        <v>3</v>
      </c>
    </row>
    <row r="3" spans="1:22" x14ac:dyDescent="0.35">
      <c r="A3" s="44" t="s">
        <v>32</v>
      </c>
      <c r="B3" s="28">
        <f>UA_SQL_1!R2/UA_SQL_1!N2</f>
        <v>0.71495601173020529</v>
      </c>
      <c r="C3" s="123">
        <f>SUMIFS(OA_SQL_1!$M:$M,OA_SQL_1!$A:$A,"DL")/SUMIFS(OA_SQL_1!$J:$J,OA_SQL_1!$A:$A,"DL")</f>
        <v>0.65382370110916521</v>
      </c>
      <c r="D3" s="123">
        <f>SUMIFS(OA_SQL_1!$M:$M,OA_SQL_1!$A:$A,"AA")/SUMIFS(OA_SQL_1!$J:$J,OA_SQL_1!$A:$A,"AA")</f>
        <v>0.65988700564971747</v>
      </c>
      <c r="E3" s="50"/>
      <c r="F3" s="51">
        <f>RANK(B3,B3:D3,0)</f>
        <v>1</v>
      </c>
      <c r="H3" s="44" t="s">
        <v>32</v>
      </c>
      <c r="I3" s="28">
        <f>UA_SQL_1!Y2/UA_SQL_1!U2</f>
        <v>5.7391304347826084</v>
      </c>
      <c r="J3" s="50">
        <f>SUMIF(OA_SQL_1!$A$1:$A$3,"DL",OA_SQL_1!$P$1:$P$3)/SUMIF(OA_SQL_1!$A$1:$A$3,"DL",OA_SQL_1!$M$1:$M$3)</f>
        <v>0.87232142857142858</v>
      </c>
      <c r="K3" s="50">
        <f>SUMIF(OA_SQL_1!$A$1:$A$3,"AA",OA_SQL_1!$P$1:$P$3)/SUMIF(OA_SQL_1!$A$1:$A$3,"AA",OA_SQL_1!$M$1:$M$3)</f>
        <v>1.1409817351598173</v>
      </c>
      <c r="L3" s="50"/>
      <c r="M3" s="51">
        <f>RANK(I3,I3:K3,0)</f>
        <v>1</v>
      </c>
      <c r="N3" s="51"/>
      <c r="O3" s="44" t="s">
        <v>32</v>
      </c>
      <c r="P3" s="135">
        <f>UA_SQL_1!$I$2/UA_SQL_1!$E$2</f>
        <v>0.64154929577464792</v>
      </c>
      <c r="Q3" s="50">
        <f>SUMIFS(OA_SQL_1!$H:$H,OA_SQL_1!$A:$A,"DL")/SUMIFS(OA_SQL_1!$E:$E,OA_SQL_1!$A:$A,"DL")</f>
        <v>0.56084452975047983</v>
      </c>
      <c r="R3" s="50">
        <f>SUMIFS(OA_SQL_1!$H:$H,OA_SQL_1!$A:$A,"AA")/SUMIFS(OA_SQL_1!$E:$E,OA_SQL_1!$A:$A,"AA")</f>
        <v>0.61350887235260443</v>
      </c>
      <c r="S3" s="50"/>
      <c r="T3" s="51">
        <f t="shared" ref="T3:T5" si="0">RANK(P3,P3:R3,0)</f>
        <v>1</v>
      </c>
    </row>
    <row r="4" spans="1:22" x14ac:dyDescent="0.35">
      <c r="A4" s="43" t="s">
        <v>48</v>
      </c>
      <c r="B4" s="32">
        <f>UA_SQL_1!Q2/UA_SQL_1!N2</f>
        <v>0.78064516129032258</v>
      </c>
      <c r="C4" s="123">
        <f>SUMIFS(OA_SQL_1!$K:$K,OA_SQL_1!$A:$A,"DL")/SUMIFS(OA_SQL_1!$J:$J,OA_SQL_1!$A:$A,"DL")</f>
        <v>0.6847635726795096</v>
      </c>
      <c r="D4" s="123">
        <f>SUMIFS(OA_SQL_1!$K:$K,OA_SQL_1!$A:$A,"AA")/SUMIFS(OA_SQL_1!$J:$J,OA_SQL_1!$A:$A,"AA")</f>
        <v>0.73182674199623354</v>
      </c>
      <c r="E4" s="50"/>
      <c r="F4" s="51">
        <f>RANK(B4,B4:D4,0)</f>
        <v>1</v>
      </c>
      <c r="H4" s="43" t="s">
        <v>48</v>
      </c>
      <c r="I4" s="32">
        <f>UA_SQL_1!X2/UA_SQL_1!U2</f>
        <v>8.3782608695652172</v>
      </c>
      <c r="J4" s="50">
        <f>SUMIF(OA_SQL_1!$A$1:$A$3,"DL",OA_SQL_1!$N$1:$N$3)/SUMIF(OA_SQL_1!$A$1:$A$3,"DL",OA_SQL_1!$M$1:$M$3)</f>
        <v>1.2375</v>
      </c>
      <c r="K4" s="50">
        <f>SUMIF(OA_SQL_1!$A$1:$A$3,"AA",OA_SQL_1!$N$1:$N$3)/SUMIF(OA_SQL_1!$A$1:$A$3,"AA",OA_SQL_1!$M$1:$M$3)</f>
        <v>1.2437214611872147</v>
      </c>
      <c r="L4" s="50"/>
      <c r="M4" s="51">
        <f>RANK(I4,I4:K4,0)</f>
        <v>1</v>
      </c>
      <c r="N4" s="51"/>
      <c r="O4" s="43" t="s">
        <v>48</v>
      </c>
      <c r="P4" s="135">
        <f>UA_SQL_1!$H$2/UA_SQL_1!$E$2</f>
        <v>0.71795774647887323</v>
      </c>
      <c r="Q4" s="251">
        <f>SUMIFS(OA_SQL_1!$F:$F,OA_SQL_1!$A:$A,"DL")/SUMIFS(OA_SQL_1!$E:$E,OA_SQL_1!$A:$A,"DL")</f>
        <v>0.59961612284069099</v>
      </c>
      <c r="R4" s="251">
        <f>SUMIFS(OA_SQL_1!$F:$F,OA_SQL_1!$A:$A,"AA")/SUMIFS(OA_SQL_1!$E:$E,OA_SQL_1!$A:$A,"AA")</f>
        <v>0.68070978820835715</v>
      </c>
      <c r="S4" s="50"/>
      <c r="T4" s="51">
        <f t="shared" si="0"/>
        <v>1</v>
      </c>
    </row>
    <row r="5" spans="1:22" x14ac:dyDescent="0.35">
      <c r="A5" s="187" t="s">
        <v>151</v>
      </c>
      <c r="B5" s="251">
        <f>(UA_SQL_1!$S$2/UA_SQL_1!$N$2)</f>
        <v>0.85161290322580641</v>
      </c>
      <c r="C5" s="123">
        <f>SUMIFS(OA_SQL_1!$N:$N,OA_SQL_1!$A:$A,"DL")/SUMIFS(OA_SQL_1!$J:$J,OA_SQL_1!$A:$A,"DL")</f>
        <v>0.80910683012259199</v>
      </c>
      <c r="D5" s="123">
        <f>SUMIFS(OA_SQL_1!$N:$N,OA_SQL_1!$A:$A,"AA")/SUMIFS(OA_SQL_1!$J:$J,OA_SQL_1!$A:$A,"AA")</f>
        <v>0.82071563088512245</v>
      </c>
      <c r="F5" s="51">
        <f>RANK(B5,B5:D5,0)</f>
        <v>1</v>
      </c>
      <c r="O5" s="187" t="s">
        <v>151</v>
      </c>
      <c r="P5" s="135">
        <f>UA_SQL_1!$J$2/UA_SQL_1!$E$2</f>
        <v>0.79507042253521132</v>
      </c>
      <c r="Q5" s="188">
        <f>SUMIFS(OA_SQL_1!$I:$I,OA_SQL_1!$A:$A,"DL")/SUMIFS(OA_SQL_1!$E:$E,OA_SQL_1!$A:$A,"DL")</f>
        <v>0.71669865642994246</v>
      </c>
      <c r="R5" s="188">
        <f>SUMIFS(OA_SQL_1!$I:$I,OA_SQL_1!$A:$A,"AA")/SUMIFS(OA_SQL_1!$E:$E,OA_SQL_1!$A:$A,"AA")</f>
        <v>0.78248425872925009</v>
      </c>
      <c r="T5" s="51">
        <f t="shared" si="0"/>
        <v>1</v>
      </c>
    </row>
    <row r="6" spans="1:22" ht="15" thickBot="1" x14ac:dyDescent="0.4">
      <c r="B6" s="111"/>
      <c r="C6" s="111"/>
      <c r="P6" s="111"/>
      <c r="Q6" s="111"/>
    </row>
    <row r="7" spans="1:22" ht="15" thickBot="1" x14ac:dyDescent="0.4">
      <c r="A7" s="47" t="s">
        <v>110</v>
      </c>
      <c r="B7" s="47" t="s">
        <v>49</v>
      </c>
      <c r="C7" s="47" t="s">
        <v>52</v>
      </c>
      <c r="D7" s="47" t="s">
        <v>51</v>
      </c>
      <c r="E7" s="47" t="s">
        <v>117</v>
      </c>
      <c r="F7" s="47" t="s">
        <v>53</v>
      </c>
      <c r="H7" s="47" t="s">
        <v>110</v>
      </c>
      <c r="I7" s="47" t="s">
        <v>49</v>
      </c>
      <c r="J7" s="47" t="s">
        <v>52</v>
      </c>
      <c r="K7" s="47" t="s">
        <v>51</v>
      </c>
      <c r="L7" s="47" t="s">
        <v>117</v>
      </c>
      <c r="M7" s="47" t="s">
        <v>54</v>
      </c>
      <c r="N7" s="113"/>
      <c r="O7" s="47" t="s">
        <v>110</v>
      </c>
      <c r="P7" s="47" t="s">
        <v>49</v>
      </c>
      <c r="Q7" s="47" t="s">
        <v>52</v>
      </c>
      <c r="R7" s="47" t="s">
        <v>51</v>
      </c>
      <c r="S7" s="47" t="s">
        <v>117</v>
      </c>
      <c r="T7" s="47" t="s">
        <v>179</v>
      </c>
      <c r="V7" s="113" t="s">
        <v>99</v>
      </c>
    </row>
    <row r="8" spans="1:22" x14ac:dyDescent="0.35">
      <c r="A8" s="109" t="s">
        <v>104</v>
      </c>
      <c r="B8" s="77">
        <f>SUMIFS(UA_HUB_SQL_7!$K:$K,UA_HUB_SQL_7!$B:$B,RANK!$A8)/SUMIFS(UA_HUB_SQL_7!$F:$F,UA_HUB_SQL_7!$B:$B,RANK!$A8)</f>
        <v>0.89142857142857146</v>
      </c>
      <c r="C8" s="112"/>
      <c r="D8" s="112"/>
      <c r="E8" s="112"/>
      <c r="F8" s="51"/>
      <c r="H8" s="109" t="s">
        <v>104</v>
      </c>
      <c r="I8" s="77" t="e">
        <f>SUMIFS(UA_HUB_SQL_7!P:P,UA_HUB_SQL_7!B:B,RANK!H8)/SUMIFS(UA_HUB_SQL_7!M:M,UA_HUB_SQL_7!B:B,RANK!H8)</f>
        <v>#DIV/0!</v>
      </c>
      <c r="J8" s="112"/>
      <c r="K8" s="112"/>
      <c r="L8" s="112"/>
      <c r="M8" s="51"/>
      <c r="N8" s="51"/>
      <c r="O8" s="109" t="s">
        <v>104</v>
      </c>
      <c r="P8" s="77">
        <f>SUMIFS(UA_HUB_SQL_7!$W:$W,UA_HUB_SQL_7!$B:$B,RANK!$O8)/SUMIFS(UA_HUB_SQL_7!$R:$R,UA_HUB_SQL_7!$B:$B,RANK!$O8)</f>
        <v>0.73487544483985767</v>
      </c>
      <c r="Q8" s="112"/>
      <c r="R8" s="112"/>
      <c r="S8" s="112"/>
      <c r="T8" s="51"/>
    </row>
    <row r="9" spans="1:22" x14ac:dyDescent="0.35">
      <c r="A9" s="109" t="s">
        <v>106</v>
      </c>
      <c r="B9" s="77">
        <f>SUMIFS(UA_HUB_SQL_7!$K:$K,UA_HUB_SQL_7!$B:$B,RANK!$A9)/SUMIFS(UA_HUB_SQL_7!$F:$F,UA_HUB_SQL_7!$B:$B,RANK!$A9)</f>
        <v>0.81578947368421051</v>
      </c>
      <c r="C9" s="112">
        <f>(SUMIFS(OA_SQL_2!$K:$K,OA_SQL_2!$B:$B,"DL",OA_SQL_2!$A:$A,RANK!$A9)/SUMIFS(OA_SQL_2!$J:$J,OA_SQL_2!$B:$B,"DL",OA_SQL_2!$A:$A,RANK!$A9))</f>
        <v>0.77394636015325668</v>
      </c>
      <c r="D9" s="112">
        <f>(SUMIFS(OA_SQL_2!$K:$K,OA_SQL_2!$B:$B,"AA",OA_SQL_2!$A:$A,RANK!$A9)/SUMIFS(OA_SQL_2!$J:$J,OA_SQL_2!$B:$B,"AA",OA_SQL_2!$A:$A,RANK!$A9))</f>
        <v>0.80487804878048785</v>
      </c>
      <c r="E9" s="112"/>
      <c r="F9" s="51">
        <f>RANK(B9,B9:D9,0)</f>
        <v>1</v>
      </c>
      <c r="H9" s="109" t="s">
        <v>106</v>
      </c>
      <c r="I9" s="77" t="e">
        <f>SUMIFS(UA_HUB_SQL_7!P:P,UA_HUB_SQL_7!B:B,RANK!H9)/SUMIFS(UA_HUB_SQL_7!M:M,UA_HUB_SQL_7!B:B,RANK!H9)</f>
        <v>#DIV/0!</v>
      </c>
      <c r="J9" s="112">
        <f>1-(IFERROR(SUMIFS(OA_SQL_2!O:O,OA_SQL_2!A:A,RANK!H9,OA_SQL_2!B:B,"DL")/SUMIFS(OA_SQL_2!N:N,OA_SQL_2!A:A,RANK!H9,OA_SQL_2!B:B,"DL"),"-"))</f>
        <v>0.36015325670498088</v>
      </c>
      <c r="K9" s="112">
        <f>1-(IFERROR(SUMIFS(OA_SQL_2!$O:$O,OA_SQL_2!$A:$A,RANK!H9,OA_SQL_2!$B:$B,"AA")/SUMIFS(OA_SQL_2!$N:$N,OA_SQL_2!$A:$A,RANK!H9,OA_SQL_2!$B:$B,"AA"),"-"))</f>
        <v>0.30645161290322576</v>
      </c>
      <c r="L9" s="112"/>
      <c r="M9" s="51" t="e">
        <f>RANK(I9,I9:K9,0)</f>
        <v>#DIV/0!</v>
      </c>
      <c r="N9" s="51"/>
      <c r="O9" s="109" t="s">
        <v>106</v>
      </c>
      <c r="P9" s="77">
        <f>SUMIFS(UA_HUB_SQL_7!$W:$W,UA_HUB_SQL_7!$B:$B,RANK!$O9)/SUMIFS(UA_HUB_SQL_7!$R:$R,UA_HUB_SQL_7!$B:$B,RANK!$O9)</f>
        <v>0.72364672364672367</v>
      </c>
      <c r="Q9" s="112">
        <f>SUMIFS(OA_SQL_2!$G:$G,OA_SQL_2!$B:$B,"DL",OA_SQL_2!$A:$A,RANK!$O9)/SUMIFS(OA_SQL_2!$F:$F,OA_SQL_2!$B:$B,"DL",OA_SQL_2!$A:$A,RANK!$O9)</f>
        <v>0.70294494238156213</v>
      </c>
      <c r="R9" s="112">
        <f>IFERROR((SUMIFS(OA_SQL_2!$K:$K,OA_SQL_2!$A:$A,RANK!O9,OA_SQL_2!$B:$B,"AA")/SUMIFS(OA_SQL_2!$J:$J,OA_SQL_2!$A:$A,O9,OA_SQL_2!$B:$B,"AA")),"-")</f>
        <v>0.80487804878048785</v>
      </c>
      <c r="S9" s="112"/>
      <c r="T9" s="51">
        <f>RANK(P9,P9:R9,0)</f>
        <v>2</v>
      </c>
    </row>
    <row r="10" spans="1:22" x14ac:dyDescent="0.35">
      <c r="A10" s="110" t="s">
        <v>109</v>
      </c>
      <c r="B10" s="77">
        <f>SUMIFS(UA_HUB_SQL_7!$K:$K,UA_HUB_SQL_7!$B:$B,RANK!$A10)/SUMIFS(UA_HUB_SQL_7!$F:$F,UA_HUB_SQL_7!$B:$B,RANK!$A10)</f>
        <v>0.77952755905511806</v>
      </c>
      <c r="C10" s="112">
        <f>(SUMIFS(OA_SQL_2!$K:$K,OA_SQL_2!$B:$B,"DL",OA_SQL_2!$A:$A,RANK!$A10)/SUMIFS(OA_SQL_2!$J:$J,OA_SQL_2!$B:$B,"DL",OA_SQL_2!$A:$A,RANK!$A10))</f>
        <v>0.69767441860465118</v>
      </c>
      <c r="D10" s="112">
        <f>(SUMIFS(OA_SQL_2!$K:$K,OA_SQL_2!$B:$B,"AA",OA_SQL_2!$A:$A,RANK!$A10)/SUMIFS(OA_SQL_2!$J:$J,OA_SQL_2!$B:$B,"AA",OA_SQL_2!$A:$A,RANK!$A10))</f>
        <v>0.59798994974874375</v>
      </c>
      <c r="E10" s="112"/>
      <c r="F10" s="51">
        <f>RANK(B10,B10:D10,0)</f>
        <v>1</v>
      </c>
      <c r="H10" s="110" t="s">
        <v>109</v>
      </c>
      <c r="I10" s="77" t="e">
        <f>SUMIFS(UA_HUB_SQL_7!P:P,UA_HUB_SQL_7!B:B,RANK!H10)/SUMIFS(UA_HUB_SQL_7!M:M,UA_HUB_SQL_7!B:B,RANK!H10)</f>
        <v>#DIV/0!</v>
      </c>
      <c r="J10" s="112">
        <f>1-(IFERROR(SUMIFS(OA_SQL_2!O:O,OA_SQL_2!A:A,RANK!H10,OA_SQL_2!B:B,"DL")/SUMIFS(OA_SQL_2!N:N,OA_SQL_2!A:A,RANK!H10,OA_SQL_2!B:B,"DL"),"-"))</f>
        <v>0.47727272727272729</v>
      </c>
      <c r="K10" s="112">
        <f>1-(IFERROR(SUMIFS(OA_SQL_2!$O:$O,OA_SQL_2!$A:$A,RANK!H10,OA_SQL_2!$B:$B,"AA")/SUMIFS(OA_SQL_2!$N:$N,OA_SQL_2!$A:$A,RANK!H10,OA_SQL_2!$B:$B,"AA"),"-"))</f>
        <v>0.52238805970149249</v>
      </c>
      <c r="L10" s="112"/>
      <c r="M10" s="51" t="e">
        <f>RANK(I10,I10:K10,0)</f>
        <v>#DIV/0!</v>
      </c>
      <c r="N10" s="51"/>
      <c r="O10" s="110" t="s">
        <v>109</v>
      </c>
      <c r="P10" s="77">
        <f>SUMIFS(UA_HUB_SQL_7!$W:$W,UA_HUB_SQL_7!$B:$B,RANK!$O10)/SUMIFS(UA_HUB_SQL_7!$R:$R,UA_HUB_SQL_7!$B:$B,RANK!$O10)</f>
        <v>0.73349633251833746</v>
      </c>
      <c r="Q10" s="112">
        <f>SUMIFS(OA_SQL_2!$G:$G,OA_SQL_2!$B:$B,"DL",OA_SQL_2!$A:$A,RANK!$O10)/SUMIFS(OA_SQL_2!$F:$F,OA_SQL_2!$B:$B,"DL",OA_SQL_2!$A:$A,RANK!$O10)</f>
        <v>0.59055118110236215</v>
      </c>
      <c r="R10" s="112">
        <f>IFERROR((SUMIFS(OA_SQL_2!$K:$K,OA_SQL_2!$A:$A,RANK!O10,OA_SQL_2!$B:$B,"AA")/SUMIFS(OA_SQL_2!$J:$J,OA_SQL_2!$A:$A,O10,OA_SQL_2!$B:$B,"AA")),"-")</f>
        <v>0.59798994974874375</v>
      </c>
      <c r="S10" s="112"/>
      <c r="T10" s="51">
        <f>RANK(P10,P10:R10,0)</f>
        <v>1</v>
      </c>
    </row>
    <row r="11" spans="1:22" x14ac:dyDescent="0.35">
      <c r="A11" s="110" t="s">
        <v>108</v>
      </c>
      <c r="B11" s="77">
        <f>SUMIFS(UA_HUB_SQL_7!$K:$K,UA_HUB_SQL_7!$B:$B,RANK!$A11)/SUMIFS(UA_HUB_SQL_7!$F:$F,UA_HUB_SQL_7!$B:$B,RANK!$A11)</f>
        <v>0.76047904191616766</v>
      </c>
      <c r="C11" s="112" t="str">
        <f>IFERROR(SUMIFS(OA_SQL_2!$G:$G,OA_SQL_2!$B:$B,"DL",OA_SQL_2!$A:$A,'Pg2'!$T9)/SUMIFS(OA_SQL_2!$F:$F,OA_SQL_2!$B:$B,"DL",OA_SQL_2!$A:$A,'Pg2'!$T9),"-")</f>
        <v>-</v>
      </c>
      <c r="D11" s="112">
        <f>(SUMIFS(OA_SQL_2!$K:$K,OA_SQL_2!$B:$B,"AA",OA_SQL_2!$A:$A,RANK!$A11)/SUMIFS(OA_SQL_2!$J:$J,OA_SQL_2!$B:$B,"AA",OA_SQL_2!$A:$A,RANK!$A11))</f>
        <v>0.79710144927536231</v>
      </c>
      <c r="E11" s="112"/>
      <c r="F11" s="51">
        <f>RANK(B11,B11:D11,0)</f>
        <v>2</v>
      </c>
      <c r="H11" s="110" t="s">
        <v>108</v>
      </c>
      <c r="I11" s="77" t="e">
        <f>SUMIFS(UA_HUB_SQL_7!P:P,UA_HUB_SQL_7!B:B,RANK!H11)/SUMIFS(UA_HUB_SQL_7!M:M,UA_HUB_SQL_7!B:B,RANK!H11)</f>
        <v>#DIV/0!</v>
      </c>
      <c r="J11" s="112"/>
      <c r="K11" s="112">
        <f>1-(IFERROR(SUMIFS(OA_SQL_2!$O:$O,OA_SQL_2!$A:$A,RANK!H11,OA_SQL_2!$B:$B,"AA")/SUMIFS(OA_SQL_2!$N:$N,OA_SQL_2!$A:$A,RANK!H11,OA_SQL_2!$B:$B,"AA"),"-"))</f>
        <v>0.23734177215189878</v>
      </c>
      <c r="L11" s="112"/>
      <c r="M11" s="51" t="e">
        <f>RANK(I11,I11:K11,0)</f>
        <v>#DIV/0!</v>
      </c>
      <c r="N11" s="51"/>
      <c r="O11" s="110" t="s">
        <v>108</v>
      </c>
      <c r="P11" s="77">
        <f>SUMIFS(UA_HUB_SQL_7!$W:$W,UA_HUB_SQL_7!$B:$B,RANK!$O11)/SUMIFS(UA_HUB_SQL_7!$R:$R,UA_HUB_SQL_7!$B:$B,RANK!$O11)</f>
        <v>0.77257525083612044</v>
      </c>
      <c r="Q11" s="112"/>
      <c r="R11" s="112">
        <f>IFERROR((SUMIFS(OA_SQL_2!$K:$K,OA_SQL_2!$A:$A,RANK!O11,OA_SQL_2!$B:$B,"AA")/SUMIFS(OA_SQL_2!$J:$J,OA_SQL_2!$A:$A,O11,OA_SQL_2!$B:$B,"AA")),"-")</f>
        <v>0.79710144927536231</v>
      </c>
      <c r="S11" s="112"/>
      <c r="T11" s="51">
        <f>RANK(P11,P11:R11,0)</f>
        <v>2</v>
      </c>
    </row>
    <row r="12" spans="1:22" x14ac:dyDescent="0.35">
      <c r="A12" s="109" t="s">
        <v>105</v>
      </c>
      <c r="B12" s="77">
        <f>SUMIFS(UA_HUB_SQL_7!$K:$K,UA_HUB_SQL_7!$B:$B,RANK!$A12)/SUMIFS(UA_HUB_SQL_7!$F:$F,UA_HUB_SQL_7!$B:$B,RANK!$A12)</f>
        <v>0.58620689655172409</v>
      </c>
      <c r="C12" s="112">
        <f>(SUMIFS(OA_SQL_2!$K:$K,OA_SQL_2!$B:$B,"DL",OA_SQL_2!$A:$A,RANK!$A12)/SUMIFS(OA_SQL_2!$J:$J,OA_SQL_2!$B:$B,"DL",OA_SQL_2!$A:$A,RANK!$A12))</f>
        <v>0.60606060606060608</v>
      </c>
      <c r="D12" s="112">
        <f>(SUMIFS(OA_SQL_2!$K:$K,OA_SQL_2!$B:$B,"AA",OA_SQL_2!$A:$A,RANK!$A12)/SUMIFS(OA_SQL_2!$J:$J,OA_SQL_2!$B:$B,"AA",OA_SQL_2!$A:$A,RANK!$A12))</f>
        <v>0.92307692307692313</v>
      </c>
      <c r="E12" s="112"/>
      <c r="F12" s="51">
        <f>RANK(B12,B12:D12,0)</f>
        <v>3</v>
      </c>
      <c r="H12" s="109" t="s">
        <v>105</v>
      </c>
      <c r="I12" s="77" t="e">
        <f>SUMIFS(UA_HUB_SQL_7!P:P,UA_HUB_SQL_7!B:B,RANK!H12)/SUMIFS(UA_HUB_SQL_7!M:M,UA_HUB_SQL_7!B:B,RANK!H12)</f>
        <v>#DIV/0!</v>
      </c>
      <c r="J12" s="112">
        <f>1-(IFERROR(SUMIFS(OA_SQL_2!O:O,OA_SQL_2!A:A,RANK!H12,OA_SQL_2!B:B,"DL")/SUMIFS(OA_SQL_2!N:N,OA_SQL_2!A:A,RANK!H12,OA_SQL_2!B:B,"DL"),"-"))</f>
        <v>0.30303030303030298</v>
      </c>
      <c r="K12" s="112">
        <f>IFERROR(SUMIFS(OA_SQL_2!$O:$O,OA_SQL_2!$A:$A,RANK!H12,OA_SQL_2!$B:$B,"AA")/SUMIFS(OA_SQL_2!$N:$N,OA_SQL_2!$A:$A,RANK!H12,OA_SQL_2!$B:$B,"AA"),"-")</f>
        <v>0.87096774193548387</v>
      </c>
      <c r="L12" s="112"/>
      <c r="M12" s="51" t="e">
        <f>RANK(I12,I12:K12,0)</f>
        <v>#DIV/0!</v>
      </c>
      <c r="N12" s="51"/>
      <c r="O12" s="109" t="s">
        <v>105</v>
      </c>
      <c r="P12" s="77">
        <f>SUMIFS(UA_HUB_SQL_7!$W:$W,UA_HUB_SQL_7!$B:$B,RANK!$O12)/SUMIFS(UA_HUB_SQL_7!$R:$R,UA_HUB_SQL_7!$B:$B,RANK!$O12)</f>
        <v>0.7415730337078652</v>
      </c>
      <c r="Q12" s="112">
        <f>SUMIFS(OA_SQL_2!$G:$G,OA_SQL_2!$B:$B,"DL",OA_SQL_2!$A:$A,RANK!$O12)/SUMIFS(OA_SQL_2!$F:$F,OA_SQL_2!$B:$B,"DL",OA_SQL_2!$A:$A,RANK!$O12)</f>
        <v>0.6262626262626263</v>
      </c>
      <c r="R12" s="112">
        <f>IFERROR((SUMIFS(OA_SQL_2!$K:$K,OA_SQL_2!$A:$A,RANK!O12,OA_SQL_2!$B:$B,"AA")/SUMIFS(OA_SQL_2!$J:$J,OA_SQL_2!$A:$A,O12,OA_SQL_2!$B:$B,"AA")),"-")</f>
        <v>0.92307692307692313</v>
      </c>
      <c r="S12" s="112"/>
      <c r="T12" s="51">
        <f>RANK(P12,P12:R12,0)</f>
        <v>2</v>
      </c>
    </row>
    <row r="13" spans="1:22" x14ac:dyDescent="0.35">
      <c r="A13" s="110" t="s">
        <v>103</v>
      </c>
      <c r="B13" s="77">
        <f>SUMIFS(UA_HUB_SQL_7!$K:$K,UA_HUB_SQL_7!$B:$B,RANK!$A13)/SUMIFS(UA_HUB_SQL_7!$F:$F,UA_HUB_SQL_7!$B:$B,RANK!$A13)</f>
        <v>0.67307692307692313</v>
      </c>
      <c r="C13" s="112" t="str">
        <f>"-"</f>
        <v>-</v>
      </c>
      <c r="D13" s="112">
        <f>(SUMIFS(OA_SQL_2!$K:$K,OA_SQL_2!$B:$B,"AA",OA_SQL_2!$A:$A,RANK!$A13)/SUMIFS(OA_SQL_2!$J:$J,OA_SQL_2!$B:$B,"AA",OA_SQL_2!$A:$A,RANK!$A13))</f>
        <v>0.77325581395348841</v>
      </c>
      <c r="E13" s="112"/>
      <c r="F13" s="51">
        <f>RANK(B13,B13:D13,0)</f>
        <v>2</v>
      </c>
      <c r="H13" s="110" t="s">
        <v>103</v>
      </c>
      <c r="I13" s="77" t="e">
        <f>SUMIFS(UA_HUB_SQL_7!P:P,UA_HUB_SQL_7!B:B,RANK!H13)/SUMIFS(UA_HUB_SQL_7!M:M,UA_HUB_SQL_7!B:B,RANK!H13)</f>
        <v>#DIV/0!</v>
      </c>
      <c r="J13" s="112"/>
      <c r="K13" s="112">
        <f>IFERROR(SUMIFS(OA_SQL_2!$O:$O,OA_SQL_2!$A:$A,RANK!H13,OA_SQL_2!$B:$B,"AA")/SUMIFS(OA_SQL_2!$N:$N,OA_SQL_2!$A:$A,RANK!H13,OA_SQL_2!$B:$B,"AA"),"-")</f>
        <v>0.5669642857142857</v>
      </c>
      <c r="L13" s="112"/>
      <c r="M13" s="51" t="e">
        <f>RANK(I13,I13:K13,0)</f>
        <v>#DIV/0!</v>
      </c>
      <c r="N13" s="51"/>
      <c r="O13" s="110" t="s">
        <v>103</v>
      </c>
      <c r="P13" s="77">
        <f>SUMIFS(UA_HUB_SQL_7!$W:$W,UA_HUB_SQL_7!$B:$B,RANK!$O13)/SUMIFS(UA_HUB_SQL_7!$R:$R,UA_HUB_SQL_7!$B:$B,RANK!$O13)</f>
        <v>0.60028248587570621</v>
      </c>
      <c r="Q13" s="112"/>
      <c r="R13" s="112">
        <f>IFERROR((SUMIFS(OA_SQL_2!$K:$K,OA_SQL_2!$A:$A,RANK!O13,OA_SQL_2!$B:$B,"AA")/SUMIFS(OA_SQL_2!$J:$J,OA_SQL_2!$A:$A,O13,OA_SQL_2!$B:$B,"AA")),"-")</f>
        <v>0.77325581395348841</v>
      </c>
      <c r="S13" s="112"/>
      <c r="T13" s="51">
        <f>RANK(P13,P13:R13,0)</f>
        <v>2</v>
      </c>
    </row>
    <row r="14" spans="1:22" x14ac:dyDescent="0.35">
      <c r="A14" s="109" t="s">
        <v>107</v>
      </c>
      <c r="B14" s="77">
        <f>SUMIFS(UA_HUB_SQL_7!$K:$K,UA_HUB_SQL_7!$B:$B,RANK!$A14)/SUMIFS(UA_HUB_SQL_7!$F:$F,UA_HUB_SQL_7!$B:$B,RANK!$A14)</f>
        <v>0.64406779661016944</v>
      </c>
      <c r="C14" s="112" t="str">
        <f>"-"</f>
        <v>-</v>
      </c>
      <c r="D14" s="112" t="str">
        <f>"-"</f>
        <v>-</v>
      </c>
      <c r="E14" s="112">
        <f>SUMIFS(OA_SQL_2!$K:$K,OA_SQL_2!$B:$B,"AS",OA_SQL_2!$A:$A,RANK!$A14)/SUMIFS(OA_SQL_2!$J:$J,OA_SQL_2!$B:$B,"AS",OA_SQL_2!$A:$A,RANK!$A14)</f>
        <v>0.64</v>
      </c>
      <c r="F14" s="51">
        <f>RANK(B14,B14:E14,0)</f>
        <v>1</v>
      </c>
      <c r="H14" s="109" t="s">
        <v>107</v>
      </c>
      <c r="I14" s="77">
        <f>SUMIFS(UA_HUB_SQL_7!P:P,UA_HUB_SQL_7!B:B,RANK!H14)/SUMIFS(UA_HUB_SQL_7!M:M,UA_HUB_SQL_7!B:B,RANK!H14)</f>
        <v>18.5</v>
      </c>
      <c r="J14" s="112"/>
      <c r="K14" s="112"/>
      <c r="L14" s="112">
        <f>SUMIFS(OA_SQL_2!O:O,OA_SQL_2!A:A,RANK!H14,OA_SQL_2!B:B,RANK!L7)/SUMIFS(OA_SQL_2!N:N,OA_SQL_2!A:A,RANK!H14,OA_SQL_2!B:B,RANK!L7)</f>
        <v>0.48484848484848486</v>
      </c>
      <c r="M14" s="51">
        <f>RANK(I14,I14:L14,0)</f>
        <v>1</v>
      </c>
      <c r="N14" s="51"/>
      <c r="O14" s="109" t="s">
        <v>107</v>
      </c>
      <c r="P14" s="77">
        <f>SUMIFS(UA_HUB_SQL_7!$W:$W,UA_HUB_SQL_7!$B:$B,RANK!$O14)/SUMIFS(UA_HUB_SQL_7!$R:$R,UA_HUB_SQL_7!$B:$B,RANK!$O14)</f>
        <v>0.65957446808510634</v>
      </c>
      <c r="Q14" s="112"/>
      <c r="R14" s="112"/>
      <c r="S14" s="112" t="str">
        <f ca="1">IFERROR(SUMIFS(OA_SQL_2!X:X,OA_SQL_2!N:N,RANK!O14,OA_SQL_2!O:O,RANK!S7)/SUMIFS(OA_SQL_2!W:W,OA_SQL_2!N:N,RANK!O14,OA_SQL_2!O:O,RANK!S7),"-")</f>
        <v>-</v>
      </c>
      <c r="T14" s="51">
        <f ca="1">RANK(P14,P14:S14,0)</f>
        <v>1</v>
      </c>
    </row>
    <row r="15" spans="1:22" x14ac:dyDescent="0.35">
      <c r="A15" s="109" t="s">
        <v>97</v>
      </c>
      <c r="B15" s="77">
        <f>SUMIFS(UA_HUB_SQL_7!$K:$K,UA_HUB_SQL_7!$B:$B,RANK!$A15)/SUMIFS(UA_HUB_SQL_7!$F:$F,UA_HUB_SQL_7!$B:$B,RANK!$A15)</f>
        <v>0.80378250591016553</v>
      </c>
      <c r="C15" s="112">
        <f>(SUMIFS(OA_SQL_2!$K:$K,OA_SQL_2!$B:$B,"DL",OA_SQL_2!$A:$A,RANK!$A15)/SUMIFS(OA_SQL_2!$J:$J,OA_SQL_2!$B:$B,"DL",OA_SQL_2!$A:$A,RANK!$A15))</f>
        <v>0.69296375266524524</v>
      </c>
      <c r="D15" s="112">
        <f>(SUMIFS(OA_SQL_2!$K:$K,OA_SQL_2!$B:$B,"AA",OA_SQL_2!$A:$A,RANK!$A15)/SUMIFS(OA_SQL_2!$J:$J,OA_SQL_2!$B:$B,"AA",OA_SQL_2!$A:$A,RANK!$A15))</f>
        <v>0.74374577417173771</v>
      </c>
      <c r="E15" s="112">
        <f>SUMIFS(OA_SQL_2!$K:$K,OA_SQL_2!$B:$B,"AS",OA_SQL_2!$A:$A,RANK!$A15)/SUMIFS(OA_SQL_2!$J:$J,OA_SQL_2!$B:$B,"AS",OA_SQL_2!$A:$A,RANK!$A15)</f>
        <v>0.56682027649769584</v>
      </c>
      <c r="F15" s="51">
        <f>RANK(B15,B15:E15,0)</f>
        <v>1</v>
      </c>
      <c r="H15" s="109" t="s">
        <v>97</v>
      </c>
      <c r="I15" s="77">
        <f>SUMIFS(UA_HUB_SQL_7!P:P,UA_HUB_SQL_7!B:B,RANK!H15)/SUMIFS(UA_HUB_SQL_7!M:M,UA_HUB_SQL_7!B:B,RANK!H15)</f>
        <v>176.75</v>
      </c>
      <c r="J15" s="112">
        <f>IFERROR(SUMIFS(OA_SQL_2!O:O,OA_SQL_2!A:A,RANK!H15,OA_SQL_2!B:B,"DL")/SUMIFS(OA_SQL_2!N:N,OA_SQL_2!A:A,RANK!H15,OA_SQL_2!B:B,"DL"),"-")</f>
        <v>0.56426332288401249</v>
      </c>
      <c r="K15" s="112">
        <f>IFERROR(SUMIFS(OA_SQL_2!$O:$O,OA_SQL_2!$A:$A,RANK!H15,OA_SQL_2!$B:$B,"AA")/SUMIFS(OA_SQL_2!$N:$N,OA_SQL_2!$A:$A,RANK!H15,OA_SQL_2!$B:$B,"AA"),"-")</f>
        <v>0.66183574879227058</v>
      </c>
      <c r="L15" s="112">
        <f>IFERROR(SUMIFS(OA_SQL_2!O:O,OA_SQL_2!A:A,RANK!H15,OA_SQL_2!B:B,RANK!L7)/SUMIFS(OA_SQL_2!N:N,OA_SQL_2!A:A,RANK!H15,OA_SQL_2!B:B,RANK!L7),"-")</f>
        <v>0.42907801418439717</v>
      </c>
      <c r="M15" s="51">
        <f>RANK(I15,I15:L15,0)</f>
        <v>1</v>
      </c>
      <c r="N15" s="51"/>
      <c r="O15" s="109" t="s">
        <v>97</v>
      </c>
      <c r="P15" s="77">
        <f>SUMIFS(UA_HUB_SQL_7!$W:$W,UA_HUB_SQL_7!$B:$B,RANK!$O15)/SUMIFS(UA_HUB_SQL_7!$R:$R,UA_HUB_SQL_7!$B:$B,RANK!$O15)</f>
        <v>0.73396758280479213</v>
      </c>
      <c r="Q15" s="112">
        <f>SUMIFS(OA_SQL_2!$G:$G,OA_SQL_2!$B:$B,"DL",OA_SQL_2!$A:$A,RANK!$O15)/SUMIFS(OA_SQL_2!$F:$F,OA_SQL_2!$B:$B,"DL",OA_SQL_2!$A:$A,RANK!$O15)</f>
        <v>0.60217315106905012</v>
      </c>
      <c r="R15" s="112">
        <f>IFERROR((SUMIFS(OA_SQL_2!$K:$K,OA_SQL_2!$A:$A,RANK!O15,OA_SQL_2!$B:$B,"AA")/SUMIFS(OA_SQL_2!$J:$J,OA_SQL_2!$A:$A,O15,OA_SQL_2!$B:$B,"AA")),"-")</f>
        <v>0.74374577417173771</v>
      </c>
      <c r="S15" s="112" t="str">
        <f ca="1">IFERROR(SUMIFS(OA_SQL_2!X:X,OA_SQL_2!N:N,RANK!O15,OA_SQL_2!O:O,RANK!S7)/SUMIFS(OA_SQL_2!W:W,OA_SQL_2!N:N,RANK!O15,OA_SQL_2!O:O,RANK!S7),"-")</f>
        <v>-</v>
      </c>
      <c r="T15" s="51">
        <f ca="1">RANK(P15,P15:S15,0)</f>
        <v>2</v>
      </c>
    </row>
    <row r="16" spans="1:22" x14ac:dyDescent="0.35">
      <c r="A16" s="194" t="s">
        <v>167</v>
      </c>
      <c r="B16" s="144">
        <f>SUMIFS(UA_Line!$J:$J,UA_Line!$B:$B,"Line Int")/SUMIFS(UA_Line!$F:$F,UA_Line!$B:$B,"Line Int")</f>
        <v>0.77551020408163263</v>
      </c>
      <c r="C16" s="144">
        <f>(SUMIFS(OA_Line!$E:$E,OA_Line!$A:$A,"Line Int",OA_Line!$B:$B,"DL")/SUMIFS(OA_Line!$D:$D,OA_Line!$A:$A,"Line Int",OA_Line!$B:$B,"DL"))</f>
        <v>0.88235294117647056</v>
      </c>
      <c r="D16" s="144">
        <f>(SUMIFS(OA_Line!$E:$E,OA_Line!$B:$B,"AA",OA_Line!$A:$A,"Line Int")/SUMIFS(OA_Line!$D:$D,OA_Line!$B:$B,"AA",OA_Line!$A:$A,"Line Int"))</f>
        <v>0.73015873015873012</v>
      </c>
      <c r="F16">
        <f>RANK(B16,B16:D16,0)</f>
        <v>2</v>
      </c>
      <c r="I16" s="77"/>
      <c r="Q16" s="251"/>
      <c r="R16" s="251"/>
    </row>
    <row r="17" spans="1:22" ht="15" thickBot="1" x14ac:dyDescent="0.4">
      <c r="A17" s="194" t="s">
        <v>428</v>
      </c>
      <c r="B17" s="144">
        <f>SUMIFS(UA_Line!$J:$J,UA_Line!$B:$B,"Line Dom")/SUMIFS(UA_Line!$F:$F,UA_Line!$B:$B,"Line Dom")</f>
        <v>0.80552070263488085</v>
      </c>
      <c r="C17" s="144">
        <f>(SUMIFS(OA_Line!$E:$E,OA_Line!$B:$B,"DL",OA_Line!$A:$A,"Line Dom")/SUMIFS(OA_Line!$D:$D,OA_Line!$B:$B,"DL",OA_Line!$A:$A,"Line Dom"))</f>
        <v>0.66786140979689368</v>
      </c>
      <c r="D17" s="144">
        <f>(SUMIFS(OA_Line!$E:$E,OA_Line!$B:$B,"AA",OA_Line!$A:$A,"Line Dom")/SUMIFS(OA_Line!$D:$D,OA_Line!$B:$B,"AA",OA_Line!$A:$A,"Line Dom"))</f>
        <v>0.73543307086614174</v>
      </c>
      <c r="F17">
        <f>RANK(B17,B17:D17,0)</f>
        <v>1</v>
      </c>
      <c r="I17" s="189"/>
    </row>
    <row r="18" spans="1:22" ht="15" thickBot="1" x14ac:dyDescent="0.4">
      <c r="A18" s="47" t="s">
        <v>110</v>
      </c>
      <c r="B18" s="47" t="s">
        <v>49</v>
      </c>
      <c r="C18" s="47" t="s">
        <v>52</v>
      </c>
      <c r="D18" s="47" t="s">
        <v>51</v>
      </c>
      <c r="E18" s="47" t="s">
        <v>117</v>
      </c>
      <c r="F18" s="47" t="s">
        <v>53</v>
      </c>
      <c r="H18" s="47" t="s">
        <v>110</v>
      </c>
      <c r="I18" s="47" t="s">
        <v>49</v>
      </c>
      <c r="J18" s="47" t="s">
        <v>52</v>
      </c>
      <c r="K18" s="47" t="s">
        <v>51</v>
      </c>
      <c r="L18" s="47" t="s">
        <v>117</v>
      </c>
      <c r="M18" s="47" t="s">
        <v>54</v>
      </c>
      <c r="N18" s="113"/>
      <c r="O18" s="47" t="s">
        <v>110</v>
      </c>
      <c r="P18" s="47" t="s">
        <v>49</v>
      </c>
      <c r="Q18" s="47" t="s">
        <v>52</v>
      </c>
      <c r="R18" s="47" t="s">
        <v>51</v>
      </c>
      <c r="S18" s="47" t="s">
        <v>117</v>
      </c>
      <c r="T18" s="47" t="s">
        <v>179</v>
      </c>
      <c r="V18" s="113" t="s">
        <v>1</v>
      </c>
    </row>
    <row r="19" spans="1:22" x14ac:dyDescent="0.35">
      <c r="A19" s="109" t="s">
        <v>104</v>
      </c>
      <c r="B19" s="144">
        <f>SUMIFS(UA_HUB_SQL_7!$G:$G,UA_HUB_SQL_7!$B:$B,'Pg2'!$T6)/SUMIFS(UA_HUB_SQL_7!$F:$F,UA_HUB_SQL_7!$B:$B,'Pg2'!$T6)</f>
        <v>5.7142857142857143E-3</v>
      </c>
      <c r="C19" s="112"/>
      <c r="D19" s="112"/>
      <c r="E19" s="112"/>
      <c r="F19" s="51"/>
      <c r="H19" s="109" t="s">
        <v>104</v>
      </c>
      <c r="I19" s="77">
        <f>SUMIFS(UA_HUB_SQL_7!M:M,UA_HUB_SQL_7!B:B,RANK!H19)/SUMIFS(UA_HUB_SQL_7!L:L,UA_HUB_SQL_7!B:B,RANK!H19)</f>
        <v>0</v>
      </c>
      <c r="J19" s="112">
        <f>IFERROR(SUMIFS(OA_SQL_2!$P:$P,OA_SQL_2!$A:$A,RANK!$H$19,OA_SQL_2!$B:$B,"DL")/SUMIFS(OA_SQL_2!$N:$N,OA_SQL_2!$A:$A,RANK!$H$19,OA_SQL_2!$B:$B,"DL"),"-")</f>
        <v>1</v>
      </c>
      <c r="K19" s="112"/>
      <c r="L19" s="112"/>
      <c r="M19" s="51">
        <f t="shared" ref="M19:M24" si="1">RANK(I19,I19:K19,0)</f>
        <v>2</v>
      </c>
      <c r="N19" s="51"/>
      <c r="O19" s="109" t="s">
        <v>106</v>
      </c>
      <c r="P19" s="77" t="e">
        <f>SUMIFS(UA_HUB_SQL_7!T:T,UA_HUB_SQL_7!O:O,O19)/SUMIFS(UA_HUB_SQL_7!S:S,UA_HUB_SQL_7!O:O,O19)</f>
        <v>#DIV/0!</v>
      </c>
      <c r="Q19" s="112" t="str">
        <f>IFERROR(SUMIFS(OA_SQL_2!$L:$L,OA_SQL_2!$A:$A,PAGE_1_old!O19,OA_SQL_2!$B:$B,"DL")/SUMIFS(OA_SQL_2!$J:$J,OA_SQL_2!$A:$A,PAGE_1_old!O19,OA_SQL_2!$B:$B,"DL"),"-")</f>
        <v>-</v>
      </c>
      <c r="R19" s="112" t="str">
        <f>IFERROR(SUMIFS(OA_SQL_2!$L:$L,OA_SQL_2!$A:$A,PAGE_1_old!O19,OA_SQL_2!$B:$B,"AA")/SUMIFS(OA_SQL_2!$J:$J,OA_SQL_2!$A:$A,PAGE_1_old!O19,OA_SQL_2!$B:$B,"AA"),"-")</f>
        <v>-</v>
      </c>
      <c r="S19" s="112"/>
      <c r="T19" s="51" t="e">
        <f>RANK(P19,P19:R19,0)</f>
        <v>#DIV/0!</v>
      </c>
    </row>
    <row r="20" spans="1:22" x14ac:dyDescent="0.35">
      <c r="A20" s="109" t="s">
        <v>106</v>
      </c>
      <c r="B20" s="144">
        <f>SUMIFS(UA_HUB_SQL_7!$G:$G,UA_HUB_SQL_7!$B:$B,'Pg2'!$T7)/SUMIFS(UA_HUB_SQL_7!$F:$F,UA_HUB_SQL_7!$B:$B,'Pg2'!$T7)</f>
        <v>0</v>
      </c>
      <c r="C20" s="112">
        <f>1-(SUMIFS(OA_SQL_2!$L:$L,OA_SQL_2!$B:$B,"DL",OA_SQL_2!$A:$A,'Pg2'!$T7)/SUMIFS(OA_SQL_2!$J:$J,OA_SQL_2!$B:$B,"DL",OA_SQL_2!$A:$A,'Pg2'!$T7))</f>
        <v>0</v>
      </c>
      <c r="D20" s="112">
        <f>1-(SUMIFS(OA_SQL_2!$L:$L,OA_SQL_2!$B:$B,"AA",OA_SQL_2!$A:$A,'Pg2'!$T7)/SUMIFS(OA_SQL_2!$J:$J,OA_SQL_2!$B:$B,"AA",OA_SQL_2!$A:$A,'Pg2'!$T7))</f>
        <v>0</v>
      </c>
      <c r="E20" s="112"/>
      <c r="F20" s="51">
        <f>RANK(B20,B20:D20,1)</f>
        <v>1</v>
      </c>
      <c r="H20" s="109" t="s">
        <v>106</v>
      </c>
      <c r="I20" s="77">
        <f>SUMIFS(UA_HUB_SQL_7!M:M,UA_HUB_SQL_7!B:B,RANK!H20)/SUMIFS(UA_HUB_SQL_7!L:L,UA_HUB_SQL_7!B:B,RANK!H20)</f>
        <v>0</v>
      </c>
      <c r="J20" s="112">
        <f>IFERROR(SUMIFS(OA_SQL_2!P:P,OA_SQL_2!A:A,RANK!H20,OA_SQL_2!B:B,"DL")/SUMIFS(OA_SQL_2!N:N,OA_SQL_2!A:A,RANK!H20,OA_SQL_2!B:B,"DL"),"-")</f>
        <v>1</v>
      </c>
      <c r="K20" s="112">
        <f>IFERROR(SUMIFS(OA_SQL_2!P:P,OA_SQL_2!A:A,RANK!H20,OA_SQL_2!B:B,"AA")/SUMIFS(OA_SQL_2!N:N,OA_SQL_2!A:A,RANK!H20,OA_SQL_2!B:B,"AA"),"-")</f>
        <v>1</v>
      </c>
      <c r="L20" s="112"/>
      <c r="M20" s="51">
        <f t="shared" si="1"/>
        <v>3</v>
      </c>
      <c r="N20" s="51"/>
      <c r="O20" s="109" t="s">
        <v>109</v>
      </c>
      <c r="P20" s="77" t="e">
        <f>SUMIFS(UA_HUB_SQL_7!T:T,UA_HUB_SQL_7!O:O,O20)/SUMIFS(UA_HUB_SQL_7!S:S,UA_HUB_SQL_7!O:O,O20)</f>
        <v>#DIV/0!</v>
      </c>
      <c r="Q20" s="112" t="str">
        <f>IFERROR(SUMIFS(OA_SQL_2!$L:$L,OA_SQL_2!$A:$A,PAGE_1_old!O20,OA_SQL_2!$B:$B,"DL")/SUMIFS(OA_SQL_2!$J:$J,OA_SQL_2!$A:$A,PAGE_1_old!O20,OA_SQL_2!$B:$B,"DL"),"-")</f>
        <v>-</v>
      </c>
      <c r="R20" s="112" t="str">
        <f>IFERROR(SUMIFS(OA_SQL_2!$L:$L,OA_SQL_2!$A:$A,PAGE_1_old!O20,OA_SQL_2!$B:$B,"AA")/SUMIFS(OA_SQL_2!$J:$J,OA_SQL_2!$A:$A,PAGE_1_old!O20,OA_SQL_2!$B:$B,"AA"),"-")</f>
        <v>-</v>
      </c>
      <c r="S20" s="112"/>
      <c r="T20" s="51" t="e">
        <f>RANK(P20,P20:R20,0)</f>
        <v>#DIV/0!</v>
      </c>
    </row>
    <row r="21" spans="1:22" x14ac:dyDescent="0.35">
      <c r="A21" s="110" t="s">
        <v>109</v>
      </c>
      <c r="B21" s="144">
        <f>SUMIFS(UA_HUB_SQL_7!$G:$G,UA_HUB_SQL_7!$B:$B,'Pg2'!$T8)/SUMIFS(UA_HUB_SQL_7!$F:$F,UA_HUB_SQL_7!$B:$B,'Pg2'!$T8)</f>
        <v>0</v>
      </c>
      <c r="C21" s="112">
        <f>1-(SUMIFS(OA_SQL_2!$L:$L,OA_SQL_2!$B:$B,"DL",OA_SQL_2!$A:$A,'Pg2'!$T8)/SUMIFS(OA_SQL_2!$J:$J,OA_SQL_2!$B:$B,"DL",OA_SQL_2!$A:$A,'Pg2'!$T8))</f>
        <v>0</v>
      </c>
      <c r="D21" s="112">
        <f>1-(SUMIFS(OA_SQL_2!$L:$L,OA_SQL_2!$B:$B,"AA",OA_SQL_2!$A:$A,'Pg2'!$T8)/SUMIFS(OA_SQL_2!$J:$J,OA_SQL_2!$B:$B,"AA",OA_SQL_2!$A:$A,'Pg2'!$T8))</f>
        <v>0</v>
      </c>
      <c r="E21" s="112"/>
      <c r="F21" s="51">
        <f t="shared" ref="F21:F24" si="2">RANK(B21,B21:D21,1)</f>
        <v>1</v>
      </c>
      <c r="H21" s="110" t="s">
        <v>109</v>
      </c>
      <c r="I21" s="77">
        <f>SUMIFS(UA_HUB_SQL_7!M:M,UA_HUB_SQL_7!B:B,RANK!H21)/SUMIFS(UA_HUB_SQL_7!L:L,UA_HUB_SQL_7!B:B,RANK!H21)</f>
        <v>0</v>
      </c>
      <c r="J21" s="112">
        <f>IFERROR(SUMIFS(OA_SQL_2!P:P,OA_SQL_2!A:A,RANK!H21,OA_SQL_2!B:B,"DL")/SUMIFS(OA_SQL_2!N:N,OA_SQL_2!A:A,RANK!H21,OA_SQL_2!B:B,"DL"),"-")</f>
        <v>1</v>
      </c>
      <c r="K21" s="112">
        <f>IFERROR(SUMIFS(OA_SQL_2!P:P,OA_SQL_2!A:A,RANK!H21,OA_SQL_2!B:B,"AA")/SUMIFS(OA_SQL_2!N:N,OA_SQL_2!A:A,RANK!H21,OA_SQL_2!B:B,"AA"),"-")</f>
        <v>1</v>
      </c>
      <c r="L21" s="112"/>
      <c r="M21" s="51">
        <f t="shared" si="1"/>
        <v>3</v>
      </c>
      <c r="N21" s="51"/>
      <c r="O21" s="110" t="s">
        <v>108</v>
      </c>
      <c r="P21" s="77" t="e">
        <f>SUMIFS(UA_HUB_SQL_7!T:T,UA_HUB_SQL_7!O:O,O21)/SUMIFS(UA_HUB_SQL_7!S:S,UA_HUB_SQL_7!O:O,O21)</f>
        <v>#DIV/0!</v>
      </c>
      <c r="Q21" s="112"/>
      <c r="R21" s="112">
        <f>IFERROR(SUMIFS(OA_SQL_2!$L:$L,OA_SQL_2!$A:$A,O21,OA_SQL_2!$B:$B,"AA")/SUMIFS(OA_SQL_2!$J:$J,OA_SQL_2!$A:$A,O21,OA_SQL_2!$B:$B,"AA"),"-")</f>
        <v>1</v>
      </c>
      <c r="S21" s="112"/>
      <c r="T21" s="51" t="e">
        <f>RANK(P21,P21:R21,0)</f>
        <v>#DIV/0!</v>
      </c>
    </row>
    <row r="22" spans="1:22" x14ac:dyDescent="0.35">
      <c r="A22" s="110" t="s">
        <v>108</v>
      </c>
      <c r="B22" s="144">
        <f>SUMIFS(UA_HUB_SQL_7!$G:$G,UA_HUB_SQL_7!$B:$B,'Pg2'!$T9)/SUMIFS(UA_HUB_SQL_7!$F:$F,UA_HUB_SQL_7!$B:$B,'Pg2'!$T9)</f>
        <v>0</v>
      </c>
      <c r="C22" s="112" t="s">
        <v>40</v>
      </c>
      <c r="D22" s="112">
        <f>1-(SUMIFS(OA_SQL_2!$L:$L,OA_SQL_2!$B:$B,"AA",OA_SQL_2!$A:$A,'Pg2'!$T9)/SUMIFS(OA_SQL_2!$J:$J,OA_SQL_2!$B:$B,"AA",OA_SQL_2!$A:$A,'Pg2'!$T9))</f>
        <v>0</v>
      </c>
      <c r="E22" s="112"/>
      <c r="F22" s="51">
        <f t="shared" si="2"/>
        <v>1</v>
      </c>
      <c r="H22" s="110" t="s">
        <v>108</v>
      </c>
      <c r="I22" s="77">
        <f>SUMIFS(UA_HUB_SQL_7!M:M,UA_HUB_SQL_7!B:B,RANK!H22)/SUMIFS(UA_HUB_SQL_7!L:L,UA_HUB_SQL_7!B:B,RANK!H22)</f>
        <v>0</v>
      </c>
      <c r="J22" s="112"/>
      <c r="K22" s="112">
        <f>IFERROR(SUMIFS(OA_SQL_2!P:P,OA_SQL_2!A:A,RANK!H22,OA_SQL_2!B:B,"AA")/SUMIFS(OA_SQL_2!N:N,OA_SQL_2!A:A,RANK!H22,OA_SQL_2!B:B,"AA"),"-")</f>
        <v>0.99683544303797467</v>
      </c>
      <c r="L22" s="112"/>
      <c r="M22" s="51">
        <f t="shared" si="1"/>
        <v>2</v>
      </c>
      <c r="N22" s="51"/>
      <c r="O22" s="110" t="s">
        <v>105</v>
      </c>
      <c r="P22" s="77" t="e">
        <f>SUMIFS(UA_HUB_SQL_7!T:T,UA_HUB_SQL_7!O:O,O22)/SUMIFS(UA_HUB_SQL_7!S:S,UA_HUB_SQL_7!O:O,O22)</f>
        <v>#DIV/0!</v>
      </c>
      <c r="Q22" s="112" t="str">
        <f>IFERROR(SUMIFS(OA_SQL_2!$L:$L,OA_SQL_2!$A:$A,PAGE_1_old!O22,OA_SQL_2!$B:$B,"DL")/SUMIFS(OA_SQL_2!$J:$J,OA_SQL_2!$A:$A,PAGE_1_old!O22,OA_SQL_2!$B:$B,"DL"),"-")</f>
        <v>-</v>
      </c>
      <c r="R22" s="112" t="str">
        <f>IFERROR(SUMIFS(OA_SQL_2!$L:$L,OA_SQL_2!$A:$A,PAGE_1_old!O22,OA_SQL_2!$B:$B,"AA")/SUMIFS(OA_SQL_2!$J:$J,OA_SQL_2!$A:$A,PAGE_1_old!O22,OA_SQL_2!$B:$B,"AA"),"-")</f>
        <v>-</v>
      </c>
      <c r="S22" s="112"/>
      <c r="T22" s="51" t="e">
        <f>RANK(P22,P22:R22,0)</f>
        <v>#DIV/0!</v>
      </c>
    </row>
    <row r="23" spans="1:22" x14ac:dyDescent="0.35">
      <c r="A23" s="109" t="s">
        <v>105</v>
      </c>
      <c r="B23" s="144">
        <f>SUMIFS(UA_HUB_SQL_7!$G:$G,UA_HUB_SQL_7!$B:$B,'Pg2'!$T10)/SUMIFS(UA_HUB_SQL_7!$F:$F,UA_HUB_SQL_7!$B:$B,'Pg2'!$T10)</f>
        <v>3.4482758620689655E-2</v>
      </c>
      <c r="C23" s="112">
        <f>1-(SUMIFS(OA_SQL_2!$L:$L,OA_SQL_2!$B:$B,"DL",OA_SQL_2!$A:$A,'Pg2'!$T10)/SUMIFS(OA_SQL_2!$J:$J,OA_SQL_2!$B:$B,"DL",OA_SQL_2!$A:$A,'Pg2'!$T10))</f>
        <v>3.0303030303030276E-2</v>
      </c>
      <c r="D23" s="112">
        <f>1-(SUMIFS(OA_SQL_2!$L:$L,OA_SQL_2!$B:$B,"AA",OA_SQL_2!$A:$A,'Pg2'!$T10)/SUMIFS(OA_SQL_2!$J:$J,OA_SQL_2!$B:$B,"AA",OA_SQL_2!$A:$A,'Pg2'!$T10))</f>
        <v>0</v>
      </c>
      <c r="E23" s="112"/>
      <c r="F23" s="51">
        <f t="shared" si="2"/>
        <v>3</v>
      </c>
      <c r="H23" s="109" t="s">
        <v>105</v>
      </c>
      <c r="I23" s="77">
        <f>SUMIFS(UA_HUB_SQL_7!M:M,UA_HUB_SQL_7!B:B,RANK!H23)/SUMIFS(UA_HUB_SQL_7!L:L,UA_HUB_SQL_7!B:B,RANK!H23)</f>
        <v>0</v>
      </c>
      <c r="J23" s="112">
        <f>IFERROR(SUMIFS(OA_SQL_2!P:P,OA_SQL_2!A:A,RANK!H23,OA_SQL_2!B:B,"DL")/SUMIFS(OA_SQL_2!N:N,OA_SQL_2!A:A,RANK!H23,OA_SQL_2!B:B,"DL"),"-")</f>
        <v>1</v>
      </c>
      <c r="K23" s="112">
        <f>IFERROR(SUMIFS(OA_SQL_2!P:P,OA_SQL_2!A:A,RANK!H23,OA_SQL_2!B:B,"AA")/SUMIFS(OA_SQL_2!N:N,OA_SQL_2!A:A,RANK!H23,OA_SQL_2!B:B,"AA"),"-")</f>
        <v>1</v>
      </c>
      <c r="L23" s="112"/>
      <c r="M23" s="51">
        <f t="shared" si="1"/>
        <v>3</v>
      </c>
      <c r="N23" s="51"/>
      <c r="O23" s="109" t="s">
        <v>103</v>
      </c>
      <c r="P23" s="77" t="e">
        <f>SUMIFS(UA_HUB_SQL_7!T:T,UA_HUB_SQL_7!O:O,O23)/SUMIFS(UA_HUB_SQL_7!S:S,UA_HUB_SQL_7!O:O,O23)</f>
        <v>#DIV/0!</v>
      </c>
      <c r="Q23" s="112"/>
      <c r="R23" s="112">
        <f>IFERROR(SUMIFS(OA_SQL_2!$L:$L,OA_SQL_2!$A:$A,O23,OA_SQL_2!$B:$B,"AA")/SUMIFS(OA_SQL_2!$J:$J,OA_SQL_2!$A:$A,O23,OA_SQL_2!$B:$B,"AA"),"-")</f>
        <v>1</v>
      </c>
      <c r="S23" s="112"/>
      <c r="T23" s="51" t="e">
        <f>RANK(P23,P23:R23,0)</f>
        <v>#DIV/0!</v>
      </c>
    </row>
    <row r="24" spans="1:22" x14ac:dyDescent="0.35">
      <c r="A24" s="110" t="s">
        <v>103</v>
      </c>
      <c r="B24" s="144">
        <f>SUMIFS(UA_HUB_SQL_7!$G:$G,UA_HUB_SQL_7!$B:$B,'Pg2'!$T11)/SUMIFS(UA_HUB_SQL_7!$F:$F,UA_HUB_SQL_7!$B:$B,'Pg2'!$T11)</f>
        <v>0</v>
      </c>
      <c r="C24" s="112"/>
      <c r="D24" s="112">
        <f>1-(SUMIFS(OA_SQL_2!$L:$L,OA_SQL_2!$B:$B,"AA",OA_SQL_2!$A:$A,'Pg2'!$T11)/SUMIFS(OA_SQL_2!$J:$J,OA_SQL_2!$B:$B,"AA",OA_SQL_2!$A:$A,'Pg2'!$T11))</f>
        <v>0</v>
      </c>
      <c r="E24" s="112"/>
      <c r="F24" s="51">
        <f t="shared" si="2"/>
        <v>1</v>
      </c>
      <c r="H24" s="110" t="s">
        <v>103</v>
      </c>
      <c r="I24" s="77">
        <f>SUMIFS(UA_HUB_SQL_7!M:M,UA_HUB_SQL_7!B:B,RANK!H24)/SUMIFS(UA_HUB_SQL_7!L:L,UA_HUB_SQL_7!B:B,RANK!H24)</f>
        <v>0</v>
      </c>
      <c r="J24" s="112"/>
      <c r="K24" s="112">
        <f>IFERROR(SUMIFS(OA_SQL_2!P:P,OA_SQL_2!A:A,RANK!H24,OA_SQL_2!B:B,"AA")/SUMIFS(OA_SQL_2!N:N,OA_SQL_2!A:A,RANK!H24,OA_SQL_2!B:B,"AA"),"-")</f>
        <v>0.9910714285714286</v>
      </c>
      <c r="L24" s="112"/>
      <c r="M24" s="51">
        <f t="shared" si="1"/>
        <v>2</v>
      </c>
      <c r="N24" s="51"/>
      <c r="O24" s="110" t="s">
        <v>107</v>
      </c>
      <c r="P24" s="77" t="e">
        <f>SUMIFS(UA_HUB_SQL_7!T:T,UA_HUB_SQL_7!O:O,O24)/SUMIFS(UA_HUB_SQL_7!S:S,UA_HUB_SQL_7!O:O,O24)</f>
        <v>#DIV/0!</v>
      </c>
      <c r="Q24" s="112"/>
      <c r="R24" s="112"/>
      <c r="S24" s="112" t="str">
        <f ca="1">IFERROR(SUMIFS(OA_SQL_2!Y:Y,OA_SQL_2!N:N,RANK!O25,OA_SQL_2!O:O,RANK!S18)/SUMIFS(OA_SQL_2!W:W,OA_SQL_2!N:N,RANK!O25,OA_SQL_2!O:O,RANK!S18),"-")</f>
        <v>-</v>
      </c>
      <c r="T24" s="51" t="e">
        <f>RANK(P24,P24:S24,0)</f>
        <v>#DIV/0!</v>
      </c>
    </row>
    <row r="25" spans="1:22" x14ac:dyDescent="0.35">
      <c r="A25" s="109" t="s">
        <v>107</v>
      </c>
      <c r="B25" s="144">
        <f>SUMIFS(UA_HUB_SQL_7!$G:$G,UA_HUB_SQL_7!$B:$B,'Pg2'!$T12)/SUMIFS(UA_HUB_SQL_7!$F:$F,UA_HUB_SQL_7!$B:$B,'Pg2'!$T12)</f>
        <v>8.4745762711864403E-2</v>
      </c>
      <c r="C25" s="112"/>
      <c r="D25" s="112"/>
      <c r="E25" s="112">
        <f>1-(SUMIFS(OA_SQL_2!$L:$L,OA_SQL_2!$B:$B,"AS",OA_SQL_2!$A:$A,'Pg2'!$T12)/SUMIFS(OA_SQL_2!$J:$J,OA_SQL_2!$B:$B,"AS",OA_SQL_2!$A:$A,'Pg2'!$T12))</f>
        <v>7.999999999999996E-2</v>
      </c>
      <c r="F25" s="51">
        <f>RANK(B25,B25:E25,1)</f>
        <v>2</v>
      </c>
      <c r="H25" s="109" t="s">
        <v>107</v>
      </c>
      <c r="I25" s="77">
        <f>SUMIFS(UA_HUB_SQL_7!M:M,UA_HUB_SQL_7!B:B,RANK!H25)/SUMIFS(UA_HUB_SQL_7!L:L,UA_HUB_SQL_7!B:B,RANK!H25)</f>
        <v>3.125E-2</v>
      </c>
      <c r="J25" s="112"/>
      <c r="K25" s="112"/>
      <c r="L25" s="112">
        <f>IFERROR(SUMIFS(OA_SQL_2!P:P,OA_SQL_2!A:A,RANK!H25,OA_SQL_2!B:B,RANK!L18)/SUMIFS(OA_SQL_2!N:N,OA_SQL_2!A:A,RANK!H25,OA_SQL_2!B:B,RANK!L18),"-")</f>
        <v>0.93939393939393945</v>
      </c>
      <c r="M25" s="51">
        <f>RANK(I25,I25:L25,0)</f>
        <v>2</v>
      </c>
      <c r="N25" s="51"/>
      <c r="O25" s="109" t="s">
        <v>97</v>
      </c>
      <c r="P25" s="77" t="e">
        <f>SUMIFS(UA_HUB_SQL_7!T:T,UA_HUB_SQL_7!O:O,O25)/SUMIFS(UA_HUB_SQL_7!S:S,UA_HUB_SQL_7!O:O,O25)</f>
        <v>#DIV/0!</v>
      </c>
      <c r="Q25" s="112">
        <f>IFERROR(SUMIFS(OA_SQL_2!$L:$L,OA_SQL_2!$A:$A,O25,OA_SQL_2!$B:$B,"DL")/SUMIFS(OA_SQL_2!$J:$J,OA_SQL_2!$A:$A,O25,OA_SQL_2!$B:$B,"DL"),"-")</f>
        <v>0.99360341151385922</v>
      </c>
      <c r="R25" s="112">
        <f>IFERROR(SUMIFS(OA_SQL_2!$L:$L,OA_SQL_2!$A:$A,O25,OA_SQL_2!$B:$B,"AA")/SUMIFS(OA_SQL_2!$J:$J,OA_SQL_2!$A:$A,O25,OA_SQL_2!$B:$B,"AA"),"-")</f>
        <v>0.99932386747802571</v>
      </c>
      <c r="S25" s="112" t="str">
        <f ca="1">IFERROR(SUMIFS(OA_SQL_2!Y:Y,OA_SQL_2!N:N,RANK!O26,OA_SQL_2!O:O,RANK!S18)/SUMIFS(OA_SQL_2!W:W,OA_SQL_2!N:N,RANK!O26,OA_SQL_2!O:O,RANK!S18),"-")</f>
        <v>-</v>
      </c>
      <c r="T25" s="51" t="e">
        <f>RANK(P25,P25:S25,0)</f>
        <v>#DIV/0!</v>
      </c>
    </row>
    <row r="26" spans="1:22" x14ac:dyDescent="0.35">
      <c r="A26" s="109" t="s">
        <v>97</v>
      </c>
      <c r="B26" s="144">
        <f>SUMIFS(UA_HUB_SQL_7!$G:$G,UA_HUB_SQL_7!$B:$B,'Pg2'!$T13)/SUMIFS(UA_HUB_SQL_7!$F:$F,UA_HUB_SQL_7!$B:$B,'Pg2'!$T13)</f>
        <v>4.7281323877068557E-3</v>
      </c>
      <c r="C26" s="112">
        <f>1-(SUMIFS(OA_SQL_2!$L:$L,OA_SQL_2!$B:$B,"DL",OA_SQL_2!$A:$A,'Pg2'!$T13)/SUMIFS(OA_SQL_2!$J:$J,OA_SQL_2!$B:$B,"DL",OA_SQL_2!$A:$A,'Pg2'!$T13))</f>
        <v>6.3965884861407751E-3</v>
      </c>
      <c r="D26" s="112">
        <f>1-(SUMIFS(OA_SQL_2!$L:$L,OA_SQL_2!$B:$B,"AA",OA_SQL_2!$A:$A,'Pg2'!$T13)/SUMIFS(OA_SQL_2!$J:$J,OA_SQL_2!$B:$B,"AA",OA_SQL_2!$A:$A,'Pg2'!$T13))</f>
        <v>6.7613252197429308E-4</v>
      </c>
      <c r="E26" s="112">
        <f>1-(SUMIFS(OA_SQL_2!$L:$L,OA_SQL_2!$B:$B,"AS",OA_SQL_2!$A:$A,'Pg2'!$T13)/SUMIFS(OA_SQL_2!$J:$J,OA_SQL_2!$B:$B,"AS",OA_SQL_2!$A:$A,'Pg2'!$T13))</f>
        <v>6.9124423963133674E-2</v>
      </c>
      <c r="F26" s="51">
        <f>RANK(B26,B26:E26,1)</f>
        <v>2</v>
      </c>
      <c r="H26" s="109" t="s">
        <v>97</v>
      </c>
      <c r="I26" s="77">
        <f>SUMIFS(UA_HUB_SQL_7!M:M,UA_HUB_SQL_7!B:B,RANK!H26)/SUMIFS(UA_HUB_SQL_7!L:L,UA_HUB_SQL_7!B:B,RANK!H26)</f>
        <v>4.1109969167523125E-3</v>
      </c>
      <c r="J26" s="112">
        <f>IFERROR(SUMIFS(OA_SQL_2!P:P,OA_SQL_2!A:A,RANK!H26,OA_SQL_2!B:B,"DL")/SUMIFS(OA_SQL_2!N:N,OA_SQL_2!A:A,RANK!H26,OA_SQL_2!B:B,"DL"),"-")</f>
        <v>0.98432601880877746</v>
      </c>
      <c r="K26" s="112">
        <f>IFERROR(SUMIFS(OA_SQL_2!P:P,OA_SQL_2!A:A,RANK!H26,OA_SQL_2!B:B,"AA")/SUMIFS(OA_SQL_2!N:N,OA_SQL_2!A:A,RANK!H26,OA_SQL_2!B:B,"AA"),"-")</f>
        <v>0.99637681159420288</v>
      </c>
      <c r="L26" s="112">
        <f>IFERROR(SUMIFS(OA_SQL_2!P:P,OA_SQL_2!A:A,RANK!H26,OA_SQL_2!B:B,RANK!L18)/SUMIFS(OA_SQL_2!N:N,OA_SQL_2!A:A,RANK!H26,OA_SQL_2!B:B,RANK!L18),"-")</f>
        <v>0.95390070921985815</v>
      </c>
      <c r="M26" s="51">
        <f>RANK(I26,I26:L26,0)</f>
        <v>4</v>
      </c>
      <c r="N26" s="51"/>
      <c r="O26" s="109" t="s">
        <v>104</v>
      </c>
      <c r="P26" s="77" t="e">
        <f>SUMIFS(UA_HUB_SQL_7!T:T,UA_HUB_SQL_7!O:O,O26)/SUMIFS(UA_HUB_SQL_7!S:S,UA_HUB_SQL_7!O:O,O26)</f>
        <v>#DIV/0!</v>
      </c>
      <c r="Q26" s="112" t="str">
        <f>IFERROR(SUMIFS(OA_SQL_2!$L:$L,OA_SQL_2!$A:$A,PAGE_1_old!O18,OA_SQL_2!$B:$B,"DL")/SUMIFS(OA_SQL_2!$J:$J,OA_SQL_2!$A:$A,PAGE_1_old!O18,OA_SQL_2!$B:$B,"DL"),"-")</f>
        <v>-</v>
      </c>
      <c r="R26" s="112"/>
      <c r="S26" s="112"/>
      <c r="T26" s="51"/>
    </row>
    <row r="27" spans="1:22" x14ac:dyDescent="0.35">
      <c r="A27" s="194" t="s">
        <v>167</v>
      </c>
      <c r="B27" s="144">
        <f>SUMIFS(UA_Line!$G:$G,UA_Line!$B:$B,"Line Int")/SUMIFS(UA_Line!$F:$F,UA_Line!$B:$B,"Line Int")</f>
        <v>0</v>
      </c>
      <c r="C27" s="144">
        <f>1-(SUMIFS(OA_Line!$F:$F,OA_Line!$B:$B,"DL",OA_Line!$A:$A,"Line Int")/SUMIFS(OA_Line!$D:$D,OA_Line!$B:$B,"DL",OA_Line!$A:$A,"Line Int"))</f>
        <v>0</v>
      </c>
      <c r="D27" s="144">
        <f>1-(SUMIFS(OA_Line!$F:$F,OA_Line!$B:$B,"AA",OA_Line!$A:$A,"Line Int")/SUMIFS(OA_Line!$D:$D,OA_Line!$B:$B,"AA",OA_Line!$A:$A,"Line Int"))</f>
        <v>0</v>
      </c>
      <c r="F27">
        <f>RANK(B27,B27:D27,1)</f>
        <v>1</v>
      </c>
    </row>
    <row r="28" spans="1:22" x14ac:dyDescent="0.35">
      <c r="A28" s="194" t="s">
        <v>168</v>
      </c>
      <c r="B28" s="144">
        <f>SUMIFS(UA_Line!$G:$G,UA_Line!$B:$B,"Line Dom")/SUMIFS(UA_Line!$F:$F,UA_Line!$B:$B,"Line Dom")</f>
        <v>5.018820577164366E-3</v>
      </c>
      <c r="C28" s="144">
        <f>1-(SUMIFS(OA_Line!$F:$F,OA_Line!$B:$B,"DL",OA_Line!$A:$A,"Line Dom")/SUMIFS(OA_Line!$D:$D,OA_Line!$B:$B,"DL",OA_Line!$A:$A,"Line Dom"))</f>
        <v>7.1684587813619638E-3</v>
      </c>
      <c r="D28" s="144">
        <f>1-(SUMIFS(OA_Line!$F:$F,OA_Line!$B:$B,"AA",OA_Line!$A:$A,"Line Dom")/SUMIFS(OA_Line!$D:$D,OA_Line!$B:$B,"AA",OA_Line!$A:$A,"Line Dom"))</f>
        <v>7.8740157480317041E-4</v>
      </c>
      <c r="F28" s="270">
        <f>RANK(B28,B28:D28,1)</f>
        <v>2</v>
      </c>
    </row>
  </sheetData>
  <sortState xmlns:xlrd2="http://schemas.microsoft.com/office/spreadsheetml/2017/richdata2" ref="O19:T26">
    <sortCondition ref="T23"/>
  </sortState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" id="{1555AE61-260C-455D-B59C-CAC1C1108CB1}">
            <x14:iconSet custom="1">
              <x14:cfvo type="percent">
                <xm:f>0</xm:f>
              </x14:cfvo>
              <x14:cfvo type="num">
                <xm:f>$F$6</xm:f>
              </x14:cfvo>
              <x14:cfvo type="num">
                <xm:f>$F$6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B8:B15</xm:sqref>
        </x14:conditionalFormatting>
        <x14:conditionalFormatting xmlns:xm="http://schemas.microsoft.com/office/excel/2006/main">
          <x14:cfRule type="iconSet" priority="7" id="{FBA5A912-C442-4712-B968-93E96C27954C}">
            <x14:iconSet custom="1">
              <x14:cfvo type="percent">
                <xm:f>0</xm:f>
              </x14:cfvo>
              <x14:cfvo type="num">
                <xm:f>$F$6</xm:f>
              </x14:cfvo>
              <x14:cfvo type="num">
                <xm:f>$F$6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I8:I17</xm:sqref>
        </x14:conditionalFormatting>
        <x14:conditionalFormatting xmlns:xm="http://schemas.microsoft.com/office/excel/2006/main">
          <x14:cfRule type="iconSet" priority="5" id="{3FC805BA-C6A0-4596-A2F3-E096E9948592}">
            <x14:iconSet custom="1">
              <x14:cfvo type="percent">
                <xm:f>0</xm:f>
              </x14:cfvo>
              <x14:cfvo type="num">
                <xm:f>$F$6</xm:f>
              </x14:cfvo>
              <x14:cfvo type="num">
                <xm:f>$F$6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I19:I26</xm:sqref>
        </x14:conditionalFormatting>
        <x14:conditionalFormatting xmlns:xm="http://schemas.microsoft.com/office/excel/2006/main">
          <x14:cfRule type="iconSet" priority="2" id="{592866FA-1C82-481C-B534-E7C5EC42BAE9}">
            <x14:iconSet custom="1">
              <x14:cfvo type="percent">
                <xm:f>0</xm:f>
              </x14:cfvo>
              <x14:cfvo type="num">
                <xm:f>$F$6</xm:f>
              </x14:cfvo>
              <x14:cfvo type="num">
                <xm:f>$F$6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P8:P15</xm:sqref>
        </x14:conditionalFormatting>
        <x14:conditionalFormatting xmlns:xm="http://schemas.microsoft.com/office/excel/2006/main">
          <x14:cfRule type="iconSet" priority="1" id="{002BD541-799A-482E-9A6E-F122EAFE43A3}">
            <x14:iconSet custom="1">
              <x14:cfvo type="percent">
                <xm:f>0</xm:f>
              </x14:cfvo>
              <x14:cfvo type="num">
                <xm:f>$F$6</xm:f>
              </x14:cfvo>
              <x14:cfvo type="num">
                <xm:f>$F$6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P19:P26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tabColor theme="4" tint="0.39997558519241921"/>
  </sheetPr>
  <dimension ref="A1:O30"/>
  <sheetViews>
    <sheetView workbookViewId="0">
      <selection activeCell="H24" sqref="H24"/>
    </sheetView>
  </sheetViews>
  <sheetFormatPr defaultRowHeight="14.5" x14ac:dyDescent="0.35"/>
  <cols>
    <col min="11" max="11" width="23.1796875" bestFit="1" customWidth="1"/>
  </cols>
  <sheetData>
    <row r="1" spans="1:15" x14ac:dyDescent="0.35">
      <c r="A1" s="295" t="s">
        <v>27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</row>
    <row r="2" spans="1:15" x14ac:dyDescent="0.35">
      <c r="B2" t="s">
        <v>57</v>
      </c>
      <c r="C2" t="s">
        <v>60</v>
      </c>
      <c r="D2" t="s">
        <v>64</v>
      </c>
      <c r="E2" t="s">
        <v>63</v>
      </c>
      <c r="F2" t="s">
        <v>65</v>
      </c>
      <c r="G2" t="s">
        <v>55</v>
      </c>
      <c r="H2" t="s">
        <v>62</v>
      </c>
      <c r="I2" t="s">
        <v>59</v>
      </c>
      <c r="J2" t="s">
        <v>49</v>
      </c>
      <c r="K2" t="s">
        <v>86</v>
      </c>
      <c r="L2" t="s">
        <v>17</v>
      </c>
    </row>
    <row r="3" spans="1:15" x14ac:dyDescent="0.35">
      <c r="A3" t="s">
        <v>57</v>
      </c>
      <c r="B3">
        <f>SUMIFS(CNXL_SQL_2!$F:$F,CNXL_SQL_2!$A:$A,ES_MATRIX!$A3,CNXL_SQL_2!$E:$E,ES_MATRIX!$B$2)</f>
        <v>0</v>
      </c>
      <c r="C3">
        <f>SUMIFS(CNXL_SQL_2!$F:$F,CNXL_SQL_2!$A:$A,ES_MATRIX!$A3,CNXL_SQL_2!$E:$E,ES_MATRIX!$C$2)</f>
        <v>0</v>
      </c>
      <c r="D3">
        <f>SUMIFS(CNXL_SQL_2!$F:$F,CNXL_SQL_2!$A:$A,ES_MATRIX!$A3,CNXL_SQL_2!$E:$E,ES_MATRIX!$D$2)</f>
        <v>0</v>
      </c>
      <c r="E3">
        <f>SUMIFS(CNXL_SQL_2!$F:$F,CNXL_SQL_2!$A:$A,ES_MATRIX!$A3,CNXL_SQL_2!$E:$E,ES_MATRIX!$E$2)</f>
        <v>0</v>
      </c>
      <c r="F3">
        <f>SUMIFS(CNXL_SQL_2!$F:$F,CNXL_SQL_2!$A:$A,ES_MATRIX!$A3,CNXL_SQL_2!$E:$E,ES_MATRIX!$F$2)</f>
        <v>0</v>
      </c>
      <c r="G3">
        <f>SUMIFS(CNXL_SQL_2!$F:$F,CNXL_SQL_2!$A:$A,ES_MATRIX!$A3,CNXL_SQL_2!$E:$E,ES_MATRIX!$G$2)</f>
        <v>0</v>
      </c>
      <c r="H3">
        <f>SUMIFS(CNXL_SQL_2!$F:$F,CNXL_SQL_2!$A:$A,ES_MATRIX!$A3,CNXL_SQL_2!$E:$E,ES_MATRIX!$H$2)</f>
        <v>0</v>
      </c>
      <c r="I3">
        <f>SUMIFS(CNXL_SQL_2!$F:$F,CNXL_SQL_2!$A:$A,ES_MATRIX!$A3,CNXL_SQL_2!$E:$E,ES_MATRIX!$I$2)</f>
        <v>0</v>
      </c>
      <c r="J3">
        <f>SUMIFS(CNXL_SQL_2!$F:$F,CNXL_SQL_2!$A:$A,ES_MATRIX!$A3,CNXL_SQL_2!$E:$E,ES_MATRIX!$J$2)</f>
        <v>0</v>
      </c>
      <c r="K3" s="1" t="str">
        <f t="shared" ref="K3:K10" si="0"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 t="shared" ref="L3:L10" si="1">SUM(B3:J3)</f>
        <v>0</v>
      </c>
    </row>
    <row r="4" spans="1:15" x14ac:dyDescent="0.35">
      <c r="A4" t="s">
        <v>60</v>
      </c>
      <c r="B4">
        <f>SUMIFS(CNXL_SQL_2!$F:$F,CNXL_SQL_2!$A:$A,ES_MATRIX!$A4,CNXL_SQL_2!$E:$E,ES_MATRIX!$B$2)</f>
        <v>0</v>
      </c>
      <c r="C4">
        <f>SUMIFS(CNXL_SQL_2!$F:$F,CNXL_SQL_2!$A:$A,ES_MATRIX!$A4,CNXL_SQL_2!$E:$E,ES_MATRIX!$C$2)</f>
        <v>0</v>
      </c>
      <c r="D4">
        <f>SUMIFS(CNXL_SQL_2!$F:$F,CNXL_SQL_2!$A:$A,ES_MATRIX!$A4,CNXL_SQL_2!$E:$E,ES_MATRIX!$D$2)</f>
        <v>0</v>
      </c>
      <c r="E4">
        <f>SUMIFS(CNXL_SQL_2!$F:$F,CNXL_SQL_2!$A:$A,ES_MATRIX!$A4,CNXL_SQL_2!$E:$E,ES_MATRIX!$E$2)</f>
        <v>0</v>
      </c>
      <c r="F4">
        <f>SUMIFS(CNXL_SQL_2!$F:$F,CNXL_SQL_2!$A:$A,ES_MATRIX!$A4,CNXL_SQL_2!$E:$E,ES_MATRIX!$F$2)</f>
        <v>0</v>
      </c>
      <c r="G4">
        <f>SUMIFS(CNXL_SQL_2!$F:$F,CNXL_SQL_2!$A:$A,ES_MATRIX!$A4,CNXL_SQL_2!$E:$E,ES_MATRIX!$G$2)</f>
        <v>0</v>
      </c>
      <c r="H4">
        <f>SUMIFS(CNXL_SQL_2!$F:$F,CNXL_SQL_2!$A:$A,ES_MATRIX!$A4,CNXL_SQL_2!$E:$E,ES_MATRIX!$H$2)</f>
        <v>0</v>
      </c>
      <c r="I4">
        <f>SUMIFS(CNXL_SQL_2!$F:$F,CNXL_SQL_2!$A:$A,ES_MATRIX!$A4,CNXL_SQL_2!$E:$E,ES_MATRIX!$I$2)</f>
        <v>0</v>
      </c>
      <c r="J4">
        <f>SUMIFS(CNXL_SQL_2!$F:$F,CNXL_SQL_2!$A:$A,ES_MATRIX!$A4,CNXL_SQL_2!$E:$E,ES_MATRIX!$J$2)</f>
        <v>0</v>
      </c>
      <c r="K4" s="1" t="str">
        <f t="shared" si="0"/>
        <v/>
      </c>
      <c r="L4">
        <f t="shared" si="1"/>
        <v>0</v>
      </c>
    </row>
    <row r="5" spans="1:15" x14ac:dyDescent="0.35">
      <c r="A5" t="s">
        <v>64</v>
      </c>
      <c r="B5">
        <f>SUMIFS(CNXL_SQL_2!$F:$F,CNXL_SQL_2!$A:$A,ES_MATRIX!$A5,CNXL_SQL_2!$E:$E,ES_MATRIX!$B$2)</f>
        <v>0</v>
      </c>
      <c r="C5">
        <f>SUMIFS(CNXL_SQL_2!$F:$F,CNXL_SQL_2!$A:$A,ES_MATRIX!$A5,CNXL_SQL_2!$E:$E,ES_MATRIX!$C$2)</f>
        <v>0</v>
      </c>
      <c r="D5">
        <f>SUMIFS(CNXL_SQL_2!$F:$F,CNXL_SQL_2!$A:$A,ES_MATRIX!$A5,CNXL_SQL_2!$E:$E,ES_MATRIX!$D$2)</f>
        <v>0</v>
      </c>
      <c r="E5">
        <f>SUMIFS(CNXL_SQL_2!$F:$F,CNXL_SQL_2!$A:$A,ES_MATRIX!$A5,CNXL_SQL_2!$E:$E,ES_MATRIX!$E$2)</f>
        <v>0</v>
      </c>
      <c r="F5">
        <f>SUMIFS(CNXL_SQL_2!$F:$F,CNXL_SQL_2!$A:$A,ES_MATRIX!$A5,CNXL_SQL_2!$E:$E,ES_MATRIX!$F$2)</f>
        <v>0</v>
      </c>
      <c r="G5">
        <f>SUMIFS(CNXL_SQL_2!$F:$F,CNXL_SQL_2!$A:$A,ES_MATRIX!$A5,CNXL_SQL_2!$E:$E,ES_MATRIX!$G$2)</f>
        <v>0</v>
      </c>
      <c r="H5">
        <f>SUMIFS(CNXL_SQL_2!$F:$F,CNXL_SQL_2!$A:$A,ES_MATRIX!$A5,CNXL_SQL_2!$E:$E,ES_MATRIX!$H$2)</f>
        <v>0</v>
      </c>
      <c r="I5">
        <f>SUMIFS(CNXL_SQL_2!$F:$F,CNXL_SQL_2!$A:$A,ES_MATRIX!$A5,CNXL_SQL_2!$E:$E,ES_MATRIX!$I$2)</f>
        <v>0</v>
      </c>
      <c r="J5">
        <f>SUMIFS(CNXL_SQL_2!$F:$F,CNXL_SQL_2!$A:$A,ES_MATRIX!$A5,CNXL_SQL_2!$E:$E,ES_MATRIX!$J$2)</f>
        <v>0</v>
      </c>
      <c r="K5" s="1" t="str">
        <f t="shared" si="0"/>
        <v/>
      </c>
      <c r="L5">
        <f t="shared" si="1"/>
        <v>0</v>
      </c>
    </row>
    <row r="6" spans="1:15" x14ac:dyDescent="0.35">
      <c r="A6" t="s">
        <v>63</v>
      </c>
      <c r="B6">
        <f>SUMIFS(CNXL_SQL_2!$F:$F,CNXL_SQL_2!$A:$A,ES_MATRIX!$A6,CNXL_SQL_2!$E:$E,ES_MATRIX!$B$2)</f>
        <v>0</v>
      </c>
      <c r="C6">
        <f>SUMIFS(CNXL_SQL_2!$F:$F,CNXL_SQL_2!$A:$A,ES_MATRIX!$A6,CNXL_SQL_2!$E:$E,ES_MATRIX!$C$2)</f>
        <v>0</v>
      </c>
      <c r="D6">
        <f>SUMIFS(CNXL_SQL_2!$F:$F,CNXL_SQL_2!$A:$A,ES_MATRIX!$A6,CNXL_SQL_2!$E:$E,ES_MATRIX!$D$2)</f>
        <v>0</v>
      </c>
      <c r="E6">
        <f>SUMIFS(CNXL_SQL_2!$F:$F,CNXL_SQL_2!$A:$A,ES_MATRIX!$A6,CNXL_SQL_2!$E:$E,ES_MATRIX!$E$2)</f>
        <v>0</v>
      </c>
      <c r="F6">
        <f>SUMIFS(CNXL_SQL_2!$F:$F,CNXL_SQL_2!$A:$A,ES_MATRIX!$A6,CNXL_SQL_2!$E:$E,ES_MATRIX!$F$2)</f>
        <v>0</v>
      </c>
      <c r="G6">
        <f>SUMIFS(CNXL_SQL_2!$F:$F,CNXL_SQL_2!$A:$A,ES_MATRIX!$A6,CNXL_SQL_2!$E:$E,ES_MATRIX!$G$2)</f>
        <v>0</v>
      </c>
      <c r="H6">
        <f>SUMIFS(CNXL_SQL_2!$F:$F,CNXL_SQL_2!$A:$A,ES_MATRIX!$A6,CNXL_SQL_2!$E:$E,ES_MATRIX!$H$2)</f>
        <v>0</v>
      </c>
      <c r="I6">
        <f>SUMIFS(CNXL_SQL_2!$F:$F,CNXL_SQL_2!$A:$A,ES_MATRIX!$A6,CNXL_SQL_2!$E:$E,ES_MATRIX!$I$2)</f>
        <v>0</v>
      </c>
      <c r="J6">
        <f>SUMIFS(CNXL_SQL_2!$F:$F,CNXL_SQL_2!$A:$A,ES_MATRIX!$A6,CNXL_SQL_2!$E:$E,ES_MATRIX!$J$2)</f>
        <v>0</v>
      </c>
      <c r="K6" s="1" t="str">
        <f t="shared" si="0"/>
        <v/>
      </c>
      <c r="L6">
        <f t="shared" si="1"/>
        <v>0</v>
      </c>
    </row>
    <row r="7" spans="1:15" x14ac:dyDescent="0.35">
      <c r="A7" t="s">
        <v>65</v>
      </c>
      <c r="B7">
        <f>SUMIFS(CNXL_SQL_2!$F:$F,CNXL_SQL_2!$A:$A,ES_MATRIX!$A7,CNXL_SQL_2!$E:$E,ES_MATRIX!$B$2)</f>
        <v>0</v>
      </c>
      <c r="C7">
        <f>SUMIFS(CNXL_SQL_2!$F:$F,CNXL_SQL_2!$A:$A,ES_MATRIX!$A7,CNXL_SQL_2!$E:$E,ES_MATRIX!$C$2)</f>
        <v>0</v>
      </c>
      <c r="D7">
        <f>SUMIFS(CNXL_SQL_2!$F:$F,CNXL_SQL_2!$A:$A,ES_MATRIX!$A7,CNXL_SQL_2!$E:$E,ES_MATRIX!$D$2)</f>
        <v>0</v>
      </c>
      <c r="E7">
        <f>SUMIFS(CNXL_SQL_2!$F:$F,CNXL_SQL_2!$A:$A,ES_MATRIX!$A7,CNXL_SQL_2!$E:$E,ES_MATRIX!$E$2)</f>
        <v>0</v>
      </c>
      <c r="F7">
        <f>SUMIFS(CNXL_SQL_2!$F:$F,CNXL_SQL_2!$A:$A,ES_MATRIX!$A7,CNXL_SQL_2!$E:$E,ES_MATRIX!$F$2)</f>
        <v>0</v>
      </c>
      <c r="G7">
        <f>SUMIFS(CNXL_SQL_2!$F:$F,CNXL_SQL_2!$A:$A,ES_MATRIX!$A7,CNXL_SQL_2!$E:$E,ES_MATRIX!$G$2)</f>
        <v>0</v>
      </c>
      <c r="H7">
        <f>SUMIFS(CNXL_SQL_2!$F:$F,CNXL_SQL_2!$A:$A,ES_MATRIX!$A7,CNXL_SQL_2!$E:$E,ES_MATRIX!$H$2)</f>
        <v>0</v>
      </c>
      <c r="I7">
        <f>SUMIFS(CNXL_SQL_2!$F:$F,CNXL_SQL_2!$A:$A,ES_MATRIX!$A7,CNXL_SQL_2!$E:$E,ES_MATRIX!$I$2)</f>
        <v>0</v>
      </c>
      <c r="J7">
        <f>SUMIFS(CNXL_SQL_2!$F:$F,CNXL_SQL_2!$A:$A,ES_MATRIX!$A7,CNXL_SQL_2!$E:$E,ES_MATRIX!$J$2)</f>
        <v>0</v>
      </c>
      <c r="K7" s="1" t="str">
        <f t="shared" si="0"/>
        <v/>
      </c>
      <c r="L7">
        <f t="shared" si="1"/>
        <v>0</v>
      </c>
    </row>
    <row r="8" spans="1:15" x14ac:dyDescent="0.35">
      <c r="A8" t="s">
        <v>55</v>
      </c>
      <c r="B8">
        <f>SUMIFS(CNXL_SQL_2!$F:$F,CNXL_SQL_2!$A:$A,ES_MATRIX!$A8,CNXL_SQL_2!$E:$E,ES_MATRIX!$B$2)</f>
        <v>0</v>
      </c>
      <c r="C8">
        <f>SUMIFS(CNXL_SQL_2!$F:$F,CNXL_SQL_2!$A:$A,ES_MATRIX!$A8,CNXL_SQL_2!$E:$E,ES_MATRIX!$C$2)</f>
        <v>0</v>
      </c>
      <c r="D8">
        <f>SUMIFS(CNXL_SQL_2!$F:$F,CNXL_SQL_2!$A:$A,ES_MATRIX!$A8,CNXL_SQL_2!$E:$E,ES_MATRIX!$D$2)</f>
        <v>0</v>
      </c>
      <c r="E8">
        <f>SUMIFS(CNXL_SQL_2!$F:$F,CNXL_SQL_2!$A:$A,ES_MATRIX!$A8,CNXL_SQL_2!$E:$E,ES_MATRIX!$E$2)</f>
        <v>0</v>
      </c>
      <c r="F8">
        <f>SUMIFS(CNXL_SQL_2!$F:$F,CNXL_SQL_2!$A:$A,ES_MATRIX!$A8,CNXL_SQL_2!$E:$E,ES_MATRIX!$F$2)</f>
        <v>0</v>
      </c>
      <c r="G8">
        <f>SUMIFS(CNXL_SQL_2!$F:$F,CNXL_SQL_2!$A:$A,ES_MATRIX!$A8,CNXL_SQL_2!$E:$E,ES_MATRIX!$G$2)</f>
        <v>0</v>
      </c>
      <c r="H8">
        <f>SUMIFS(CNXL_SQL_2!$F:$F,CNXL_SQL_2!$A:$A,ES_MATRIX!$A8,CNXL_SQL_2!$E:$E,ES_MATRIX!$H$2)</f>
        <v>0</v>
      </c>
      <c r="I8">
        <f>SUMIFS(CNXL_SQL_2!$F:$F,CNXL_SQL_2!$A:$A,ES_MATRIX!$A8,CNXL_SQL_2!$E:$E,ES_MATRIX!$I$2)</f>
        <v>0</v>
      </c>
      <c r="J8">
        <f>SUMIFS(CNXL_SQL_2!$F:$F,CNXL_SQL_2!$A:$A,ES_MATRIX!$A8,CNXL_SQL_2!$E:$E,ES_MATRIX!$J$2)</f>
        <v>0</v>
      </c>
      <c r="K8" s="1" t="str">
        <f t="shared" si="0"/>
        <v/>
      </c>
      <c r="L8">
        <f t="shared" si="1"/>
        <v>0</v>
      </c>
    </row>
    <row r="9" spans="1:15" x14ac:dyDescent="0.35">
      <c r="A9" t="s">
        <v>62</v>
      </c>
      <c r="B9">
        <f>SUMIFS(CNXL_SQL_2!$F:$F,CNXL_SQL_2!$A:$A,ES_MATRIX!$A9,CNXL_SQL_2!$E:$E,ES_MATRIX!$B$2)</f>
        <v>0</v>
      </c>
      <c r="C9">
        <f>SUMIFS(CNXL_SQL_2!$F:$F,CNXL_SQL_2!$A:$A,ES_MATRIX!$A9,CNXL_SQL_2!$E:$E,ES_MATRIX!$C$2)</f>
        <v>0</v>
      </c>
      <c r="D9">
        <f>SUMIFS(CNXL_SQL_2!$F:$F,CNXL_SQL_2!$A:$A,ES_MATRIX!$A9,CNXL_SQL_2!$E:$E,ES_MATRIX!$D$2)</f>
        <v>0</v>
      </c>
      <c r="E9">
        <f>SUMIFS(CNXL_SQL_2!$F:$F,CNXL_SQL_2!$A:$A,ES_MATRIX!$A9,CNXL_SQL_2!$E:$E,ES_MATRIX!$E$2)</f>
        <v>0</v>
      </c>
      <c r="F9">
        <f>SUMIFS(CNXL_SQL_2!$F:$F,CNXL_SQL_2!$A:$A,ES_MATRIX!$A9,CNXL_SQL_2!$E:$E,ES_MATRIX!$F$2)</f>
        <v>0</v>
      </c>
      <c r="G9">
        <f>SUMIFS(CNXL_SQL_2!$F:$F,CNXL_SQL_2!$A:$A,ES_MATRIX!$A9,CNXL_SQL_2!$E:$E,ES_MATRIX!$G$2)</f>
        <v>0</v>
      </c>
      <c r="H9">
        <f>SUMIFS(CNXL_SQL_2!$F:$F,CNXL_SQL_2!$A:$A,ES_MATRIX!$A9,CNXL_SQL_2!$E:$E,ES_MATRIX!$H$2)</f>
        <v>0</v>
      </c>
      <c r="I9">
        <f>SUMIFS(CNXL_SQL_2!$F:$F,CNXL_SQL_2!$A:$A,ES_MATRIX!$A9,CNXL_SQL_2!$E:$E,ES_MATRIX!$I$2)</f>
        <v>0</v>
      </c>
      <c r="J9">
        <f>SUMIFS(CNXL_SQL_2!$F:$F,CNXL_SQL_2!$A:$A,ES_MATRIX!$A9,CNXL_SQL_2!$E:$E,ES_MATRIX!$J$2)</f>
        <v>0</v>
      </c>
      <c r="K9" s="1" t="str">
        <f t="shared" si="0"/>
        <v/>
      </c>
      <c r="L9">
        <f t="shared" si="1"/>
        <v>0</v>
      </c>
    </row>
    <row r="10" spans="1:15" x14ac:dyDescent="0.35">
      <c r="A10" t="s">
        <v>59</v>
      </c>
      <c r="B10">
        <f>SUMIFS(CNXL_SQL_2!$F:$F,CNXL_SQL_2!$A:$A,ES_MATRIX!$A10,CNXL_SQL_2!$E:$E,ES_MATRIX!$B$2)</f>
        <v>0</v>
      </c>
      <c r="C10">
        <f>SUMIFS(CNXL_SQL_2!$F:$F,CNXL_SQL_2!$A:$A,ES_MATRIX!$A10,CNXL_SQL_2!$E:$E,ES_MATRIX!$C$2)</f>
        <v>0</v>
      </c>
      <c r="D10">
        <f>SUMIFS(CNXL_SQL_2!$F:$F,CNXL_SQL_2!$A:$A,ES_MATRIX!$A10,CNXL_SQL_2!$E:$E,ES_MATRIX!$D$2)</f>
        <v>0</v>
      </c>
      <c r="E10">
        <f>SUMIFS(CNXL_SQL_2!$F:$F,CNXL_SQL_2!$A:$A,ES_MATRIX!$A10,CNXL_SQL_2!$E:$E,ES_MATRIX!$E$2)</f>
        <v>0</v>
      </c>
      <c r="F10">
        <f>SUMIFS(CNXL_SQL_2!$F:$F,CNXL_SQL_2!$A:$A,ES_MATRIX!$A10,CNXL_SQL_2!$E:$E,ES_MATRIX!$F$2)</f>
        <v>0</v>
      </c>
      <c r="G10">
        <f>SUMIFS(CNXL_SQL_2!$F:$F,CNXL_SQL_2!$A:$A,ES_MATRIX!$A10,CNXL_SQL_2!$E:$E,ES_MATRIX!$G$2)</f>
        <v>0</v>
      </c>
      <c r="H10">
        <f>SUMIFS(CNXL_SQL_2!$F:$F,CNXL_SQL_2!$A:$A,ES_MATRIX!$A10,CNXL_SQL_2!$E:$E,ES_MATRIX!$H$2)</f>
        <v>0</v>
      </c>
      <c r="I10">
        <f>SUMIFS(CNXL_SQL_2!$F:$F,CNXL_SQL_2!$A:$A,ES_MATRIX!$A10,CNXL_SQL_2!$E:$E,ES_MATRIX!$I$2)</f>
        <v>0</v>
      </c>
      <c r="J10">
        <f>SUMIFS(CNXL_SQL_2!$F:$F,CNXL_SQL_2!$A:$A,ES_MATRIX!$A10,CNXL_SQL_2!$E:$E,ES_MATRIX!$J$2)</f>
        <v>0</v>
      </c>
      <c r="K10" s="1" t="str">
        <f t="shared" si="0"/>
        <v/>
      </c>
      <c r="L10">
        <f t="shared" si="1"/>
        <v>0</v>
      </c>
    </row>
    <row r="11" spans="1:15" ht="15" thickBot="1" x14ac:dyDescent="0.4"/>
    <row r="12" spans="1:15" ht="15" thickBot="1" x14ac:dyDescent="0.4">
      <c r="A12" s="283" t="s">
        <v>28</v>
      </c>
      <c r="B12" s="284"/>
      <c r="C12" s="284"/>
      <c r="D12" s="284"/>
      <c r="E12" s="284"/>
      <c r="F12" s="284"/>
      <c r="G12" s="284"/>
      <c r="H12" s="284"/>
      <c r="I12" s="284"/>
      <c r="J12" s="284"/>
      <c r="K12" s="284"/>
      <c r="L12" s="284"/>
      <c r="M12" s="284"/>
      <c r="N12" s="284"/>
      <c r="O12" s="284"/>
    </row>
    <row r="13" spans="1:15" x14ac:dyDescent="0.35">
      <c r="B13" t="s">
        <v>57</v>
      </c>
      <c r="C13" t="s">
        <v>60</v>
      </c>
      <c r="D13" t="s">
        <v>64</v>
      </c>
      <c r="E13" t="s">
        <v>63</v>
      </c>
      <c r="F13" t="s">
        <v>65</v>
      </c>
      <c r="G13" t="s">
        <v>55</v>
      </c>
      <c r="H13" t="s">
        <v>62</v>
      </c>
      <c r="I13" t="s">
        <v>59</v>
      </c>
      <c r="J13" t="s">
        <v>49</v>
      </c>
      <c r="K13" t="s">
        <v>86</v>
      </c>
      <c r="L13" t="s">
        <v>17</v>
      </c>
    </row>
    <row r="14" spans="1:15" x14ac:dyDescent="0.35">
      <c r="A14" t="s">
        <v>57</v>
      </c>
      <c r="B14">
        <f>SUMIFS(RES_CNXL_SQL_3!$F:$F,RES_CNXL_SQL_3!$A:$A,ES_MATRIX!$A14,RES_CNXL_SQL_3!$E:$E,ES_MATRIX!$B$2)</f>
        <v>0</v>
      </c>
      <c r="C14">
        <f>SUMIFS(RES_CNXL_SQL_3!$F:$F,RES_CNXL_SQL_3!$A:$A,ES_MATRIX!$A14,RES_CNXL_SQL_3!$E:$E,ES_MATRIX!$C$2)</f>
        <v>0</v>
      </c>
      <c r="D14">
        <f>SUMIFS(RES_CNXL_SQL_3!$F:$F,RES_CNXL_SQL_3!$A:$A,ES_MATRIX!$A14,RES_CNXL_SQL_3!$E:$E,ES_MATRIX!$D$2)</f>
        <v>0</v>
      </c>
      <c r="E14">
        <f>SUMIFS(RES_CNXL_SQL_3!$F:$F,RES_CNXL_SQL_3!$A:$A,ES_MATRIX!$A14,RES_CNXL_SQL_3!$E:$E,ES_MATRIX!$E$2)</f>
        <v>0</v>
      </c>
      <c r="F14">
        <f>SUMIFS(RES_CNXL_SQL_3!$F:$F,RES_CNXL_SQL_3!$A:$A,ES_MATRIX!$A14,RES_CNXL_SQL_3!$E:$E,ES_MATRIX!$F$2)</f>
        <v>0</v>
      </c>
      <c r="G14">
        <f>SUMIFS(RES_CNXL_SQL_3!$F:$F,RES_CNXL_SQL_3!$A:$A,ES_MATRIX!$A14,RES_CNXL_SQL_3!$E:$E,ES_MATRIX!$G$2)</f>
        <v>0</v>
      </c>
      <c r="H14">
        <f>SUMIFS(RES_CNXL_SQL_3!$F:$F,RES_CNXL_SQL_3!$A:$A,ES_MATRIX!$A14,RES_CNXL_SQL_3!$E:$E,ES_MATRIX!$H$2)</f>
        <v>0</v>
      </c>
      <c r="I14">
        <f>SUMIFS(RES_CNXL_SQL_3!$F:$F,RES_CNXL_SQL_3!$A:$A,ES_MATRIX!$A14,RES_CNXL_SQL_3!$E:$E,ES_MATRIX!$I$2)</f>
        <v>0</v>
      </c>
      <c r="J14">
        <f>SUMIFS(RES_CNXL_SQL_3!$F:$F,RES_CNXL_SQL_3!$A:$A,ES_MATRIX!$A14,RES_CNXL_SQL_3!$E:$E,ES_MATRIX!$J$13)</f>
        <v>0</v>
      </c>
      <c r="K14" s="1" t="str">
        <f t="shared" ref="K14:K21" si="2"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>0</v>
      </c>
    </row>
    <row r="15" spans="1:15" x14ac:dyDescent="0.35">
      <c r="A15" t="s">
        <v>60</v>
      </c>
      <c r="B15">
        <f>SUMIFS(RES_CNXL_SQL_3!$F:$F,RES_CNXL_SQL_3!$A:$A,ES_MATRIX!$A15,RES_CNXL_SQL_3!$E:$E,ES_MATRIX!$B$2)</f>
        <v>0</v>
      </c>
      <c r="C15">
        <f>SUMIFS(RES_CNXL_SQL_3!$F:$F,RES_CNXL_SQL_3!$A:$A,ES_MATRIX!$A15,RES_CNXL_SQL_3!$E:$E,ES_MATRIX!$C$2)</f>
        <v>0</v>
      </c>
      <c r="D15">
        <f>SUMIFS(RES_CNXL_SQL_3!$F:$F,RES_CNXL_SQL_3!$A:$A,ES_MATRIX!$A15,RES_CNXL_SQL_3!$E:$E,ES_MATRIX!$D$2)</f>
        <v>0</v>
      </c>
      <c r="E15">
        <f>SUMIFS(RES_CNXL_SQL_3!$F:$F,RES_CNXL_SQL_3!$A:$A,ES_MATRIX!$A15,RES_CNXL_SQL_3!$E:$E,ES_MATRIX!$E$2)</f>
        <v>0</v>
      </c>
      <c r="F15">
        <f>SUMIFS(RES_CNXL_SQL_3!$F:$F,RES_CNXL_SQL_3!$A:$A,ES_MATRIX!$A15,RES_CNXL_SQL_3!$E:$E,ES_MATRIX!$F$2)</f>
        <v>0</v>
      </c>
      <c r="G15">
        <f>SUMIFS(RES_CNXL_SQL_3!$F:$F,RES_CNXL_SQL_3!$A:$A,ES_MATRIX!$A15,RES_CNXL_SQL_3!$E:$E,ES_MATRIX!$G$2)</f>
        <v>0</v>
      </c>
      <c r="H15">
        <f>SUMIFS(RES_CNXL_SQL_3!$F:$F,RES_CNXL_SQL_3!$A:$A,ES_MATRIX!$A15,RES_CNXL_SQL_3!$E:$E,ES_MATRIX!$H$2)</f>
        <v>0</v>
      </c>
      <c r="I15">
        <f>SUMIFS(RES_CNXL_SQL_3!$F:$F,RES_CNXL_SQL_3!$A:$A,ES_MATRIX!$A15,RES_CNXL_SQL_3!$E:$E,ES_MATRIX!$I$2)</f>
        <v>0</v>
      </c>
      <c r="J15">
        <f>SUMIFS(RES_CNXL_SQL_3!$F:$F,RES_CNXL_SQL_3!$A:$A,ES_MATRIX!$A15,RES_CNXL_SQL_3!$E:$E,ES_MATRIX!$J$13)</f>
        <v>0</v>
      </c>
      <c r="K15" s="1" t="str">
        <f t="shared" si="2"/>
        <v/>
      </c>
      <c r="L15">
        <f>SUM(B15:J15)</f>
        <v>0</v>
      </c>
    </row>
    <row r="16" spans="1:15" x14ac:dyDescent="0.35">
      <c r="A16" t="s">
        <v>64</v>
      </c>
      <c r="B16">
        <f>SUMIFS(RES_CNXL_SQL_3!$F:$F,RES_CNXL_SQL_3!$A:$A,ES_MATRIX!$A16,RES_CNXL_SQL_3!$E:$E,ES_MATRIX!$B$2)</f>
        <v>0</v>
      </c>
      <c r="C16">
        <f>SUMIFS(RES_CNXL_SQL_3!$F:$F,RES_CNXL_SQL_3!$A:$A,ES_MATRIX!$A16,RES_CNXL_SQL_3!$E:$E,ES_MATRIX!$C$2)</f>
        <v>0</v>
      </c>
      <c r="D16">
        <f>SUMIFS(RES_CNXL_SQL_3!$F:$F,RES_CNXL_SQL_3!$A:$A,ES_MATRIX!$A16,RES_CNXL_SQL_3!$E:$E,ES_MATRIX!$D$2)</f>
        <v>0</v>
      </c>
      <c r="E16">
        <f>SUMIFS(RES_CNXL_SQL_3!$F:$F,RES_CNXL_SQL_3!$A:$A,ES_MATRIX!$A16,RES_CNXL_SQL_3!$E:$E,ES_MATRIX!$E$2)</f>
        <v>0</v>
      </c>
      <c r="F16">
        <f>SUMIFS(RES_CNXL_SQL_3!$F:$F,RES_CNXL_SQL_3!$A:$A,ES_MATRIX!$A16,RES_CNXL_SQL_3!$E:$E,ES_MATRIX!$F$2)</f>
        <v>0</v>
      </c>
      <c r="G16">
        <f>SUMIFS(RES_CNXL_SQL_3!$F:$F,RES_CNXL_SQL_3!$A:$A,ES_MATRIX!$A16,RES_CNXL_SQL_3!$E:$E,ES_MATRIX!$G$2)</f>
        <v>0</v>
      </c>
      <c r="H16">
        <f>SUMIFS(RES_CNXL_SQL_3!$F:$F,RES_CNXL_SQL_3!$A:$A,ES_MATRIX!$A16,RES_CNXL_SQL_3!$E:$E,ES_MATRIX!$H$2)</f>
        <v>0</v>
      </c>
      <c r="I16">
        <f>SUMIFS(RES_CNXL_SQL_3!$F:$F,RES_CNXL_SQL_3!$A:$A,ES_MATRIX!$A16,RES_CNXL_SQL_3!$E:$E,ES_MATRIX!$I$2)</f>
        <v>0</v>
      </c>
      <c r="J16">
        <f>SUMIFS(RES_CNXL_SQL_3!$F:$F,RES_CNXL_SQL_3!$A:$A,ES_MATRIX!$A16,RES_CNXL_SQL_3!$E:$E,ES_MATRIX!$J$13)</f>
        <v>0</v>
      </c>
      <c r="K16" s="1" t="str">
        <f t="shared" si="2"/>
        <v/>
      </c>
      <c r="L16">
        <f>SUM(B16:J16)</f>
        <v>0</v>
      </c>
    </row>
    <row r="17" spans="1:12" x14ac:dyDescent="0.35">
      <c r="A17" t="s">
        <v>63</v>
      </c>
      <c r="B17">
        <f>SUMIFS(RES_CNXL_SQL_3!$F:$F,RES_CNXL_SQL_3!$A:$A,ES_MATRIX!$A17,RES_CNXL_SQL_3!$E:$E,ES_MATRIX!$B$2)</f>
        <v>0</v>
      </c>
      <c r="C17">
        <f>SUMIFS(RES_CNXL_SQL_3!$F:$F,RES_CNXL_SQL_3!$A:$A,ES_MATRIX!$A17,RES_CNXL_SQL_3!$E:$E,ES_MATRIX!$C$2)</f>
        <v>0</v>
      </c>
      <c r="D17">
        <f>SUMIFS(RES_CNXL_SQL_3!$F:$F,RES_CNXL_SQL_3!$A:$A,ES_MATRIX!$A17,RES_CNXL_SQL_3!$E:$E,ES_MATRIX!$D$2)</f>
        <v>0</v>
      </c>
      <c r="E17">
        <f>SUMIFS(RES_CNXL_SQL_3!$F:$F,RES_CNXL_SQL_3!$A:$A,ES_MATRIX!$A17,RES_CNXL_SQL_3!$E:$E,ES_MATRIX!$E$2)</f>
        <v>0</v>
      </c>
      <c r="F17">
        <f>SUMIFS(RES_CNXL_SQL_3!$F:$F,RES_CNXL_SQL_3!$A:$A,ES_MATRIX!$A17,RES_CNXL_SQL_3!$E:$E,ES_MATRIX!$F$2)</f>
        <v>0</v>
      </c>
      <c r="G17">
        <f>SUMIFS(RES_CNXL_SQL_3!$F:$F,RES_CNXL_SQL_3!$A:$A,ES_MATRIX!$A17,RES_CNXL_SQL_3!$E:$E,ES_MATRIX!$G$2)</f>
        <v>0</v>
      </c>
      <c r="H17">
        <f>SUMIFS(RES_CNXL_SQL_3!$F:$F,RES_CNXL_SQL_3!$A:$A,ES_MATRIX!$A17,RES_CNXL_SQL_3!$E:$E,ES_MATRIX!$H$2)</f>
        <v>0</v>
      </c>
      <c r="I17">
        <f>SUMIFS(RES_CNXL_SQL_3!$F:$F,RES_CNXL_SQL_3!$A:$A,ES_MATRIX!$A17,RES_CNXL_SQL_3!$E:$E,ES_MATRIX!$I$2)</f>
        <v>0</v>
      </c>
      <c r="J17">
        <f>SUMIFS(RES_CNXL_SQL_3!$F:$F,RES_CNXL_SQL_3!$A:$A,ES_MATRIX!$A17,RES_CNXL_SQL_3!$E:$E,ES_MATRIX!$J$13)</f>
        <v>0</v>
      </c>
      <c r="K17" s="1" t="str">
        <f t="shared" si="2"/>
        <v/>
      </c>
      <c r="L17">
        <f t="shared" ref="L17" si="3">SUM(B17:J17)</f>
        <v>0</v>
      </c>
    </row>
    <row r="18" spans="1:12" x14ac:dyDescent="0.35">
      <c r="A18" t="s">
        <v>65</v>
      </c>
      <c r="B18">
        <f>SUMIFS(RES_CNXL_SQL_3!$F:$F,RES_CNXL_SQL_3!$A:$A,ES_MATRIX!$A18,RES_CNXL_SQL_3!$E:$E,ES_MATRIX!$B$2)</f>
        <v>0</v>
      </c>
      <c r="C18">
        <f>SUMIFS(RES_CNXL_SQL_3!$F:$F,RES_CNXL_SQL_3!$A:$A,ES_MATRIX!$A18,RES_CNXL_SQL_3!$E:$E,ES_MATRIX!$C$2)</f>
        <v>0</v>
      </c>
      <c r="D18">
        <f>SUMIFS(RES_CNXL_SQL_3!$F:$F,RES_CNXL_SQL_3!$A:$A,ES_MATRIX!$A18,RES_CNXL_SQL_3!$E:$E,ES_MATRIX!$D$2)</f>
        <v>0</v>
      </c>
      <c r="E18">
        <f>SUMIFS(RES_CNXL_SQL_3!$F:$F,RES_CNXL_SQL_3!$A:$A,ES_MATRIX!$A18,RES_CNXL_SQL_3!$E:$E,ES_MATRIX!$E$2)</f>
        <v>0</v>
      </c>
      <c r="F18">
        <f>SUMIFS(RES_CNXL_SQL_3!$F:$F,RES_CNXL_SQL_3!$A:$A,ES_MATRIX!$A18,RES_CNXL_SQL_3!$E:$E,ES_MATRIX!$F$2)</f>
        <v>0</v>
      </c>
      <c r="G18">
        <f>SUMIFS(RES_CNXL_SQL_3!$F:$F,RES_CNXL_SQL_3!$A:$A,ES_MATRIX!$A18,RES_CNXL_SQL_3!$E:$E,ES_MATRIX!$G$2)</f>
        <v>0</v>
      </c>
      <c r="H18">
        <f>SUMIFS(RES_CNXL_SQL_3!$F:$F,RES_CNXL_SQL_3!$A:$A,ES_MATRIX!$A18,RES_CNXL_SQL_3!$E:$E,ES_MATRIX!$H$2)</f>
        <v>0</v>
      </c>
      <c r="I18">
        <f>SUMIFS(RES_CNXL_SQL_3!$F:$F,RES_CNXL_SQL_3!$A:$A,ES_MATRIX!$A18,RES_CNXL_SQL_3!$E:$E,ES_MATRIX!$I$2)</f>
        <v>0</v>
      </c>
      <c r="J18">
        <f>SUMIFS(RES_CNXL_SQL_3!$F:$F,RES_CNXL_SQL_3!$A:$A,ES_MATRIX!$A18,RES_CNXL_SQL_3!$E:$E,ES_MATRIX!$J$13)</f>
        <v>0</v>
      </c>
      <c r="K18" s="1" t="str">
        <f t="shared" si="2"/>
        <v/>
      </c>
      <c r="L18">
        <f>SUM(B18:J18)</f>
        <v>0</v>
      </c>
    </row>
    <row r="19" spans="1:12" x14ac:dyDescent="0.35">
      <c r="A19" t="s">
        <v>55</v>
      </c>
      <c r="B19">
        <f>SUMIFS(RES_CNXL_SQL_3!$F:$F,RES_CNXL_SQL_3!$A:$A,ES_MATRIX!$A19,RES_CNXL_SQL_3!$E:$E,ES_MATRIX!$B$2)</f>
        <v>0</v>
      </c>
      <c r="C19">
        <f>SUMIFS(RES_CNXL_SQL_3!$F:$F,RES_CNXL_SQL_3!$A:$A,ES_MATRIX!$A19,RES_CNXL_SQL_3!$E:$E,ES_MATRIX!$C$2)</f>
        <v>0</v>
      </c>
      <c r="D19">
        <f>SUMIFS(RES_CNXL_SQL_3!$F:$F,RES_CNXL_SQL_3!$A:$A,ES_MATRIX!$A19,RES_CNXL_SQL_3!$E:$E,ES_MATRIX!$D$2)</f>
        <v>0</v>
      </c>
      <c r="E19">
        <f>SUMIFS(RES_CNXL_SQL_3!$F:$F,RES_CNXL_SQL_3!$A:$A,ES_MATRIX!$A19,RES_CNXL_SQL_3!$E:$E,ES_MATRIX!$E$2)</f>
        <v>0</v>
      </c>
      <c r="F19">
        <f>SUMIFS(RES_CNXL_SQL_3!$F:$F,RES_CNXL_SQL_3!$A:$A,ES_MATRIX!$A19,RES_CNXL_SQL_3!$E:$E,ES_MATRIX!$F$2)</f>
        <v>0</v>
      </c>
      <c r="G19">
        <f>SUMIFS(RES_CNXL_SQL_3!$F:$F,RES_CNXL_SQL_3!$A:$A,ES_MATRIX!$A19,RES_CNXL_SQL_3!$E:$E,ES_MATRIX!$G$2)</f>
        <v>0</v>
      </c>
      <c r="H19">
        <f>SUMIFS(RES_CNXL_SQL_3!$F:$F,RES_CNXL_SQL_3!$A:$A,ES_MATRIX!$A19,RES_CNXL_SQL_3!$E:$E,ES_MATRIX!$H$2)</f>
        <v>0</v>
      </c>
      <c r="I19">
        <f>SUMIFS(RES_CNXL_SQL_3!$F:$F,RES_CNXL_SQL_3!$A:$A,ES_MATRIX!$A19,RES_CNXL_SQL_3!$E:$E,ES_MATRIX!$I$2)</f>
        <v>0</v>
      </c>
      <c r="J19">
        <f>SUMIFS(RES_CNXL_SQL_3!$F:$F,RES_CNXL_SQL_3!$A:$A,ES_MATRIX!$A19,RES_CNXL_SQL_3!$E:$E,ES_MATRIX!$J$13)</f>
        <v>0</v>
      </c>
      <c r="K19" s="1" t="str">
        <f t="shared" si="2"/>
        <v/>
      </c>
      <c r="L19">
        <f>SUM(B19:J19)</f>
        <v>0</v>
      </c>
    </row>
    <row r="20" spans="1:12" x14ac:dyDescent="0.35">
      <c r="A20" t="s">
        <v>62</v>
      </c>
      <c r="B20">
        <f>SUMIFS(RES_CNXL_SQL_3!$F:$F,RES_CNXL_SQL_3!$A:$A,ES_MATRIX!$A20,RES_CNXL_SQL_3!$E:$E,ES_MATRIX!$B$2)</f>
        <v>0</v>
      </c>
      <c r="C20">
        <f>SUMIFS(RES_CNXL_SQL_3!$F:$F,RES_CNXL_SQL_3!$A:$A,ES_MATRIX!$A20,RES_CNXL_SQL_3!$E:$E,ES_MATRIX!$C$2)</f>
        <v>0</v>
      </c>
      <c r="D20">
        <f>SUMIFS(RES_CNXL_SQL_3!$F:$F,RES_CNXL_SQL_3!$A:$A,ES_MATRIX!$A20,RES_CNXL_SQL_3!$E:$E,ES_MATRIX!$D$2)</f>
        <v>0</v>
      </c>
      <c r="E20">
        <f>SUMIFS(RES_CNXL_SQL_3!$F:$F,RES_CNXL_SQL_3!$A:$A,ES_MATRIX!$A20,RES_CNXL_SQL_3!$E:$E,ES_MATRIX!$E$2)</f>
        <v>0</v>
      </c>
      <c r="F20">
        <f>SUMIFS(RES_CNXL_SQL_3!$F:$F,RES_CNXL_SQL_3!$A:$A,ES_MATRIX!$A20,RES_CNXL_SQL_3!$E:$E,ES_MATRIX!$F$2)</f>
        <v>0</v>
      </c>
      <c r="G20">
        <f>SUMIFS(RES_CNXL_SQL_3!$F:$F,RES_CNXL_SQL_3!$A:$A,ES_MATRIX!$A20,RES_CNXL_SQL_3!$E:$E,ES_MATRIX!$G$2)</f>
        <v>0</v>
      </c>
      <c r="H20">
        <f>SUMIFS(RES_CNXL_SQL_3!$F:$F,RES_CNXL_SQL_3!$A:$A,ES_MATRIX!$A20,RES_CNXL_SQL_3!$E:$E,ES_MATRIX!$H$2)</f>
        <v>0</v>
      </c>
      <c r="I20">
        <f>SUMIFS(RES_CNXL_SQL_3!$F:$F,RES_CNXL_SQL_3!$A:$A,ES_MATRIX!$A20,RES_CNXL_SQL_3!$E:$E,ES_MATRIX!$I$2)</f>
        <v>0</v>
      </c>
      <c r="J20">
        <f>SUMIFS(RES_CNXL_SQL_3!$F:$F,RES_CNXL_SQL_3!$A:$A,ES_MATRIX!$A20,RES_CNXL_SQL_3!$E:$E,ES_MATRIX!$J$13)</f>
        <v>0</v>
      </c>
      <c r="K20" s="1" t="str">
        <f t="shared" si="2"/>
        <v/>
      </c>
      <c r="L20">
        <f>SUM(B20:J20)</f>
        <v>0</v>
      </c>
    </row>
    <row r="21" spans="1:12" x14ac:dyDescent="0.35">
      <c r="A21" t="s">
        <v>59</v>
      </c>
      <c r="B21">
        <f>SUMIFS(RES_CNXL_SQL_3!$F:$F,RES_CNXL_SQL_3!$A:$A,ES_MATRIX!$A21,RES_CNXL_SQL_3!$E:$E,ES_MATRIX!$B$2)</f>
        <v>0</v>
      </c>
      <c r="C21">
        <f>SUMIFS(RES_CNXL_SQL_3!$F:$F,RES_CNXL_SQL_3!$A:$A,ES_MATRIX!$A21,RES_CNXL_SQL_3!$E:$E,ES_MATRIX!$C$2)</f>
        <v>0</v>
      </c>
      <c r="D21">
        <f>SUMIFS(RES_CNXL_SQL_3!$F:$F,RES_CNXL_SQL_3!$A:$A,ES_MATRIX!$A21,RES_CNXL_SQL_3!$E:$E,ES_MATRIX!$D$2)</f>
        <v>0</v>
      </c>
      <c r="E21">
        <f>SUMIFS(RES_CNXL_SQL_3!$F:$F,RES_CNXL_SQL_3!$A:$A,ES_MATRIX!$A21,RES_CNXL_SQL_3!$E:$E,ES_MATRIX!$E$2)</f>
        <v>0</v>
      </c>
      <c r="F21">
        <f>SUMIFS(RES_CNXL_SQL_3!$F:$F,RES_CNXL_SQL_3!$A:$A,ES_MATRIX!$A21,RES_CNXL_SQL_3!$E:$E,ES_MATRIX!$F$2)</f>
        <v>0</v>
      </c>
      <c r="G21">
        <f>SUMIFS(RES_CNXL_SQL_3!$F:$F,RES_CNXL_SQL_3!$A:$A,ES_MATRIX!$A21,RES_CNXL_SQL_3!$E:$E,ES_MATRIX!$G$2)</f>
        <v>0</v>
      </c>
      <c r="H21">
        <f>SUMIFS(RES_CNXL_SQL_3!$F:$F,RES_CNXL_SQL_3!$A:$A,ES_MATRIX!$A21,RES_CNXL_SQL_3!$E:$E,ES_MATRIX!$H$2)</f>
        <v>0</v>
      </c>
      <c r="I21">
        <f>SUMIFS(RES_CNXL_SQL_3!$F:$F,RES_CNXL_SQL_3!$A:$A,ES_MATRIX!$A21,RES_CNXL_SQL_3!$E:$E,ES_MATRIX!$I$2)</f>
        <v>0</v>
      </c>
      <c r="J21">
        <f>SUMIFS(RES_CNXL_SQL_3!$F:$F,RES_CNXL_SQL_3!$A:$A,ES_MATRIX!$A21,RES_CNXL_SQL_3!$E:$E,ES_MATRIX!$J$13)</f>
        <v>0</v>
      </c>
      <c r="K21" s="1" t="str">
        <f t="shared" si="2"/>
        <v/>
      </c>
      <c r="L21">
        <f>SUM(B21:J21)</f>
        <v>0</v>
      </c>
    </row>
    <row r="24" spans="1:12" x14ac:dyDescent="0.35">
      <c r="A24" s="317" t="s">
        <v>429</v>
      </c>
      <c r="B24" s="317"/>
      <c r="E24" s="318" t="s">
        <v>430</v>
      </c>
      <c r="F24" s="318"/>
    </row>
    <row r="25" spans="1:12" x14ac:dyDescent="0.35">
      <c r="A25" t="s">
        <v>60</v>
      </c>
      <c r="B25" t="str">
        <f>IF((SUMIFS(CNXL_SQL_2!$F:$F,CNXL_SQL_2!$E:$E,'Pg2'!$T22))=0,"",SUMIFS(CNXL_SQL_2!$F:$F,CNXL_SQL_2!$E:$E,'Pg2'!$T22))</f>
        <v/>
      </c>
      <c r="E25" t="s">
        <v>60</v>
      </c>
      <c r="F25" t="str">
        <f ca="1">IF((SUMIF(RES_CNXL_SQL_3!$F:$F,RES_CNXL_SQL_3!$E:$E,'Pg2'!$T22))=0,"",SUMIF(RES_CNXL_SQL_3!$F:$F,RES_CNXL_SQL_3!$E:$E,'Pg2'!$T22))</f>
        <v/>
      </c>
    </row>
    <row r="26" spans="1:12" x14ac:dyDescent="0.35">
      <c r="A26" t="s">
        <v>63</v>
      </c>
      <c r="B26" t="str">
        <f>IF((SUMIFS(CNXL_SQL_2!$F:$F,CNXL_SQL_2!$E:$E,'Pg2'!$T23))=0,"",SUMIFS(CNXL_SQL_2!$F:$F,CNXL_SQL_2!$E:$E,'Pg2'!$T23))</f>
        <v/>
      </c>
      <c r="E26" t="s">
        <v>63</v>
      </c>
      <c r="F26" t="str">
        <f ca="1">IF((SUMIF(RES_CNXL_SQL_3!$F:$F,RES_CNXL_SQL_3!$E:$E,'Pg2'!$T23))=0,"",SUMIF(RES_CNXL_SQL_3!$F:$F,RES_CNXL_SQL_3!$E:$E,'Pg2'!$T23))</f>
        <v/>
      </c>
    </row>
    <row r="27" spans="1:12" x14ac:dyDescent="0.35">
      <c r="A27" t="s">
        <v>65</v>
      </c>
      <c r="B27" t="str">
        <f>IF((SUMIFS(CNXL_SQL_2!$F:$F,CNXL_SQL_2!$E:$E,'Pg2'!$T24))=0,"",SUMIFS(CNXL_SQL_2!$F:$F,CNXL_SQL_2!$E:$E,'Pg2'!$T24))</f>
        <v/>
      </c>
      <c r="E27" t="s">
        <v>65</v>
      </c>
      <c r="F27" t="str">
        <f ca="1">IF((SUMIF(RES_CNXL_SQL_3!$F:$F,RES_CNXL_SQL_3!$E:$E,'Pg2'!$T24))=0,"",SUMIF(RES_CNXL_SQL_3!$F:$F,RES_CNXL_SQL_3!$E:$E,'Pg2'!$T24))</f>
        <v/>
      </c>
    </row>
    <row r="28" spans="1:12" x14ac:dyDescent="0.35">
      <c r="A28" t="s">
        <v>55</v>
      </c>
      <c r="B28" t="str">
        <f>IF((SUMIFS(CNXL_SQL_2!$F:$F,CNXL_SQL_2!$E:$E,'Pg2'!$T25))=0,"",SUMIFS(CNXL_SQL_2!$F:$F,CNXL_SQL_2!$E:$E,'Pg2'!$T25))</f>
        <v/>
      </c>
      <c r="E28" t="s">
        <v>55</v>
      </c>
      <c r="F28" t="str">
        <f ca="1">IF((SUMIF(RES_CNXL_SQL_3!$F:$F,RES_CNXL_SQL_3!$E:$E,'Pg2'!$T25))=0,"",SUMIF(RES_CNXL_SQL_3!$F:$F,RES_CNXL_SQL_3!$E:$E,'Pg2'!$T25))</f>
        <v/>
      </c>
    </row>
    <row r="29" spans="1:12" x14ac:dyDescent="0.35">
      <c r="A29" t="s">
        <v>62</v>
      </c>
      <c r="B29" t="str">
        <f>IF((SUMIFS(CNXL_SQL_2!$F:$F,CNXL_SQL_2!$E:$E,'Pg2'!$T26))=0,"",SUMIFS(CNXL_SQL_2!$F:$F,CNXL_SQL_2!$E:$E,'Pg2'!$T26))</f>
        <v/>
      </c>
      <c r="E29" t="s">
        <v>62</v>
      </c>
      <c r="F29" t="str">
        <f ca="1">IF((SUMIF(RES_CNXL_SQL_3!$F:$F,RES_CNXL_SQL_3!$E:$E,'Pg2'!$T26))=0,"",SUMIF(RES_CNXL_SQL_3!$F:$F,RES_CNXL_SQL_3!$E:$E,'Pg2'!$T26))</f>
        <v/>
      </c>
    </row>
    <row r="30" spans="1:12" x14ac:dyDescent="0.35">
      <c r="A30" t="s">
        <v>59</v>
      </c>
      <c r="B30" t="str">
        <f>IF((SUMIFS(CNXL_SQL_2!$F:$F,CNXL_SQL_2!$E:$E,'Pg2'!$T27))=0,"",SUMIFS(CNXL_SQL_2!$F:$F,CNXL_SQL_2!$E:$E,'Pg2'!$T27))</f>
        <v/>
      </c>
      <c r="E30" t="s">
        <v>59</v>
      </c>
      <c r="F30" t="str">
        <f ca="1">IF((SUMIF(RES_CNXL_SQL_3!$F:$F,RES_CNXL_SQL_3!$E:$E,'Pg2'!$T27))=0,"",SUMIF(RES_CNXL_SQL_3!$F:$F,RES_CNXL_SQL_3!$E:$E,'Pg2'!$T27))</f>
        <v/>
      </c>
    </row>
  </sheetData>
  <mergeCells count="4">
    <mergeCell ref="A12:O12"/>
    <mergeCell ref="A1:O1"/>
    <mergeCell ref="A24:B24"/>
    <mergeCell ref="E24:F2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>
    <tabColor theme="4" tint="0.59999389629810485"/>
  </sheetPr>
  <dimension ref="A1:O22"/>
  <sheetViews>
    <sheetView workbookViewId="0">
      <selection activeCell="A6" sqref="A6"/>
    </sheetView>
  </sheetViews>
  <sheetFormatPr defaultRowHeight="14.5" x14ac:dyDescent="0.35"/>
  <cols>
    <col min="5" max="5" width="10.453125" bestFit="1" customWidth="1"/>
    <col min="6" max="6" width="12" bestFit="1" customWidth="1"/>
    <col min="7" max="7" width="12" customWidth="1"/>
  </cols>
  <sheetData>
    <row r="1" spans="1:15" x14ac:dyDescent="0.35">
      <c r="A1" t="s">
        <v>125</v>
      </c>
      <c r="B1" s="54" t="s">
        <v>76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</row>
    <row r="2" spans="1:15" x14ac:dyDescent="0.35">
      <c r="A2" s="124" t="s">
        <v>126</v>
      </c>
      <c r="B2" s="124">
        <v>1</v>
      </c>
      <c r="C2" s="126">
        <v>0.64036121099999999</v>
      </c>
      <c r="D2" s="126">
        <v>0.59110518499999998</v>
      </c>
      <c r="E2" s="126">
        <v>0.95381673499999997</v>
      </c>
      <c r="F2" s="126">
        <v>0.88</v>
      </c>
      <c r="G2" s="126">
        <v>0.99810472500000003</v>
      </c>
      <c r="H2" s="56"/>
      <c r="J2" s="50"/>
      <c r="K2" s="118"/>
      <c r="L2" t="s">
        <v>122</v>
      </c>
      <c r="O2" t="s">
        <v>127</v>
      </c>
    </row>
    <row r="3" spans="1:15" x14ac:dyDescent="0.35">
      <c r="A3" s="124" t="s">
        <v>126</v>
      </c>
      <c r="B3" s="124">
        <v>2</v>
      </c>
      <c r="C3" s="126">
        <v>0.70146715699999995</v>
      </c>
      <c r="D3" s="126">
        <v>0.62912314700000005</v>
      </c>
      <c r="E3" s="126">
        <v>0.96197095399999999</v>
      </c>
      <c r="F3" s="126">
        <v>0.88</v>
      </c>
      <c r="G3" s="126">
        <v>0.99835622199999996</v>
      </c>
      <c r="H3" s="56"/>
      <c r="J3" s="50"/>
      <c r="O3" t="s">
        <v>128</v>
      </c>
    </row>
    <row r="4" spans="1:15" x14ac:dyDescent="0.35">
      <c r="A4" s="124" t="s">
        <v>126</v>
      </c>
      <c r="B4" s="124">
        <v>3</v>
      </c>
      <c r="C4" s="127">
        <v>0.74388220000000005</v>
      </c>
      <c r="D4" s="127">
        <v>0.67392152599999999</v>
      </c>
      <c r="E4" s="127">
        <v>0.96560512899999995</v>
      </c>
      <c r="F4" s="126">
        <v>0.88</v>
      </c>
      <c r="G4" s="126">
        <v>0.997242356</v>
      </c>
      <c r="H4" s="56"/>
      <c r="J4" s="50"/>
      <c r="O4" t="s">
        <v>139</v>
      </c>
    </row>
    <row r="5" spans="1:15" x14ac:dyDescent="0.35">
      <c r="A5" s="118" t="s">
        <v>50</v>
      </c>
      <c r="B5" s="118">
        <v>4</v>
      </c>
      <c r="C5" s="119">
        <v>0.75549999999999995</v>
      </c>
      <c r="D5" s="119">
        <v>0.65059999999999996</v>
      </c>
      <c r="E5" s="119">
        <v>0.98109999999999997</v>
      </c>
      <c r="F5" s="120">
        <v>0.87039804263999998</v>
      </c>
      <c r="G5" s="120">
        <v>0.99831964887000002</v>
      </c>
      <c r="H5" s="121"/>
      <c r="J5" s="50"/>
      <c r="O5" t="s">
        <v>76</v>
      </c>
    </row>
    <row r="6" spans="1:15" x14ac:dyDescent="0.35">
      <c r="A6" s="118" t="s">
        <v>50</v>
      </c>
      <c r="B6" s="118">
        <v>5</v>
      </c>
      <c r="C6" s="119">
        <v>0.73650000000000004</v>
      </c>
      <c r="D6" s="119">
        <v>0.65039999999999998</v>
      </c>
      <c r="E6" s="119">
        <v>0.98229999999999995</v>
      </c>
      <c r="F6" s="120">
        <v>0.8605451838899999</v>
      </c>
      <c r="G6" s="120">
        <v>0.99843060721999999</v>
      </c>
      <c r="H6" s="121"/>
      <c r="J6" s="50"/>
    </row>
    <row r="7" spans="1:15" x14ac:dyDescent="0.35">
      <c r="A7" s="118" t="s">
        <v>50</v>
      </c>
      <c r="B7" s="118">
        <v>6</v>
      </c>
      <c r="C7" s="119">
        <v>0.71020000000000005</v>
      </c>
      <c r="D7" s="119">
        <v>0.60980000000000001</v>
      </c>
      <c r="E7" s="119">
        <v>0.97809999999999997</v>
      </c>
      <c r="F7" s="120">
        <v>0.85896548628999991</v>
      </c>
      <c r="G7" s="120">
        <v>0.99805699895</v>
      </c>
      <c r="H7" s="121"/>
      <c r="J7" s="50"/>
    </row>
    <row r="8" spans="1:15" x14ac:dyDescent="0.35">
      <c r="A8" s="118" t="s">
        <v>50</v>
      </c>
      <c r="B8" s="118">
        <v>7</v>
      </c>
      <c r="C8" s="119">
        <v>0.69979999999999998</v>
      </c>
      <c r="D8" s="119">
        <v>0.62160000000000004</v>
      </c>
      <c r="E8" s="119">
        <v>0.97019999999999995</v>
      </c>
      <c r="F8" s="120">
        <v>0.85824183129000009</v>
      </c>
      <c r="G8" s="120">
        <v>0.99735776297000001</v>
      </c>
      <c r="H8" s="121"/>
      <c r="J8" s="50"/>
      <c r="O8" t="s">
        <v>140</v>
      </c>
    </row>
    <row r="9" spans="1:15" x14ac:dyDescent="0.35">
      <c r="A9" s="118" t="s">
        <v>50</v>
      </c>
      <c r="B9" s="118">
        <v>8</v>
      </c>
      <c r="C9" s="119">
        <v>0.67679999999999996</v>
      </c>
      <c r="D9" s="119">
        <v>0.60370000000000001</v>
      </c>
      <c r="E9" s="119">
        <v>0.97489999999999999</v>
      </c>
      <c r="F9" s="120">
        <v>0.86700285557000001</v>
      </c>
      <c r="G9" s="120">
        <v>0.99777271282000002</v>
      </c>
      <c r="H9" s="121"/>
      <c r="J9" s="50"/>
      <c r="O9" t="s">
        <v>141</v>
      </c>
    </row>
    <row r="10" spans="1:15" x14ac:dyDescent="0.35">
      <c r="A10" s="118" t="s">
        <v>50</v>
      </c>
      <c r="B10" s="118">
        <v>9</v>
      </c>
      <c r="C10" s="119">
        <v>0.7631</v>
      </c>
      <c r="D10" s="119">
        <v>0.66120000000000001</v>
      </c>
      <c r="E10" s="119">
        <v>0.98619999999999997</v>
      </c>
      <c r="F10" s="120">
        <v>0.91544995185</v>
      </c>
      <c r="G10" s="122">
        <v>0.99877524597</v>
      </c>
      <c r="H10" s="121"/>
      <c r="J10" s="50"/>
      <c r="O10" t="s">
        <v>142</v>
      </c>
    </row>
    <row r="11" spans="1:15" x14ac:dyDescent="0.35">
      <c r="A11" s="118" t="s">
        <v>50</v>
      </c>
      <c r="B11" s="118">
        <v>10</v>
      </c>
      <c r="C11" s="119">
        <v>0.77349999999999997</v>
      </c>
      <c r="D11" s="119">
        <v>0.65939999999999999</v>
      </c>
      <c r="E11" s="119">
        <v>0.98870000000000002</v>
      </c>
      <c r="F11" s="120">
        <v>0.9223559296099999</v>
      </c>
      <c r="G11" s="120">
        <v>0.99899838599000002</v>
      </c>
      <c r="H11" s="121"/>
      <c r="J11" s="50"/>
      <c r="O11" t="s">
        <v>143</v>
      </c>
    </row>
    <row r="12" spans="1:15" x14ac:dyDescent="0.35">
      <c r="A12" s="118" t="s">
        <v>50</v>
      </c>
      <c r="B12" s="118">
        <v>11</v>
      </c>
      <c r="C12" s="119">
        <v>0.76939999999999997</v>
      </c>
      <c r="D12" s="119">
        <v>0.65620000000000001</v>
      </c>
      <c r="E12" s="119">
        <v>0.99209999999999998</v>
      </c>
      <c r="F12" s="120">
        <v>0.87021021980000002</v>
      </c>
      <c r="G12" s="120">
        <v>0.99929796030999996</v>
      </c>
      <c r="H12" s="121"/>
      <c r="J12" s="50"/>
      <c r="O12" t="s">
        <v>144</v>
      </c>
    </row>
    <row r="13" spans="1:15" x14ac:dyDescent="0.35">
      <c r="A13" s="118" t="s">
        <v>50</v>
      </c>
      <c r="B13" s="118">
        <v>12</v>
      </c>
      <c r="C13" s="119">
        <v>0.64219999999999999</v>
      </c>
      <c r="D13" s="119">
        <v>0.5766</v>
      </c>
      <c r="E13" s="119">
        <v>0.97009999999999996</v>
      </c>
      <c r="F13" s="120">
        <v>0.7736160581599999</v>
      </c>
      <c r="G13" s="120">
        <v>0.99734315588</v>
      </c>
      <c r="H13" s="121"/>
      <c r="J13" s="50"/>
    </row>
    <row r="14" spans="1:15" x14ac:dyDescent="0.35">
      <c r="C14" s="55"/>
      <c r="D14" s="55"/>
      <c r="E14" s="55"/>
      <c r="F14" s="55"/>
      <c r="G14" s="55"/>
      <c r="O14" t="s">
        <v>129</v>
      </c>
    </row>
    <row r="15" spans="1:15" x14ac:dyDescent="0.35">
      <c r="C15" s="50"/>
      <c r="D15" s="50"/>
      <c r="E15" s="123"/>
      <c r="F15" s="50"/>
      <c r="G15" s="123"/>
    </row>
    <row r="16" spans="1:15" x14ac:dyDescent="0.35">
      <c r="B16" s="54"/>
      <c r="C16" s="50"/>
      <c r="D16" s="50"/>
      <c r="E16" s="123"/>
      <c r="F16" s="50"/>
      <c r="G16" s="123"/>
      <c r="O16" t="s">
        <v>130</v>
      </c>
    </row>
    <row r="17" spans="2:15" x14ac:dyDescent="0.35">
      <c r="B17" s="54"/>
      <c r="O17" t="s">
        <v>130</v>
      </c>
    </row>
    <row r="18" spans="2:15" x14ac:dyDescent="0.35">
      <c r="B18" s="54"/>
      <c r="O18" t="s">
        <v>131</v>
      </c>
    </row>
    <row r="19" spans="2:15" x14ac:dyDescent="0.35">
      <c r="O19" t="s">
        <v>132</v>
      </c>
    </row>
    <row r="20" spans="2:15" x14ac:dyDescent="0.35">
      <c r="O20" t="s">
        <v>133</v>
      </c>
    </row>
    <row r="22" spans="2:15" x14ac:dyDescent="0.35">
      <c r="O22" t="s">
        <v>145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5"/>
  <dimension ref="A1:AF2"/>
  <sheetViews>
    <sheetView topLeftCell="U1" zoomScale="89" zoomScaleNormal="89" workbookViewId="0">
      <selection activeCell="B2" sqref="B2:AF2"/>
    </sheetView>
  </sheetViews>
  <sheetFormatPr defaultRowHeight="14.5" x14ac:dyDescent="0.35"/>
  <cols>
    <col min="1" max="1" width="12.7265625" bestFit="1" customWidth="1"/>
    <col min="2" max="2" width="15.26953125" bestFit="1" customWidth="1"/>
    <col min="3" max="3" width="10" bestFit="1" customWidth="1"/>
    <col min="4" max="4" width="15.453125" bestFit="1" customWidth="1"/>
    <col min="5" max="5" width="21.1796875" customWidth="1"/>
    <col min="6" max="6" width="20.26953125" customWidth="1"/>
    <col min="8" max="8" width="7.81640625" bestFit="1" customWidth="1"/>
    <col min="9" max="9" width="20" bestFit="1" customWidth="1"/>
    <col min="10" max="10" width="20.7265625" bestFit="1" customWidth="1"/>
    <col min="12" max="12" width="20" bestFit="1" customWidth="1"/>
    <col min="13" max="13" width="20.7265625" bestFit="1" customWidth="1"/>
    <col min="14" max="14" width="25.81640625" customWidth="1"/>
    <col min="15" max="15" width="24.453125" customWidth="1"/>
    <col min="21" max="21" width="26.54296875" bestFit="1" customWidth="1"/>
    <col min="22" max="22" width="27.26953125" bestFit="1" customWidth="1"/>
    <col min="23" max="23" width="27" customWidth="1"/>
    <col min="24" max="24" width="24.1796875" bestFit="1" customWidth="1"/>
    <col min="28" max="28" width="22.54296875" customWidth="1"/>
    <col min="30" max="30" width="14.453125" customWidth="1"/>
    <col min="31" max="31" width="15.81640625" customWidth="1"/>
    <col min="32" max="32" width="14.81640625" customWidth="1"/>
  </cols>
  <sheetData>
    <row r="1" spans="1:32" x14ac:dyDescent="0.35">
      <c r="A1" s="261" t="s">
        <v>193</v>
      </c>
      <c r="B1" s="261" t="s">
        <v>448</v>
      </c>
      <c r="C1" s="261" t="s">
        <v>195</v>
      </c>
      <c r="D1" s="261" t="s">
        <v>196</v>
      </c>
      <c r="E1" s="261" t="s">
        <v>449</v>
      </c>
      <c r="F1" s="261" t="s">
        <v>439</v>
      </c>
      <c r="G1" s="261" t="s">
        <v>182</v>
      </c>
      <c r="H1" s="261" t="s">
        <v>183</v>
      </c>
      <c r="I1" s="261" t="s">
        <v>184</v>
      </c>
      <c r="J1" s="261" t="s">
        <v>184</v>
      </c>
      <c r="K1" s="261" t="s">
        <v>450</v>
      </c>
      <c r="L1" s="261" t="s">
        <v>451</v>
      </c>
      <c r="M1" s="261" t="s">
        <v>452</v>
      </c>
      <c r="N1" s="261" t="s">
        <v>453</v>
      </c>
      <c r="O1" s="261" t="s">
        <v>440</v>
      </c>
      <c r="P1" s="261" t="s">
        <v>186</v>
      </c>
      <c r="Q1" s="261" t="s">
        <v>187</v>
      </c>
      <c r="R1" s="261" t="s">
        <v>188</v>
      </c>
      <c r="S1" s="261" t="s">
        <v>188</v>
      </c>
      <c r="T1" s="261" t="s">
        <v>454</v>
      </c>
      <c r="U1" s="261" t="s">
        <v>455</v>
      </c>
      <c r="V1" s="261" t="s">
        <v>456</v>
      </c>
      <c r="W1" s="261" t="s">
        <v>457</v>
      </c>
      <c r="X1" s="261" t="s">
        <v>458</v>
      </c>
      <c r="Y1" s="261" t="s">
        <v>459</v>
      </c>
      <c r="Z1" s="261" t="s">
        <v>460</v>
      </c>
      <c r="AA1" s="261" t="s">
        <v>461</v>
      </c>
      <c r="AB1" s="261" t="s">
        <v>461</v>
      </c>
      <c r="AC1" s="261" t="s">
        <v>189</v>
      </c>
      <c r="AD1" s="261" t="s">
        <v>190</v>
      </c>
      <c r="AE1" s="261" t="s">
        <v>191</v>
      </c>
      <c r="AF1" s="261" t="s">
        <v>192</v>
      </c>
    </row>
    <row r="2" spans="1:32" x14ac:dyDescent="0.35">
      <c r="A2" s="261" t="s">
        <v>49</v>
      </c>
      <c r="B2" s="270">
        <v>2024</v>
      </c>
      <c r="C2" s="270">
        <v>12</v>
      </c>
      <c r="D2" s="270" t="s">
        <v>50</v>
      </c>
      <c r="E2" s="270">
        <v>5680</v>
      </c>
      <c r="F2" s="270">
        <v>23</v>
      </c>
      <c r="G2" s="270">
        <v>3944</v>
      </c>
      <c r="H2" s="270">
        <v>4078</v>
      </c>
      <c r="I2" s="270">
        <v>3644</v>
      </c>
      <c r="J2" s="270">
        <v>4516</v>
      </c>
      <c r="K2" s="270">
        <v>866</v>
      </c>
      <c r="L2" s="270">
        <v>707</v>
      </c>
      <c r="M2" s="270">
        <v>2</v>
      </c>
      <c r="N2" s="270">
        <v>1705</v>
      </c>
      <c r="O2" s="270">
        <v>11</v>
      </c>
      <c r="P2" s="270">
        <v>1297</v>
      </c>
      <c r="Q2" s="270">
        <v>1331</v>
      </c>
      <c r="R2" s="270">
        <v>1219</v>
      </c>
      <c r="S2" s="270">
        <v>1452</v>
      </c>
      <c r="T2" s="270">
        <v>273</v>
      </c>
      <c r="U2" s="270">
        <v>230</v>
      </c>
      <c r="V2" s="270">
        <v>0</v>
      </c>
      <c r="W2" s="270">
        <v>1933</v>
      </c>
      <c r="X2" s="270">
        <v>1927</v>
      </c>
      <c r="Y2" s="270">
        <v>1320</v>
      </c>
      <c r="Z2" s="270">
        <v>1367</v>
      </c>
      <c r="AA2" s="270">
        <v>1171</v>
      </c>
      <c r="AB2" s="270">
        <v>1171</v>
      </c>
      <c r="AC2" s="270">
        <v>5680</v>
      </c>
      <c r="AD2" s="270">
        <v>5677</v>
      </c>
      <c r="AE2" s="270">
        <v>1705</v>
      </c>
      <c r="AF2" s="270">
        <v>1703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3"/>
  <dimension ref="A1:V10"/>
  <sheetViews>
    <sheetView topLeftCell="A2" workbookViewId="0">
      <selection activeCell="J20" sqref="J19:J20"/>
    </sheetView>
  </sheetViews>
  <sheetFormatPr defaultRowHeight="14.5" x14ac:dyDescent="0.35"/>
  <sheetData>
    <row r="1" spans="1:22" x14ac:dyDescent="0.35">
      <c r="A1" s="270" t="s">
        <v>193</v>
      </c>
      <c r="B1" s="270" t="s">
        <v>448</v>
      </c>
      <c r="C1" s="270" t="s">
        <v>195</v>
      </c>
      <c r="D1" s="270" t="s">
        <v>196</v>
      </c>
      <c r="E1" s="270" t="s">
        <v>449</v>
      </c>
      <c r="F1" s="270" t="s">
        <v>439</v>
      </c>
      <c r="G1" s="270" t="s">
        <v>182</v>
      </c>
      <c r="H1" s="270" t="s">
        <v>183</v>
      </c>
      <c r="I1" s="270" t="s">
        <v>184</v>
      </c>
      <c r="J1" s="270" t="s">
        <v>185</v>
      </c>
      <c r="K1" s="270" t="s">
        <v>450</v>
      </c>
      <c r="L1" s="270" t="s">
        <v>451</v>
      </c>
      <c r="M1" s="270" t="s">
        <v>452</v>
      </c>
      <c r="N1" s="270"/>
      <c r="O1" s="270"/>
      <c r="P1" s="270"/>
      <c r="Q1" s="270"/>
      <c r="R1" s="270"/>
      <c r="S1" s="270"/>
      <c r="T1" s="270"/>
      <c r="U1" s="270"/>
      <c r="V1" s="270"/>
    </row>
    <row r="2" spans="1:22" x14ac:dyDescent="0.35">
      <c r="A2" s="271" t="s">
        <v>49</v>
      </c>
      <c r="B2" s="271">
        <v>2024</v>
      </c>
      <c r="C2" s="270">
        <v>12</v>
      </c>
      <c r="D2" s="271" t="s">
        <v>50</v>
      </c>
      <c r="E2" s="271">
        <v>12584</v>
      </c>
      <c r="F2" s="271">
        <v>23</v>
      </c>
      <c r="G2" s="271">
        <v>8939</v>
      </c>
      <c r="H2" s="271">
        <v>9206</v>
      </c>
      <c r="I2" s="271">
        <v>8182</v>
      </c>
      <c r="J2" s="271">
        <v>10056</v>
      </c>
      <c r="K2" s="271">
        <v>866</v>
      </c>
      <c r="L2" s="271">
        <v>707</v>
      </c>
      <c r="M2" s="271">
        <v>2</v>
      </c>
      <c r="N2" s="271"/>
      <c r="O2" s="271"/>
      <c r="P2" s="271"/>
      <c r="Q2" s="271"/>
      <c r="R2" s="271"/>
      <c r="S2" s="271"/>
      <c r="T2" s="271"/>
      <c r="U2" s="271"/>
      <c r="V2" s="271"/>
    </row>
    <row r="3" spans="1:22" x14ac:dyDescent="0.35">
      <c r="A3" s="270"/>
      <c r="B3" s="270"/>
      <c r="C3" s="270"/>
      <c r="D3" s="270"/>
      <c r="E3" s="270"/>
      <c r="F3" s="270"/>
      <c r="G3" s="270"/>
      <c r="H3" s="270"/>
      <c r="I3" s="270"/>
      <c r="J3" s="270"/>
      <c r="K3" s="270"/>
      <c r="L3" s="270"/>
      <c r="M3" s="271"/>
      <c r="N3" s="271"/>
      <c r="O3" s="271"/>
      <c r="P3" s="271"/>
      <c r="Q3" s="271"/>
      <c r="R3" s="271"/>
      <c r="S3" s="271"/>
      <c r="T3" s="271"/>
      <c r="U3" s="271"/>
      <c r="V3" s="271"/>
    </row>
    <row r="5" spans="1:22" x14ac:dyDescent="0.35">
      <c r="A5" s="270"/>
      <c r="B5" s="270"/>
      <c r="C5" s="270"/>
      <c r="D5" s="270"/>
      <c r="E5" s="270"/>
      <c r="F5" s="270"/>
      <c r="G5" s="270"/>
      <c r="H5" s="270"/>
      <c r="I5" s="270"/>
      <c r="J5" s="270"/>
      <c r="K5" s="270"/>
      <c r="L5" s="270"/>
      <c r="M5" s="271"/>
      <c r="N5" s="271"/>
      <c r="O5" s="271"/>
      <c r="P5" s="271"/>
      <c r="Q5" s="271"/>
      <c r="R5" s="271"/>
      <c r="S5" s="271"/>
      <c r="T5" s="271"/>
      <c r="U5" s="271"/>
      <c r="V5" s="271"/>
    </row>
    <row r="7" spans="1:22" x14ac:dyDescent="0.35">
      <c r="A7" s="270"/>
      <c r="B7" s="270"/>
      <c r="C7" s="270"/>
      <c r="D7" s="270"/>
      <c r="E7" s="270"/>
      <c r="F7" s="270"/>
      <c r="G7" s="270"/>
      <c r="H7" s="270"/>
      <c r="I7" s="270"/>
      <c r="J7" s="270"/>
      <c r="K7" s="270"/>
      <c r="L7" s="270"/>
      <c r="M7" s="271"/>
      <c r="N7" s="271"/>
      <c r="O7" s="271"/>
      <c r="P7" s="271"/>
      <c r="Q7" s="271"/>
      <c r="R7" s="271"/>
      <c r="S7" s="271"/>
      <c r="T7" s="271"/>
      <c r="U7" s="271"/>
      <c r="V7" s="271"/>
    </row>
    <row r="8" spans="1:22" x14ac:dyDescent="0.35">
      <c r="A8" s="270"/>
      <c r="B8" s="270"/>
      <c r="C8" s="270"/>
      <c r="D8" s="270"/>
      <c r="E8" s="270"/>
      <c r="F8" s="270"/>
      <c r="G8" s="270"/>
      <c r="H8" s="270"/>
      <c r="I8" s="270"/>
      <c r="J8" s="270"/>
      <c r="K8" s="270"/>
      <c r="L8" s="270"/>
      <c r="M8" s="271"/>
      <c r="N8" s="271"/>
      <c r="O8" s="271"/>
      <c r="P8" s="271"/>
      <c r="Q8" s="271"/>
      <c r="R8" s="271"/>
      <c r="S8" s="271"/>
      <c r="T8" s="271"/>
      <c r="U8" s="271"/>
      <c r="V8" s="271"/>
    </row>
    <row r="10" spans="1:22" x14ac:dyDescent="0.35">
      <c r="A10" s="270"/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L10" s="270"/>
      <c r="M10" s="271"/>
      <c r="N10" s="271"/>
      <c r="O10" s="271"/>
      <c r="P10" s="271"/>
      <c r="Q10" s="271"/>
      <c r="R10" s="271"/>
      <c r="S10" s="271"/>
      <c r="T10" s="271"/>
      <c r="U10" s="271"/>
      <c r="V10" s="27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4"/>
  <dimension ref="A1:W10"/>
  <sheetViews>
    <sheetView workbookViewId="0">
      <selection sqref="A1:W10"/>
    </sheetView>
  </sheetViews>
  <sheetFormatPr defaultRowHeight="14.5" x14ac:dyDescent="0.35"/>
  <sheetData>
    <row r="1" spans="1:23" x14ac:dyDescent="0.35">
      <c r="A1" s="268" t="s">
        <v>193</v>
      </c>
      <c r="B1" s="268" t="s">
        <v>448</v>
      </c>
      <c r="C1" s="268" t="s">
        <v>195</v>
      </c>
      <c r="D1" s="268" t="s">
        <v>196</v>
      </c>
      <c r="E1" s="268" t="s">
        <v>449</v>
      </c>
      <c r="F1" s="268" t="s">
        <v>443</v>
      </c>
      <c r="G1" s="268" t="s">
        <v>182</v>
      </c>
      <c r="H1" s="268" t="s">
        <v>183</v>
      </c>
      <c r="I1" s="268" t="s">
        <v>184</v>
      </c>
      <c r="J1" s="268" t="s">
        <v>185</v>
      </c>
      <c r="K1" s="268" t="s">
        <v>450</v>
      </c>
      <c r="L1" s="268" t="s">
        <v>451</v>
      </c>
      <c r="M1" s="268" t="s">
        <v>452</v>
      </c>
      <c r="N1" s="268"/>
      <c r="O1" s="268"/>
      <c r="P1" s="268"/>
      <c r="Q1" s="268"/>
      <c r="R1" s="268"/>
      <c r="S1" s="268"/>
      <c r="T1" s="268"/>
      <c r="U1" s="268"/>
      <c r="V1" s="268"/>
      <c r="W1" s="268"/>
    </row>
    <row r="2" spans="1:23" x14ac:dyDescent="0.35">
      <c r="A2" s="268" t="s">
        <v>49</v>
      </c>
      <c r="B2" s="269">
        <v>2019</v>
      </c>
      <c r="C2" s="268">
        <v>12</v>
      </c>
      <c r="D2" s="268" t="s">
        <v>50</v>
      </c>
      <c r="E2" s="269">
        <v>86367</v>
      </c>
      <c r="F2" s="269">
        <v>1959</v>
      </c>
      <c r="G2" s="269">
        <v>56476</v>
      </c>
      <c r="H2" s="269">
        <v>57075</v>
      </c>
      <c r="I2" s="269">
        <v>52391</v>
      </c>
      <c r="J2" s="269">
        <v>64003</v>
      </c>
      <c r="K2" s="269">
        <v>14300</v>
      </c>
      <c r="L2" s="269">
        <v>11536</v>
      </c>
      <c r="M2" s="268">
        <v>171</v>
      </c>
      <c r="N2" s="269"/>
      <c r="O2" s="269"/>
      <c r="P2" s="269"/>
      <c r="Q2" s="269"/>
      <c r="R2" s="269"/>
      <c r="S2" s="269"/>
      <c r="T2" s="269"/>
      <c r="U2" s="269"/>
      <c r="V2" s="269"/>
      <c r="W2" s="269"/>
    </row>
    <row r="3" spans="1:23" x14ac:dyDescent="0.35">
      <c r="A3" s="268"/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9"/>
      <c r="O3" s="269"/>
      <c r="P3" s="269"/>
      <c r="Q3" s="269"/>
      <c r="R3" s="269"/>
      <c r="S3" s="269"/>
      <c r="T3" s="269"/>
      <c r="U3" s="269"/>
      <c r="V3" s="269"/>
      <c r="W3" s="269"/>
    </row>
    <row r="5" spans="1:23" x14ac:dyDescent="0.35">
      <c r="A5" s="268"/>
      <c r="B5" s="268"/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9"/>
      <c r="O5" s="269"/>
      <c r="P5" s="269"/>
      <c r="Q5" s="269"/>
      <c r="R5" s="269"/>
      <c r="S5" s="269"/>
      <c r="T5" s="269"/>
      <c r="U5" s="269"/>
      <c r="V5" s="269"/>
      <c r="W5" s="269"/>
    </row>
    <row r="7" spans="1:23" x14ac:dyDescent="0.35">
      <c r="A7" s="268"/>
      <c r="B7" s="268"/>
      <c r="C7" s="268"/>
      <c r="D7" s="268"/>
      <c r="E7" s="268"/>
      <c r="F7" s="268"/>
      <c r="G7" s="268"/>
      <c r="H7" s="268"/>
      <c r="I7" s="268"/>
      <c r="J7" s="268"/>
      <c r="K7" s="268"/>
      <c r="L7" s="268"/>
      <c r="M7" s="268"/>
      <c r="N7" s="269"/>
      <c r="O7" s="269"/>
      <c r="P7" s="269"/>
      <c r="Q7" s="269"/>
      <c r="R7" s="269"/>
      <c r="S7" s="269"/>
      <c r="T7" s="269"/>
      <c r="U7" s="269"/>
      <c r="V7" s="269"/>
      <c r="W7" s="269"/>
    </row>
    <row r="8" spans="1:23" x14ac:dyDescent="0.35">
      <c r="A8" s="268"/>
      <c r="B8" s="268"/>
      <c r="C8" s="268"/>
      <c r="D8" s="268"/>
      <c r="E8" s="268"/>
      <c r="F8" s="268"/>
      <c r="G8" s="268"/>
      <c r="H8" s="268"/>
      <c r="I8" s="268"/>
      <c r="J8" s="268"/>
      <c r="K8" s="268"/>
      <c r="L8" s="268"/>
      <c r="M8" s="268"/>
      <c r="N8" s="269"/>
      <c r="O8" s="269"/>
      <c r="P8" s="269"/>
      <c r="Q8" s="269"/>
      <c r="R8" s="269"/>
      <c r="S8" s="269"/>
      <c r="T8" s="269"/>
      <c r="U8" s="269"/>
      <c r="V8" s="269"/>
      <c r="W8" s="269"/>
    </row>
    <row r="10" spans="1:23" x14ac:dyDescent="0.35">
      <c r="A10" s="268"/>
      <c r="B10" s="268"/>
      <c r="C10" s="268"/>
      <c r="D10" s="268"/>
      <c r="E10" s="268"/>
      <c r="F10" s="268"/>
      <c r="G10" s="268"/>
      <c r="H10" s="268"/>
      <c r="I10" s="268"/>
      <c r="J10" s="268"/>
      <c r="K10" s="268"/>
      <c r="L10" s="268"/>
      <c r="M10" s="268"/>
      <c r="N10" s="269"/>
      <c r="O10" s="269"/>
      <c r="P10" s="269"/>
      <c r="Q10" s="269"/>
      <c r="R10" s="269"/>
      <c r="S10" s="269"/>
      <c r="T10" s="269"/>
      <c r="U10" s="269"/>
      <c r="V10" s="269"/>
      <c r="W10" s="26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6"/>
  <dimension ref="A1:T8"/>
  <sheetViews>
    <sheetView topLeftCell="Q1" workbookViewId="0">
      <selection activeCell="I16" sqref="I16"/>
    </sheetView>
  </sheetViews>
  <sheetFormatPr defaultRowHeight="14.5" x14ac:dyDescent="0.35"/>
  <cols>
    <col min="2" max="2" width="8.7265625" bestFit="1" customWidth="1"/>
    <col min="3" max="3" width="12.453125" bestFit="1" customWidth="1"/>
    <col min="4" max="4" width="9.26953125" bestFit="1" customWidth="1"/>
    <col min="5" max="5" width="15.453125" bestFit="1" customWidth="1"/>
    <col min="6" max="6" width="10.26953125" bestFit="1" customWidth="1"/>
    <col min="7" max="7" width="16.1796875" bestFit="1" customWidth="1"/>
    <col min="8" max="8" width="10.26953125" bestFit="1" customWidth="1"/>
    <col min="9" max="9" width="20" bestFit="1" customWidth="1"/>
    <col min="10" max="10" width="14.81640625" bestFit="1" customWidth="1"/>
    <col min="11" max="11" width="20.7265625" bestFit="1" customWidth="1"/>
    <col min="12" max="12" width="14.7265625" bestFit="1" customWidth="1"/>
    <col min="13" max="13" width="26.54296875" bestFit="1" customWidth="1"/>
    <col min="14" max="14" width="21.453125" bestFit="1" customWidth="1"/>
    <col min="15" max="15" width="27.26953125" bestFit="1" customWidth="1"/>
    <col min="16" max="16" width="13.1796875" customWidth="1"/>
    <col min="17" max="17" width="17" customWidth="1"/>
    <col min="19" max="19" width="16.7265625" customWidth="1"/>
  </cols>
  <sheetData>
    <row r="1" spans="1:20" ht="15" thickBot="1" x14ac:dyDescent="0.4">
      <c r="A1" s="178" t="s">
        <v>193</v>
      </c>
      <c r="B1" s="178" t="s">
        <v>194</v>
      </c>
      <c r="C1" s="178" t="s">
        <v>195</v>
      </c>
      <c r="D1" s="178" t="s">
        <v>196</v>
      </c>
      <c r="E1" s="178" t="s">
        <v>180</v>
      </c>
      <c r="F1" s="178" t="s">
        <v>197</v>
      </c>
      <c r="G1" s="178" t="s">
        <v>181</v>
      </c>
      <c r="H1" s="178" t="s">
        <v>198</v>
      </c>
      <c r="I1" s="178" t="s">
        <v>199</v>
      </c>
      <c r="J1" s="178" t="s">
        <v>118</v>
      </c>
      <c r="K1" s="178" t="s">
        <v>119</v>
      </c>
      <c r="L1" s="178" t="s">
        <v>120</v>
      </c>
      <c r="M1" s="178" t="s">
        <v>200</v>
      </c>
      <c r="N1" s="178" t="s">
        <v>201</v>
      </c>
      <c r="O1" s="178" t="s">
        <v>202</v>
      </c>
      <c r="P1" s="178" t="s">
        <v>203</v>
      </c>
      <c r="Q1" s="178" t="s">
        <v>204</v>
      </c>
      <c r="R1" s="178" t="s">
        <v>205</v>
      </c>
      <c r="S1" s="178" t="s">
        <v>206</v>
      </c>
    </row>
    <row r="2" spans="1:20" ht="15" thickBot="1" x14ac:dyDescent="0.4">
      <c r="A2" s="183" t="s">
        <v>51</v>
      </c>
      <c r="B2" s="183">
        <v>2024</v>
      </c>
      <c r="C2" s="184">
        <v>12</v>
      </c>
      <c r="D2" s="183" t="s">
        <v>50</v>
      </c>
      <c r="E2" s="183">
        <v>8735</v>
      </c>
      <c r="F2" s="183">
        <v>5946</v>
      </c>
      <c r="G2" s="183">
        <v>8709</v>
      </c>
      <c r="H2" s="183">
        <v>5359</v>
      </c>
      <c r="I2" s="183">
        <v>6835</v>
      </c>
      <c r="J2" s="183">
        <v>2655</v>
      </c>
      <c r="K2" s="183">
        <v>1943</v>
      </c>
      <c r="L2" s="183">
        <v>2654</v>
      </c>
      <c r="M2" s="183">
        <v>1752</v>
      </c>
      <c r="N2" s="183">
        <v>2179</v>
      </c>
      <c r="O2" s="183">
        <v>3015</v>
      </c>
      <c r="P2" s="183">
        <v>1999</v>
      </c>
      <c r="Q2" s="183">
        <v>3005</v>
      </c>
      <c r="R2" s="183">
        <v>1788</v>
      </c>
      <c r="S2" s="183">
        <v>2315</v>
      </c>
    </row>
    <row r="3" spans="1:20" ht="15" thickBot="1" x14ac:dyDescent="0.4">
      <c r="A3" s="185" t="s">
        <v>52</v>
      </c>
      <c r="B3" s="185">
        <v>2024</v>
      </c>
      <c r="C3" s="186">
        <v>12</v>
      </c>
      <c r="D3" s="185" t="s">
        <v>50</v>
      </c>
      <c r="E3" s="185">
        <v>5210</v>
      </c>
      <c r="F3" s="185">
        <v>3124</v>
      </c>
      <c r="G3" s="185">
        <v>5158</v>
      </c>
      <c r="H3" s="185">
        <v>2922</v>
      </c>
      <c r="I3" s="185">
        <v>3734</v>
      </c>
      <c r="J3" s="185">
        <v>1713</v>
      </c>
      <c r="K3" s="185">
        <v>1173</v>
      </c>
      <c r="L3" s="185">
        <v>1698</v>
      </c>
      <c r="M3" s="185">
        <v>1120</v>
      </c>
      <c r="N3" s="185">
        <v>1386</v>
      </c>
      <c r="O3" s="185">
        <v>1746</v>
      </c>
      <c r="P3" s="185">
        <v>977</v>
      </c>
      <c r="Q3" s="185">
        <v>1717</v>
      </c>
      <c r="R3" s="185">
        <v>917</v>
      </c>
      <c r="S3" s="185">
        <v>1176</v>
      </c>
    </row>
    <row r="6" spans="1:20" x14ac:dyDescent="0.35">
      <c r="T6" s="177"/>
    </row>
    <row r="7" spans="1:20" ht="15" thickBot="1" x14ac:dyDescent="0.4">
      <c r="T7" s="179"/>
    </row>
    <row r="8" spans="1:20" ht="15" thickBot="1" x14ac:dyDescent="0.4">
      <c r="A8" s="180"/>
      <c r="B8" s="181"/>
      <c r="C8" s="181"/>
      <c r="D8" s="182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7"/>
  <dimension ref="A1:F22"/>
  <sheetViews>
    <sheetView workbookViewId="0">
      <selection activeCell="L20" sqref="L20"/>
    </sheetView>
  </sheetViews>
  <sheetFormatPr defaultRowHeight="14.5" x14ac:dyDescent="0.35"/>
  <cols>
    <col min="2" max="2" width="9.54296875" bestFit="1" customWidth="1"/>
    <col min="4" max="4" width="30.7265625" bestFit="1" customWidth="1"/>
    <col min="5" max="5" width="15.453125" bestFit="1" customWidth="1"/>
  </cols>
  <sheetData>
    <row r="1" spans="1:6" x14ac:dyDescent="0.35">
      <c r="A1" t="s">
        <v>462</v>
      </c>
      <c r="B1" t="s">
        <v>463</v>
      </c>
      <c r="C1" t="s">
        <v>464</v>
      </c>
      <c r="D1" t="s">
        <v>465</v>
      </c>
      <c r="E1" t="s">
        <v>207</v>
      </c>
      <c r="F1" t="s">
        <v>466</v>
      </c>
    </row>
    <row r="2" spans="1:6" x14ac:dyDescent="0.35">
      <c r="A2" t="s">
        <v>60</v>
      </c>
      <c r="B2" s="53">
        <v>45629</v>
      </c>
      <c r="C2" t="s">
        <v>517</v>
      </c>
      <c r="D2" t="s">
        <v>56</v>
      </c>
      <c r="E2" t="s">
        <v>518</v>
      </c>
      <c r="F2">
        <v>10</v>
      </c>
    </row>
    <row r="3" spans="1:6" x14ac:dyDescent="0.35">
      <c r="A3" t="s">
        <v>55</v>
      </c>
      <c r="B3" s="53">
        <v>45629</v>
      </c>
      <c r="C3" t="s">
        <v>517</v>
      </c>
      <c r="D3" t="s">
        <v>56</v>
      </c>
      <c r="E3" t="s">
        <v>518</v>
      </c>
      <c r="F3">
        <v>1</v>
      </c>
    </row>
    <row r="4" spans="1:6" x14ac:dyDescent="0.35">
      <c r="B4" s="53"/>
    </row>
    <row r="5" spans="1:6" x14ac:dyDescent="0.35">
      <c r="B5" s="53"/>
    </row>
    <row r="6" spans="1:6" x14ac:dyDescent="0.35">
      <c r="B6" s="53"/>
    </row>
    <row r="7" spans="1:6" x14ac:dyDescent="0.35">
      <c r="B7" s="53"/>
    </row>
    <row r="8" spans="1:6" x14ac:dyDescent="0.35">
      <c r="B8" s="53"/>
    </row>
    <row r="9" spans="1:6" x14ac:dyDescent="0.35">
      <c r="B9" s="53"/>
    </row>
    <row r="10" spans="1:6" x14ac:dyDescent="0.35">
      <c r="B10" s="53"/>
    </row>
    <row r="11" spans="1:6" x14ac:dyDescent="0.35">
      <c r="B11" s="53"/>
    </row>
    <row r="12" spans="1:6" x14ac:dyDescent="0.35">
      <c r="B12" s="53"/>
    </row>
    <row r="13" spans="1:6" x14ac:dyDescent="0.35">
      <c r="B13" s="53"/>
    </row>
    <row r="14" spans="1:6" x14ac:dyDescent="0.35">
      <c r="B14" s="53"/>
    </row>
    <row r="15" spans="1:6" x14ac:dyDescent="0.35">
      <c r="B15" s="53"/>
    </row>
    <row r="16" spans="1:6" x14ac:dyDescent="0.35">
      <c r="B16" s="53"/>
    </row>
    <row r="17" spans="2:2" x14ac:dyDescent="0.35">
      <c r="B17" s="53"/>
    </row>
    <row r="18" spans="2:2" x14ac:dyDescent="0.35">
      <c r="B18" s="53"/>
    </row>
    <row r="19" spans="2:2" x14ac:dyDescent="0.35">
      <c r="B19" s="53"/>
    </row>
    <row r="20" spans="2:2" x14ac:dyDescent="0.35">
      <c r="B20" s="53"/>
    </row>
    <row r="21" spans="2:2" x14ac:dyDescent="0.35">
      <c r="B21" s="53"/>
    </row>
    <row r="22" spans="2:2" x14ac:dyDescent="0.35">
      <c r="B22" s="5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8"/>
  <dimension ref="A1:F17"/>
  <sheetViews>
    <sheetView topLeftCell="U1" workbookViewId="0">
      <selection activeCell="E8" sqref="E8"/>
    </sheetView>
  </sheetViews>
  <sheetFormatPr defaultRowHeight="14.5" x14ac:dyDescent="0.35"/>
  <cols>
    <col min="2" max="2" width="9.54296875" bestFit="1" customWidth="1"/>
    <col min="4" max="4" width="30.7265625" bestFit="1" customWidth="1"/>
    <col min="5" max="5" width="15.453125" bestFit="1" customWidth="1"/>
  </cols>
  <sheetData>
    <row r="1" spans="1:6" x14ac:dyDescent="0.35">
      <c r="A1" t="s">
        <v>462</v>
      </c>
      <c r="B1" t="s">
        <v>463</v>
      </c>
      <c r="C1" t="s">
        <v>464</v>
      </c>
      <c r="D1" t="s">
        <v>465</v>
      </c>
      <c r="E1" t="s">
        <v>207</v>
      </c>
      <c r="F1" t="s">
        <v>466</v>
      </c>
    </row>
    <row r="2" spans="1:6" x14ac:dyDescent="0.35">
      <c r="A2" t="s">
        <v>60</v>
      </c>
      <c r="B2" s="53">
        <v>45630</v>
      </c>
      <c r="C2" t="s">
        <v>517</v>
      </c>
      <c r="D2" t="s">
        <v>56</v>
      </c>
      <c r="F2">
        <v>6</v>
      </c>
    </row>
    <row r="3" spans="1:6" x14ac:dyDescent="0.35">
      <c r="A3" t="s">
        <v>65</v>
      </c>
      <c r="B3" s="53">
        <v>45630</v>
      </c>
      <c r="C3" t="s">
        <v>517</v>
      </c>
      <c r="D3" t="s">
        <v>67</v>
      </c>
      <c r="F3">
        <v>1</v>
      </c>
    </row>
    <row r="4" spans="1:6" x14ac:dyDescent="0.35">
      <c r="B4" s="53"/>
    </row>
    <row r="5" spans="1:6" x14ac:dyDescent="0.35">
      <c r="B5" s="53"/>
    </row>
    <row r="6" spans="1:6" x14ac:dyDescent="0.35">
      <c r="B6" s="53"/>
    </row>
    <row r="7" spans="1:6" x14ac:dyDescent="0.35">
      <c r="B7" s="53"/>
    </row>
    <row r="8" spans="1:6" x14ac:dyDescent="0.35">
      <c r="B8" s="53"/>
    </row>
    <row r="9" spans="1:6" x14ac:dyDescent="0.35">
      <c r="B9" s="53"/>
    </row>
    <row r="10" spans="1:6" x14ac:dyDescent="0.35">
      <c r="B10" s="53"/>
    </row>
    <row r="11" spans="1:6" x14ac:dyDescent="0.35">
      <c r="B11" s="53"/>
    </row>
    <row r="12" spans="1:6" x14ac:dyDescent="0.35">
      <c r="B12" s="53"/>
    </row>
    <row r="13" spans="1:6" x14ac:dyDescent="0.35">
      <c r="B13" s="53"/>
    </row>
    <row r="14" spans="1:6" x14ac:dyDescent="0.35">
      <c r="B14" s="53"/>
    </row>
    <row r="15" spans="1:6" x14ac:dyDescent="0.35">
      <c r="B15" s="53"/>
    </row>
    <row r="16" spans="1:6" x14ac:dyDescent="0.35">
      <c r="B16" s="53"/>
    </row>
    <row r="17" spans="2:2" x14ac:dyDescent="0.35">
      <c r="B17" s="5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9"/>
  <dimension ref="A1:E9"/>
  <sheetViews>
    <sheetView workbookViewId="0">
      <selection activeCell="D13" sqref="D13"/>
    </sheetView>
  </sheetViews>
  <sheetFormatPr defaultRowHeight="14.5" x14ac:dyDescent="0.35"/>
  <cols>
    <col min="1" max="1" width="12.26953125" bestFit="1" customWidth="1"/>
    <col min="2" max="2" width="12.7265625" bestFit="1" customWidth="1"/>
    <col min="3" max="3" width="15.26953125" bestFit="1" customWidth="1"/>
    <col min="4" max="4" width="10" bestFit="1" customWidth="1"/>
    <col min="5" max="5" width="15.453125" bestFit="1" customWidth="1"/>
  </cols>
  <sheetData>
    <row r="1" spans="1:5" x14ac:dyDescent="0.35">
      <c r="A1" t="s">
        <v>462</v>
      </c>
      <c r="B1" t="s">
        <v>448</v>
      </c>
      <c r="C1" t="s">
        <v>195</v>
      </c>
      <c r="D1" t="s">
        <v>196</v>
      </c>
      <c r="E1" t="s">
        <v>449</v>
      </c>
    </row>
    <row r="2" spans="1:5" x14ac:dyDescent="0.35">
      <c r="A2" t="s">
        <v>62</v>
      </c>
      <c r="B2" s="3">
        <v>2024</v>
      </c>
      <c r="C2">
        <v>12</v>
      </c>
      <c r="D2" t="s">
        <v>50</v>
      </c>
      <c r="E2">
        <v>213</v>
      </c>
    </row>
    <row r="3" spans="1:5" x14ac:dyDescent="0.35">
      <c r="A3" t="s">
        <v>60</v>
      </c>
      <c r="B3" s="3">
        <v>2024</v>
      </c>
      <c r="C3">
        <v>12</v>
      </c>
      <c r="D3" t="s">
        <v>50</v>
      </c>
      <c r="E3">
        <v>816</v>
      </c>
    </row>
    <row r="4" spans="1:5" x14ac:dyDescent="0.35">
      <c r="A4" t="s">
        <v>65</v>
      </c>
      <c r="B4" s="3">
        <v>2024</v>
      </c>
      <c r="C4">
        <v>12</v>
      </c>
      <c r="D4" t="s">
        <v>50</v>
      </c>
      <c r="E4">
        <v>186</v>
      </c>
    </row>
    <row r="5" spans="1:5" x14ac:dyDescent="0.35">
      <c r="A5" t="s">
        <v>63</v>
      </c>
      <c r="B5" s="3">
        <v>2024</v>
      </c>
      <c r="C5">
        <v>12</v>
      </c>
      <c r="D5" t="s">
        <v>50</v>
      </c>
      <c r="E5">
        <v>297</v>
      </c>
    </row>
    <row r="6" spans="1:5" x14ac:dyDescent="0.35">
      <c r="A6" t="s">
        <v>55</v>
      </c>
      <c r="B6" s="3">
        <v>2024</v>
      </c>
      <c r="C6">
        <v>12</v>
      </c>
      <c r="D6" t="s">
        <v>50</v>
      </c>
      <c r="E6">
        <v>193</v>
      </c>
    </row>
    <row r="7" spans="1:5" x14ac:dyDescent="0.35">
      <c r="B7" s="3"/>
    </row>
    <row r="8" spans="1:5" x14ac:dyDescent="0.35">
      <c r="B8" s="3"/>
    </row>
    <row r="9" spans="1:5" x14ac:dyDescent="0.35">
      <c r="B9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5"/>
  <dimension ref="A1:B3"/>
  <sheetViews>
    <sheetView topLeftCell="E1" workbookViewId="0">
      <selection sqref="A1:B3"/>
    </sheetView>
  </sheetViews>
  <sheetFormatPr defaultRowHeight="14.5" x14ac:dyDescent="0.35"/>
  <sheetData>
    <row r="1" spans="1:2" x14ac:dyDescent="0.35">
      <c r="A1" t="s">
        <v>467</v>
      </c>
      <c r="B1" t="s">
        <v>468</v>
      </c>
    </row>
    <row r="2" spans="1:2" x14ac:dyDescent="0.35">
      <c r="A2" t="s">
        <v>178</v>
      </c>
      <c r="B2">
        <v>10</v>
      </c>
    </row>
    <row r="3" spans="1:2" x14ac:dyDescent="0.35">
      <c r="A3">
        <v>2019</v>
      </c>
      <c r="B3">
        <v>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1"/>
  <dimension ref="A1:B3"/>
  <sheetViews>
    <sheetView topLeftCell="D1" workbookViewId="0">
      <selection activeCell="B4" sqref="B4"/>
    </sheetView>
  </sheetViews>
  <sheetFormatPr defaultRowHeight="14.5" x14ac:dyDescent="0.35"/>
  <cols>
    <col min="1" max="1" width="11.26953125" bestFit="1" customWidth="1"/>
    <col min="2" max="2" width="11.7265625" bestFit="1" customWidth="1"/>
  </cols>
  <sheetData>
    <row r="1" spans="1:2" x14ac:dyDescent="0.35">
      <c r="A1" t="s">
        <v>467</v>
      </c>
      <c r="B1" t="s">
        <v>468</v>
      </c>
    </row>
    <row r="2" spans="1:2" x14ac:dyDescent="0.35">
      <c r="A2" t="s">
        <v>37</v>
      </c>
      <c r="B2">
        <v>9</v>
      </c>
    </row>
    <row r="3" spans="1:2" x14ac:dyDescent="0.35">
      <c r="A3" t="s">
        <v>208</v>
      </c>
      <c r="B3">
        <v>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2"/>
  <dimension ref="A1:Z33"/>
  <sheetViews>
    <sheetView topLeftCell="I1" zoomScale="85" zoomScaleNormal="85" workbookViewId="0">
      <selection activeCell="G6" sqref="G6"/>
    </sheetView>
  </sheetViews>
  <sheetFormatPr defaultRowHeight="14.5" x14ac:dyDescent="0.35"/>
  <cols>
    <col min="2" max="2" width="20.453125" customWidth="1"/>
    <col min="6" max="6" width="20.54296875" customWidth="1"/>
    <col min="7" max="7" width="22.81640625" customWidth="1"/>
    <col min="9" max="9" width="16.54296875" customWidth="1"/>
    <col min="10" max="10" width="15" customWidth="1"/>
    <col min="11" max="11" width="12" customWidth="1"/>
    <col min="12" max="12" width="19.1796875" bestFit="1" customWidth="1"/>
    <col min="13" max="13" width="19" bestFit="1" customWidth="1"/>
  </cols>
  <sheetData>
    <row r="1" spans="1:26" x14ac:dyDescent="0.35">
      <c r="A1" s="262" t="s">
        <v>469</v>
      </c>
      <c r="B1" s="262" t="s">
        <v>470</v>
      </c>
      <c r="C1" s="262" t="s">
        <v>471</v>
      </c>
      <c r="D1" s="262" t="s">
        <v>193</v>
      </c>
      <c r="E1" s="262" t="s">
        <v>196</v>
      </c>
      <c r="F1" s="262" t="s">
        <v>211</v>
      </c>
      <c r="G1" s="262" t="s">
        <v>442</v>
      </c>
      <c r="H1" s="262" t="s">
        <v>212</v>
      </c>
      <c r="I1" s="262" t="s">
        <v>213</v>
      </c>
      <c r="J1" s="262" t="s">
        <v>214</v>
      </c>
      <c r="K1" s="262" t="s">
        <v>215</v>
      </c>
      <c r="L1" s="262" t="s">
        <v>216</v>
      </c>
      <c r="M1" s="262" t="s">
        <v>445</v>
      </c>
      <c r="N1" s="262" t="s">
        <v>217</v>
      </c>
      <c r="O1" s="262" t="s">
        <v>218</v>
      </c>
      <c r="P1" s="262" t="s">
        <v>219</v>
      </c>
      <c r="Q1" s="262" t="s">
        <v>220</v>
      </c>
      <c r="R1" s="262" t="s">
        <v>221</v>
      </c>
      <c r="S1" s="262" t="s">
        <v>439</v>
      </c>
      <c r="T1" s="262" t="s">
        <v>222</v>
      </c>
      <c r="U1" s="262" t="s">
        <v>223</v>
      </c>
      <c r="V1" s="262" t="s">
        <v>224</v>
      </c>
      <c r="W1" s="262" t="s">
        <v>225</v>
      </c>
      <c r="X1" s="262" t="s">
        <v>226</v>
      </c>
      <c r="Y1" s="262" t="s">
        <v>227</v>
      </c>
    </row>
    <row r="2" spans="1:26" x14ac:dyDescent="0.35">
      <c r="A2" s="264">
        <v>45630.493391805554</v>
      </c>
      <c r="B2" s="262" t="s">
        <v>109</v>
      </c>
      <c r="C2" s="262" t="s">
        <v>228</v>
      </c>
      <c r="D2" s="262" t="s">
        <v>49</v>
      </c>
      <c r="E2" s="262" t="s">
        <v>50</v>
      </c>
      <c r="F2" s="262">
        <v>13</v>
      </c>
      <c r="G2" s="262">
        <v>0</v>
      </c>
      <c r="H2" s="262">
        <v>11</v>
      </c>
      <c r="I2" s="262">
        <v>12</v>
      </c>
      <c r="J2" s="262">
        <v>12</v>
      </c>
      <c r="K2" s="262">
        <v>12</v>
      </c>
      <c r="L2" s="262">
        <v>13</v>
      </c>
      <c r="M2" s="262">
        <v>0</v>
      </c>
      <c r="N2" s="262">
        <v>10</v>
      </c>
      <c r="O2" s="262">
        <v>11</v>
      </c>
      <c r="P2" s="263">
        <v>11</v>
      </c>
      <c r="Q2" s="263">
        <v>11</v>
      </c>
      <c r="R2" s="263">
        <v>38</v>
      </c>
      <c r="S2" s="263">
        <v>0</v>
      </c>
      <c r="T2" s="263">
        <v>27</v>
      </c>
      <c r="U2" s="263">
        <v>33</v>
      </c>
      <c r="V2" s="263">
        <v>29</v>
      </c>
      <c r="W2" s="263">
        <v>29</v>
      </c>
      <c r="X2" s="263">
        <v>13</v>
      </c>
      <c r="Y2" s="263">
        <v>38</v>
      </c>
    </row>
    <row r="3" spans="1:26" x14ac:dyDescent="0.35">
      <c r="A3" s="264">
        <v>45630.493391805554</v>
      </c>
      <c r="B3" s="262" t="s">
        <v>107</v>
      </c>
      <c r="C3" s="262" t="s">
        <v>96</v>
      </c>
      <c r="D3" s="262" t="s">
        <v>49</v>
      </c>
      <c r="E3" s="262" t="s">
        <v>50</v>
      </c>
      <c r="F3" s="262">
        <v>59</v>
      </c>
      <c r="G3" s="262">
        <v>5</v>
      </c>
      <c r="H3" s="262">
        <v>47</v>
      </c>
      <c r="I3" s="262">
        <v>53</v>
      </c>
      <c r="J3" s="262">
        <v>36</v>
      </c>
      <c r="K3" s="262">
        <v>38</v>
      </c>
      <c r="L3" s="262">
        <v>64</v>
      </c>
      <c r="M3" s="262">
        <v>2</v>
      </c>
      <c r="N3" s="262">
        <v>38</v>
      </c>
      <c r="O3" s="262">
        <v>47</v>
      </c>
      <c r="P3" s="263">
        <v>37</v>
      </c>
      <c r="Q3" s="263">
        <v>39</v>
      </c>
      <c r="R3" s="263">
        <v>188</v>
      </c>
      <c r="S3" s="263">
        <v>10</v>
      </c>
      <c r="T3" s="263">
        <v>125</v>
      </c>
      <c r="U3" s="263">
        <v>154</v>
      </c>
      <c r="V3" s="263">
        <v>119</v>
      </c>
      <c r="W3" s="263">
        <v>124</v>
      </c>
      <c r="X3" s="263">
        <v>59</v>
      </c>
      <c r="Y3" s="263">
        <v>190</v>
      </c>
    </row>
    <row r="4" spans="1:26" x14ac:dyDescent="0.35">
      <c r="A4" s="264">
        <v>45630.493391805554</v>
      </c>
      <c r="B4" s="262" t="s">
        <v>103</v>
      </c>
      <c r="C4" s="262" t="s">
        <v>93</v>
      </c>
      <c r="D4" s="262" t="s">
        <v>49</v>
      </c>
      <c r="E4" s="262" t="s">
        <v>50</v>
      </c>
      <c r="F4" s="262">
        <v>208</v>
      </c>
      <c r="G4" s="262">
        <v>0</v>
      </c>
      <c r="H4" s="262">
        <v>108</v>
      </c>
      <c r="I4" s="262">
        <v>151</v>
      </c>
      <c r="J4" s="262">
        <v>124</v>
      </c>
      <c r="K4" s="262">
        <v>140</v>
      </c>
      <c r="L4" s="262">
        <v>237</v>
      </c>
      <c r="M4" s="262">
        <v>0</v>
      </c>
      <c r="N4" s="262">
        <v>111</v>
      </c>
      <c r="O4" s="262">
        <v>161</v>
      </c>
      <c r="P4" s="262">
        <v>124</v>
      </c>
      <c r="Q4" s="262">
        <v>145</v>
      </c>
      <c r="R4" s="262">
        <v>708</v>
      </c>
      <c r="S4" s="262">
        <v>1</v>
      </c>
      <c r="T4" s="262">
        <v>340</v>
      </c>
      <c r="U4" s="262">
        <v>481</v>
      </c>
      <c r="V4" s="262">
        <v>355</v>
      </c>
      <c r="W4" s="262">
        <v>425</v>
      </c>
      <c r="X4" s="262">
        <v>200</v>
      </c>
      <c r="Y4" s="262">
        <v>699</v>
      </c>
    </row>
    <row r="5" spans="1:26" x14ac:dyDescent="0.35">
      <c r="A5" s="264">
        <v>45630.493391805554</v>
      </c>
      <c r="B5" s="262" t="s">
        <v>109</v>
      </c>
      <c r="C5" s="262" t="s">
        <v>505</v>
      </c>
      <c r="D5" s="262" t="s">
        <v>49</v>
      </c>
      <c r="E5" s="262" t="s">
        <v>50</v>
      </c>
      <c r="F5" s="262">
        <v>0</v>
      </c>
      <c r="G5" s="262">
        <v>0</v>
      </c>
      <c r="H5" s="262">
        <v>0</v>
      </c>
      <c r="I5" s="262">
        <v>0</v>
      </c>
      <c r="J5" s="262">
        <v>0</v>
      </c>
      <c r="K5" s="262">
        <v>0</v>
      </c>
      <c r="L5" s="262">
        <v>1</v>
      </c>
      <c r="M5" s="262">
        <v>0</v>
      </c>
      <c r="N5" s="262">
        <v>1</v>
      </c>
      <c r="O5" s="262">
        <v>1</v>
      </c>
      <c r="P5" s="263">
        <v>1</v>
      </c>
      <c r="Q5" s="263">
        <v>1</v>
      </c>
      <c r="R5" s="263">
        <v>2</v>
      </c>
      <c r="S5" s="263">
        <v>0</v>
      </c>
      <c r="T5" s="263">
        <v>2</v>
      </c>
      <c r="U5" s="263">
        <v>2</v>
      </c>
      <c r="V5" s="263">
        <v>2</v>
      </c>
      <c r="W5" s="263">
        <v>2</v>
      </c>
      <c r="X5" s="263">
        <v>0</v>
      </c>
      <c r="Y5" s="263">
        <v>2</v>
      </c>
    </row>
    <row r="6" spans="1:26" x14ac:dyDescent="0.35">
      <c r="A6" s="264">
        <v>45630.493391805554</v>
      </c>
      <c r="B6" s="262" t="s">
        <v>109</v>
      </c>
      <c r="C6" s="262" t="s">
        <v>92</v>
      </c>
      <c r="D6" s="262" t="s">
        <v>49</v>
      </c>
      <c r="E6" s="262" t="s">
        <v>50</v>
      </c>
      <c r="F6" s="262">
        <v>114</v>
      </c>
      <c r="G6" s="262">
        <v>0</v>
      </c>
      <c r="H6" s="262">
        <v>74</v>
      </c>
      <c r="I6" s="262">
        <v>97</v>
      </c>
      <c r="J6" s="262">
        <v>81</v>
      </c>
      <c r="K6" s="262">
        <v>87</v>
      </c>
      <c r="L6" s="262">
        <v>127</v>
      </c>
      <c r="M6" s="262">
        <v>0</v>
      </c>
      <c r="N6" s="262">
        <v>67</v>
      </c>
      <c r="O6" s="262">
        <v>101</v>
      </c>
      <c r="P6" s="262">
        <v>90</v>
      </c>
      <c r="Q6" s="262">
        <v>94</v>
      </c>
      <c r="R6" s="262">
        <v>369</v>
      </c>
      <c r="S6" s="262">
        <v>0</v>
      </c>
      <c r="T6" s="262">
        <v>218</v>
      </c>
      <c r="U6" s="262">
        <v>301</v>
      </c>
      <c r="V6" s="262">
        <v>255</v>
      </c>
      <c r="W6" s="262">
        <v>269</v>
      </c>
      <c r="X6" s="262">
        <v>113</v>
      </c>
      <c r="Y6" s="262">
        <v>368</v>
      </c>
    </row>
    <row r="7" spans="1:26" x14ac:dyDescent="0.35">
      <c r="A7" s="264">
        <v>45630.493391805554</v>
      </c>
      <c r="B7" s="262" t="s">
        <v>106</v>
      </c>
      <c r="C7" s="262" t="s">
        <v>91</v>
      </c>
      <c r="D7" s="262" t="s">
        <v>49</v>
      </c>
      <c r="E7" s="262" t="s">
        <v>50</v>
      </c>
      <c r="F7" s="262">
        <v>107</v>
      </c>
      <c r="G7" s="262">
        <v>0</v>
      </c>
      <c r="H7" s="262">
        <v>70</v>
      </c>
      <c r="I7" s="262">
        <v>91</v>
      </c>
      <c r="J7" s="262">
        <v>82</v>
      </c>
      <c r="K7" s="262">
        <v>86</v>
      </c>
      <c r="L7" s="262">
        <v>109</v>
      </c>
      <c r="M7" s="262">
        <v>0</v>
      </c>
      <c r="N7" s="262">
        <v>64</v>
      </c>
      <c r="O7" s="262">
        <v>81</v>
      </c>
      <c r="P7" s="263">
        <v>82</v>
      </c>
      <c r="Q7" s="263">
        <v>84</v>
      </c>
      <c r="R7" s="263">
        <v>328</v>
      </c>
      <c r="S7" s="263">
        <v>0</v>
      </c>
      <c r="T7" s="263">
        <v>185</v>
      </c>
      <c r="U7" s="263">
        <v>236</v>
      </c>
      <c r="V7" s="263">
        <v>225</v>
      </c>
      <c r="W7" s="263">
        <v>236</v>
      </c>
      <c r="X7" s="263">
        <v>107</v>
      </c>
      <c r="Y7" s="263">
        <v>330</v>
      </c>
      <c r="Z7" s="3"/>
    </row>
    <row r="8" spans="1:26" x14ac:dyDescent="0.35">
      <c r="A8" s="264">
        <v>45630.493391805554</v>
      </c>
      <c r="B8" s="262" t="s">
        <v>104</v>
      </c>
      <c r="C8" s="262" t="s">
        <v>90</v>
      </c>
      <c r="D8" s="262" t="s">
        <v>49</v>
      </c>
      <c r="E8" s="262" t="s">
        <v>50</v>
      </c>
      <c r="F8" s="262">
        <v>175</v>
      </c>
      <c r="G8" s="262">
        <v>1</v>
      </c>
      <c r="H8" s="262">
        <v>142</v>
      </c>
      <c r="I8" s="262">
        <v>155</v>
      </c>
      <c r="J8" s="262">
        <v>154</v>
      </c>
      <c r="K8" s="262">
        <v>156</v>
      </c>
      <c r="L8" s="262">
        <v>188</v>
      </c>
      <c r="M8" s="262">
        <v>0</v>
      </c>
      <c r="N8" s="262">
        <v>122</v>
      </c>
      <c r="O8" s="262">
        <v>162</v>
      </c>
      <c r="P8" s="263">
        <v>114</v>
      </c>
      <c r="Q8" s="263">
        <v>123</v>
      </c>
      <c r="R8" s="263">
        <v>562</v>
      </c>
      <c r="S8" s="263">
        <v>1</v>
      </c>
      <c r="T8" s="263">
        <v>390</v>
      </c>
      <c r="U8" s="263">
        <v>474</v>
      </c>
      <c r="V8" s="263">
        <v>399</v>
      </c>
      <c r="W8" s="263">
        <v>413</v>
      </c>
      <c r="X8" s="263">
        <v>171</v>
      </c>
      <c r="Y8" s="263">
        <v>560</v>
      </c>
    </row>
    <row r="9" spans="1:26" x14ac:dyDescent="0.35">
      <c r="A9" s="264">
        <v>45630.493391805554</v>
      </c>
      <c r="B9" s="262" t="s">
        <v>106</v>
      </c>
      <c r="C9" s="262" t="s">
        <v>229</v>
      </c>
      <c r="D9" s="262" t="s">
        <v>49</v>
      </c>
      <c r="E9" s="262" t="s">
        <v>50</v>
      </c>
      <c r="F9" s="262">
        <v>7</v>
      </c>
      <c r="G9" s="262">
        <v>0</v>
      </c>
      <c r="H9" s="262">
        <v>5</v>
      </c>
      <c r="I9" s="262">
        <v>6</v>
      </c>
      <c r="J9" s="262">
        <v>7</v>
      </c>
      <c r="K9" s="262">
        <v>7</v>
      </c>
      <c r="L9" s="262">
        <v>8</v>
      </c>
      <c r="M9" s="262">
        <v>0</v>
      </c>
      <c r="N9" s="262">
        <v>6</v>
      </c>
      <c r="O9" s="262">
        <v>7</v>
      </c>
      <c r="P9" s="262">
        <v>7</v>
      </c>
      <c r="Q9" s="262">
        <v>7</v>
      </c>
      <c r="R9" s="262">
        <v>23</v>
      </c>
      <c r="S9" s="262">
        <v>0</v>
      </c>
      <c r="T9" s="262">
        <v>16</v>
      </c>
      <c r="U9" s="262">
        <v>18</v>
      </c>
      <c r="V9" s="262">
        <v>18</v>
      </c>
      <c r="W9" s="262">
        <v>18</v>
      </c>
      <c r="X9" s="262">
        <v>7</v>
      </c>
      <c r="Y9" s="262">
        <v>23</v>
      </c>
      <c r="Z9" s="3"/>
    </row>
    <row r="10" spans="1:26" x14ac:dyDescent="0.35">
      <c r="A10" s="264">
        <v>45630.493391805554</v>
      </c>
      <c r="B10" s="262" t="s">
        <v>108</v>
      </c>
      <c r="C10" s="262" t="s">
        <v>94</v>
      </c>
      <c r="D10" s="262" t="s">
        <v>49</v>
      </c>
      <c r="E10" s="262" t="s">
        <v>50</v>
      </c>
      <c r="F10" s="262">
        <v>167</v>
      </c>
      <c r="G10" s="262">
        <v>0</v>
      </c>
      <c r="H10" s="262">
        <v>133</v>
      </c>
      <c r="I10" s="262">
        <v>152</v>
      </c>
      <c r="J10" s="262">
        <v>124</v>
      </c>
      <c r="K10" s="262">
        <v>127</v>
      </c>
      <c r="L10" s="262">
        <v>205</v>
      </c>
      <c r="M10" s="262">
        <v>0</v>
      </c>
      <c r="N10" s="262">
        <v>152</v>
      </c>
      <c r="O10" s="262">
        <v>183</v>
      </c>
      <c r="P10" s="263">
        <v>145</v>
      </c>
      <c r="Q10" s="263">
        <v>154</v>
      </c>
      <c r="R10" s="263">
        <v>598</v>
      </c>
      <c r="S10" s="263">
        <v>0</v>
      </c>
      <c r="T10" s="263">
        <v>467</v>
      </c>
      <c r="U10" s="263">
        <v>540</v>
      </c>
      <c r="V10" s="263">
        <v>443</v>
      </c>
      <c r="W10" s="263">
        <v>462</v>
      </c>
      <c r="X10" s="263">
        <v>167</v>
      </c>
      <c r="Y10" s="263">
        <v>602</v>
      </c>
      <c r="Z10" s="3"/>
    </row>
    <row r="11" spans="1:26" x14ac:dyDescent="0.35">
      <c r="A11" s="264">
        <v>45630.493391805554</v>
      </c>
      <c r="B11" s="262" t="s">
        <v>105</v>
      </c>
      <c r="C11" s="262" t="s">
        <v>95</v>
      </c>
      <c r="D11" s="262" t="s">
        <v>49</v>
      </c>
      <c r="E11" s="262" t="s">
        <v>50</v>
      </c>
      <c r="F11" s="262">
        <v>29</v>
      </c>
      <c r="G11" s="262">
        <v>1</v>
      </c>
      <c r="H11" s="262">
        <v>17</v>
      </c>
      <c r="I11" s="262">
        <v>22</v>
      </c>
      <c r="J11" s="262">
        <v>16</v>
      </c>
      <c r="K11" s="262">
        <v>17</v>
      </c>
      <c r="L11" s="262">
        <v>30</v>
      </c>
      <c r="M11" s="262">
        <v>0</v>
      </c>
      <c r="N11" s="262">
        <v>21</v>
      </c>
      <c r="O11" s="262">
        <v>24</v>
      </c>
      <c r="P11" s="262">
        <v>21</v>
      </c>
      <c r="Q11" s="262">
        <v>21</v>
      </c>
      <c r="R11" s="262">
        <v>89</v>
      </c>
      <c r="S11" s="262">
        <v>1</v>
      </c>
      <c r="T11" s="262">
        <v>64</v>
      </c>
      <c r="U11" s="262">
        <v>74</v>
      </c>
      <c r="V11" s="262">
        <v>65</v>
      </c>
      <c r="W11" s="262">
        <v>66</v>
      </c>
      <c r="X11" s="262">
        <v>29</v>
      </c>
      <c r="Y11" s="262">
        <v>89</v>
      </c>
    </row>
    <row r="12" spans="1:26" x14ac:dyDescent="0.35">
      <c r="A12" s="107">
        <v>45630.493391805554</v>
      </c>
      <c r="B12" t="s">
        <v>123</v>
      </c>
      <c r="C12" t="s">
        <v>123</v>
      </c>
      <c r="D12" t="s">
        <v>49</v>
      </c>
      <c r="E12" t="s">
        <v>50</v>
      </c>
      <c r="F12">
        <v>846</v>
      </c>
      <c r="G12">
        <v>4</v>
      </c>
      <c r="H12">
        <v>591</v>
      </c>
      <c r="I12">
        <v>721</v>
      </c>
      <c r="J12">
        <v>680</v>
      </c>
      <c r="K12">
        <v>680</v>
      </c>
      <c r="L12" s="115">
        <v>973</v>
      </c>
      <c r="M12" s="115">
        <v>4</v>
      </c>
      <c r="N12">
        <v>575</v>
      </c>
      <c r="O12">
        <v>759</v>
      </c>
      <c r="P12" s="3">
        <v>707</v>
      </c>
      <c r="Q12" s="3">
        <v>707</v>
      </c>
      <c r="R12" s="3">
        <v>2838</v>
      </c>
      <c r="S12" s="3">
        <v>10</v>
      </c>
      <c r="T12">
        <v>1789</v>
      </c>
      <c r="U12">
        <v>2260</v>
      </c>
      <c r="V12" s="3">
        <v>2083</v>
      </c>
      <c r="W12" s="3">
        <v>2083</v>
      </c>
      <c r="X12">
        <v>846</v>
      </c>
      <c r="Y12">
        <v>2838</v>
      </c>
    </row>
    <row r="13" spans="1:26" x14ac:dyDescent="0.35">
      <c r="A13" s="107"/>
      <c r="I13" s="3"/>
      <c r="L13" s="115"/>
      <c r="M13" s="115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35">
      <c r="A14" s="107"/>
      <c r="L14" s="115"/>
      <c r="M14" s="115"/>
      <c r="N14" s="3"/>
      <c r="O14" s="3"/>
      <c r="P14" s="3"/>
      <c r="Q14" s="3"/>
      <c r="R14" s="3"/>
      <c r="S14" s="3"/>
      <c r="T14" s="3"/>
      <c r="U14" s="3"/>
      <c r="V14" s="3"/>
      <c r="W14" s="3"/>
      <c r="Y14" s="3"/>
      <c r="Z14" s="3"/>
    </row>
    <row r="15" spans="1:26" x14ac:dyDescent="0.35">
      <c r="A15" s="107"/>
      <c r="L15" s="115"/>
      <c r="M15" s="115"/>
      <c r="O15" s="3"/>
      <c r="R15" s="3"/>
      <c r="S15" s="3"/>
      <c r="T15" s="3"/>
      <c r="U15" s="3"/>
      <c r="V15" s="3"/>
      <c r="W15" s="3"/>
      <c r="Y15" s="3"/>
      <c r="Z15" s="3"/>
    </row>
    <row r="16" spans="1:26" x14ac:dyDescent="0.35">
      <c r="A16" s="107"/>
      <c r="L16" s="115"/>
      <c r="M16" s="115"/>
      <c r="P16" s="3"/>
      <c r="Q16" s="3"/>
      <c r="R16" s="3"/>
      <c r="S16" s="3"/>
      <c r="V16" s="3"/>
      <c r="W16" s="3"/>
    </row>
    <row r="17" spans="1:26" x14ac:dyDescent="0.35">
      <c r="A17" s="107"/>
      <c r="L17" s="115"/>
      <c r="M17" s="115"/>
      <c r="P17" s="3"/>
      <c r="Q17" s="3"/>
      <c r="R17" s="3"/>
      <c r="S17" s="3"/>
      <c r="V17" s="3"/>
      <c r="W17" s="3"/>
    </row>
    <row r="18" spans="1:26" x14ac:dyDescent="0.35">
      <c r="A18" s="107"/>
      <c r="L18" s="115"/>
      <c r="M18" s="115"/>
      <c r="N18" s="3"/>
      <c r="O18" s="3"/>
      <c r="P18" s="3"/>
      <c r="Q18" s="3"/>
      <c r="R18" s="3"/>
      <c r="S18" s="3"/>
      <c r="T18" s="3"/>
      <c r="U18" s="3"/>
      <c r="V18" s="3"/>
      <c r="W18" s="3"/>
      <c r="Y18" s="3"/>
      <c r="Z18" s="3"/>
    </row>
    <row r="19" spans="1:26" x14ac:dyDescent="0.35">
      <c r="A19" s="107"/>
      <c r="L19" s="114"/>
      <c r="M19" s="114"/>
      <c r="R19" s="3"/>
      <c r="S19" s="3"/>
      <c r="T19" s="3"/>
      <c r="U19" s="3"/>
      <c r="V19" s="3"/>
      <c r="W19" s="3"/>
      <c r="Z19" s="3"/>
    </row>
    <row r="20" spans="1:26" x14ac:dyDescent="0.35">
      <c r="A20" s="107"/>
      <c r="L20" s="115"/>
      <c r="M20" s="115"/>
      <c r="N20" s="3"/>
      <c r="O20" s="3"/>
      <c r="P20" s="3"/>
      <c r="Q20" s="3"/>
      <c r="R20" s="3"/>
      <c r="S20" s="3"/>
      <c r="T20" s="3"/>
      <c r="U20" s="3"/>
      <c r="V20" s="3"/>
      <c r="W20" s="3"/>
      <c r="Y20" s="3"/>
      <c r="Z20" s="3"/>
    </row>
    <row r="21" spans="1:26" x14ac:dyDescent="0.35">
      <c r="A21" s="107"/>
      <c r="L21" s="115"/>
      <c r="M21" s="115"/>
      <c r="P21" s="3"/>
      <c r="Q21" s="3"/>
      <c r="R21" s="3"/>
      <c r="S21" s="3"/>
      <c r="V21" s="3"/>
      <c r="W21" s="3"/>
    </row>
    <row r="24" spans="1:26" x14ac:dyDescent="0.35">
      <c r="A24" s="107"/>
    </row>
    <row r="25" spans="1:26" x14ac:dyDescent="0.35">
      <c r="A25" s="107"/>
      <c r="R25" s="3"/>
      <c r="S25" s="3"/>
      <c r="T25" s="3"/>
      <c r="U25" s="3"/>
      <c r="V25" s="3"/>
      <c r="W25" s="3"/>
      <c r="Y25" s="3"/>
    </row>
    <row r="26" spans="1:26" x14ac:dyDescent="0.35">
      <c r="A26" s="107"/>
      <c r="R26" s="3"/>
      <c r="S26" s="3"/>
      <c r="T26" s="3"/>
      <c r="U26" s="3"/>
      <c r="V26" s="3"/>
      <c r="W26" s="3"/>
      <c r="Y26" s="3"/>
    </row>
    <row r="27" spans="1:26" x14ac:dyDescent="0.35">
      <c r="A27" s="107"/>
    </row>
    <row r="28" spans="1:26" x14ac:dyDescent="0.35">
      <c r="A28" s="107"/>
      <c r="R28" s="3"/>
      <c r="S28" s="3"/>
      <c r="T28" s="3"/>
      <c r="U28" s="3"/>
      <c r="V28" s="3"/>
      <c r="W28" s="3"/>
      <c r="Y28" s="3"/>
    </row>
    <row r="29" spans="1:26" x14ac:dyDescent="0.35">
      <c r="A29" s="107"/>
      <c r="R29" s="3"/>
      <c r="S29" s="3"/>
      <c r="T29" s="3"/>
      <c r="U29" s="3"/>
      <c r="V29" s="3"/>
      <c r="W29" s="3"/>
      <c r="Y29" s="3"/>
    </row>
    <row r="30" spans="1:26" x14ac:dyDescent="0.35">
      <c r="A30" s="107"/>
      <c r="R30" s="3"/>
      <c r="S30" s="3"/>
      <c r="T30" s="3"/>
      <c r="U30" s="3"/>
      <c r="V30" s="3"/>
      <c r="W30" s="3"/>
      <c r="Y30" s="3"/>
    </row>
    <row r="31" spans="1:26" x14ac:dyDescent="0.35">
      <c r="A31" s="107"/>
      <c r="R31" s="3"/>
      <c r="S31" s="3"/>
      <c r="T31" s="3"/>
      <c r="U31" s="3"/>
      <c r="V31" s="3"/>
      <c r="W31" s="3"/>
      <c r="Y31" s="3"/>
    </row>
    <row r="32" spans="1:26" x14ac:dyDescent="0.35">
      <c r="A32" s="107"/>
    </row>
    <row r="33" spans="1:25" x14ac:dyDescent="0.35">
      <c r="A33" s="107"/>
      <c r="R33" s="3"/>
      <c r="S33" s="3"/>
      <c r="T33" s="3"/>
      <c r="U33" s="3"/>
      <c r="V33" s="3"/>
      <c r="W33" s="3"/>
      <c r="Y33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2"/>
  <sheetViews>
    <sheetView workbookViewId="0">
      <selection sqref="A1:A1048576"/>
    </sheetView>
  </sheetViews>
  <sheetFormatPr defaultRowHeight="14.5" x14ac:dyDescent="0.35"/>
  <sheetData>
    <row r="1" spans="1:2" x14ac:dyDescent="0.35">
      <c r="A1" t="s">
        <v>193</v>
      </c>
      <c r="B1" t="s">
        <v>493</v>
      </c>
    </row>
    <row r="2" spans="1:2" x14ac:dyDescent="0.35">
      <c r="A2" t="s">
        <v>447</v>
      </c>
      <c r="B2">
        <v>2.5895733681135701E-2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2"/>
  <sheetViews>
    <sheetView workbookViewId="0">
      <selection activeCell="A2" sqref="A2"/>
    </sheetView>
  </sheetViews>
  <sheetFormatPr defaultRowHeight="14.5" x14ac:dyDescent="0.35"/>
  <cols>
    <col min="1" max="1" width="20.26953125" bestFit="1" customWidth="1"/>
    <col min="2" max="2" width="20.453125" bestFit="1" customWidth="1"/>
    <col min="3" max="3" width="18.54296875" bestFit="1" customWidth="1"/>
  </cols>
  <sheetData>
    <row r="1" spans="1:3" x14ac:dyDescent="0.35">
      <c r="A1" t="s">
        <v>490</v>
      </c>
      <c r="B1" t="s">
        <v>491</v>
      </c>
      <c r="C1" t="s">
        <v>492</v>
      </c>
    </row>
    <row r="2" spans="1:3" x14ac:dyDescent="0.35">
      <c r="A2">
        <v>4.5300737376965999E-3</v>
      </c>
      <c r="B2" s="274">
        <v>7.0714638112814501E-3</v>
      </c>
      <c r="C2">
        <v>3.3445224290509601E-3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6"/>
  <dimension ref="A1:C3"/>
  <sheetViews>
    <sheetView workbookViewId="0">
      <selection sqref="A1:C3"/>
    </sheetView>
  </sheetViews>
  <sheetFormatPr defaultRowHeight="14.5" x14ac:dyDescent="0.35"/>
  <sheetData>
    <row r="1" spans="1:3" x14ac:dyDescent="0.35">
      <c r="A1" t="s">
        <v>467</v>
      </c>
      <c r="B1" t="s">
        <v>209</v>
      </c>
      <c r="C1" t="s">
        <v>210</v>
      </c>
    </row>
    <row r="2" spans="1:3" x14ac:dyDescent="0.35">
      <c r="A2" t="s">
        <v>178</v>
      </c>
      <c r="B2">
        <v>3</v>
      </c>
      <c r="C2">
        <v>7</v>
      </c>
    </row>
    <row r="3" spans="1:3" x14ac:dyDescent="0.35">
      <c r="A3">
        <v>2019</v>
      </c>
      <c r="B3">
        <v>0</v>
      </c>
      <c r="C3">
        <v>16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3"/>
  <dimension ref="A1:Q27"/>
  <sheetViews>
    <sheetView workbookViewId="0">
      <selection activeCell="J2" sqref="J2"/>
    </sheetView>
  </sheetViews>
  <sheetFormatPr defaultRowHeight="14.5" x14ac:dyDescent="0.35"/>
  <cols>
    <col min="1" max="1" width="13.54296875" bestFit="1" customWidth="1"/>
    <col min="4" max="4" width="12.453125" bestFit="1" customWidth="1"/>
    <col min="6" max="6" width="17.453125" bestFit="1" customWidth="1"/>
    <col min="7" max="7" width="11.1796875" bestFit="1" customWidth="1"/>
    <col min="8" max="8" width="16.1796875" customWidth="1"/>
    <col min="9" max="9" width="10.26953125" customWidth="1"/>
    <col min="10" max="10" width="20" bestFit="1" customWidth="1"/>
    <col min="11" max="11" width="14.81640625" bestFit="1" customWidth="1"/>
    <col min="12" max="12" width="20.7265625" bestFit="1" customWidth="1"/>
    <col min="13" max="13" width="14.7265625" bestFit="1" customWidth="1"/>
    <col min="14" max="14" width="26.54296875" bestFit="1" customWidth="1"/>
    <col min="15" max="15" width="21.453125" bestFit="1" customWidth="1"/>
    <col min="16" max="16" width="27.26953125" bestFit="1" customWidth="1"/>
    <col min="17" max="17" width="21.26953125" bestFit="1" customWidth="1"/>
  </cols>
  <sheetData>
    <row r="1" spans="1:17" x14ac:dyDescent="0.35">
      <c r="A1" t="s">
        <v>102</v>
      </c>
      <c r="B1" t="s">
        <v>111</v>
      </c>
      <c r="C1" t="s">
        <v>194</v>
      </c>
      <c r="D1" t="s">
        <v>195</v>
      </c>
      <c r="E1" t="s">
        <v>112</v>
      </c>
      <c r="F1" t="s">
        <v>180</v>
      </c>
      <c r="G1" t="s">
        <v>197</v>
      </c>
      <c r="H1" t="s">
        <v>181</v>
      </c>
      <c r="I1" t="s">
        <v>198</v>
      </c>
      <c r="J1" t="s">
        <v>118</v>
      </c>
      <c r="K1" t="s">
        <v>119</v>
      </c>
      <c r="L1" t="s">
        <v>120</v>
      </c>
      <c r="M1" t="s">
        <v>200</v>
      </c>
      <c r="N1" t="s">
        <v>202</v>
      </c>
      <c r="O1" t="s">
        <v>203</v>
      </c>
      <c r="P1" t="s">
        <v>204</v>
      </c>
      <c r="Q1" t="s">
        <v>205</v>
      </c>
    </row>
    <row r="2" spans="1:17" x14ac:dyDescent="0.35">
      <c r="A2" t="s">
        <v>105</v>
      </c>
      <c r="B2" t="s">
        <v>51</v>
      </c>
      <c r="C2">
        <v>2024</v>
      </c>
      <c r="D2">
        <v>12</v>
      </c>
      <c r="E2" t="s">
        <v>50</v>
      </c>
      <c r="F2">
        <v>88</v>
      </c>
      <c r="G2">
        <v>71</v>
      </c>
      <c r="H2">
        <v>88</v>
      </c>
      <c r="I2">
        <v>72</v>
      </c>
      <c r="J2">
        <v>26</v>
      </c>
      <c r="K2">
        <v>24</v>
      </c>
      <c r="L2">
        <v>26</v>
      </c>
      <c r="M2">
        <v>22</v>
      </c>
      <c r="N2">
        <v>31</v>
      </c>
      <c r="O2">
        <v>27</v>
      </c>
      <c r="P2">
        <v>31</v>
      </c>
      <c r="Q2">
        <v>28</v>
      </c>
    </row>
    <row r="3" spans="1:17" x14ac:dyDescent="0.35">
      <c r="A3" t="s">
        <v>103</v>
      </c>
      <c r="B3" t="s">
        <v>51</v>
      </c>
      <c r="C3">
        <v>2024</v>
      </c>
      <c r="D3">
        <v>12</v>
      </c>
      <c r="E3" t="s">
        <v>50</v>
      </c>
      <c r="F3">
        <v>623</v>
      </c>
      <c r="G3">
        <v>384</v>
      </c>
      <c r="H3">
        <v>621</v>
      </c>
      <c r="I3">
        <v>361</v>
      </c>
      <c r="J3">
        <v>172</v>
      </c>
      <c r="K3">
        <v>133</v>
      </c>
      <c r="L3">
        <v>172</v>
      </c>
      <c r="M3">
        <v>134</v>
      </c>
      <c r="N3">
        <v>224</v>
      </c>
      <c r="O3">
        <v>127</v>
      </c>
      <c r="P3">
        <v>222</v>
      </c>
      <c r="Q3">
        <v>103</v>
      </c>
    </row>
    <row r="4" spans="1:17" x14ac:dyDescent="0.35">
      <c r="A4" t="s">
        <v>109</v>
      </c>
      <c r="B4" t="s">
        <v>52</v>
      </c>
      <c r="C4">
        <v>2024</v>
      </c>
      <c r="D4">
        <v>12</v>
      </c>
      <c r="E4" t="s">
        <v>50</v>
      </c>
      <c r="F4">
        <v>127</v>
      </c>
      <c r="G4">
        <v>75</v>
      </c>
      <c r="H4">
        <v>127</v>
      </c>
      <c r="I4">
        <v>83</v>
      </c>
      <c r="J4">
        <v>43</v>
      </c>
      <c r="K4">
        <v>30</v>
      </c>
      <c r="L4">
        <v>43</v>
      </c>
      <c r="M4">
        <v>32</v>
      </c>
      <c r="N4">
        <v>44</v>
      </c>
      <c r="O4">
        <v>23</v>
      </c>
      <c r="P4">
        <v>44</v>
      </c>
      <c r="Q4">
        <v>26</v>
      </c>
    </row>
    <row r="5" spans="1:17" x14ac:dyDescent="0.35">
      <c r="A5" t="s">
        <v>71</v>
      </c>
      <c r="B5" t="s">
        <v>117</v>
      </c>
      <c r="C5">
        <v>2024</v>
      </c>
      <c r="D5">
        <v>12</v>
      </c>
      <c r="E5" t="s">
        <v>50</v>
      </c>
      <c r="F5">
        <v>1247</v>
      </c>
      <c r="G5">
        <v>641</v>
      </c>
      <c r="H5">
        <v>1185</v>
      </c>
      <c r="I5">
        <v>548</v>
      </c>
      <c r="J5">
        <v>342</v>
      </c>
      <c r="K5">
        <v>193</v>
      </c>
      <c r="L5">
        <v>320</v>
      </c>
      <c r="M5">
        <v>171</v>
      </c>
      <c r="N5">
        <v>444</v>
      </c>
      <c r="O5">
        <v>180</v>
      </c>
      <c r="P5">
        <v>424</v>
      </c>
      <c r="Q5">
        <v>147</v>
      </c>
    </row>
    <row r="6" spans="1:17" x14ac:dyDescent="0.35">
      <c r="A6" t="s">
        <v>104</v>
      </c>
      <c r="B6" t="s">
        <v>52</v>
      </c>
      <c r="C6">
        <v>2024</v>
      </c>
      <c r="D6">
        <v>12</v>
      </c>
      <c r="E6" t="s">
        <v>50</v>
      </c>
      <c r="F6">
        <v>3</v>
      </c>
      <c r="G6">
        <v>1</v>
      </c>
      <c r="H6">
        <v>3</v>
      </c>
      <c r="I6">
        <v>2</v>
      </c>
      <c r="J6">
        <v>1</v>
      </c>
      <c r="K6">
        <v>0</v>
      </c>
      <c r="L6">
        <v>1</v>
      </c>
      <c r="M6">
        <v>0</v>
      </c>
      <c r="N6">
        <v>1</v>
      </c>
      <c r="O6">
        <v>0</v>
      </c>
      <c r="P6">
        <v>1</v>
      </c>
      <c r="Q6">
        <v>1</v>
      </c>
    </row>
    <row r="7" spans="1:17" x14ac:dyDescent="0.35">
      <c r="A7" t="s">
        <v>103</v>
      </c>
      <c r="B7" t="s">
        <v>117</v>
      </c>
      <c r="C7">
        <v>2024</v>
      </c>
      <c r="D7">
        <v>12</v>
      </c>
      <c r="E7" t="s">
        <v>50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5">
      <c r="A8" t="s">
        <v>71</v>
      </c>
      <c r="B8" t="s">
        <v>51</v>
      </c>
      <c r="C8">
        <v>2024</v>
      </c>
      <c r="D8">
        <v>12</v>
      </c>
      <c r="E8" t="s">
        <v>50</v>
      </c>
      <c r="F8">
        <v>6112</v>
      </c>
      <c r="G8">
        <v>4179</v>
      </c>
      <c r="H8">
        <v>6089</v>
      </c>
      <c r="I8">
        <v>3672</v>
      </c>
      <c r="J8">
        <v>1853</v>
      </c>
      <c r="K8">
        <v>1343</v>
      </c>
      <c r="L8">
        <v>1852</v>
      </c>
      <c r="M8">
        <v>1169</v>
      </c>
      <c r="N8">
        <v>2112</v>
      </c>
      <c r="O8">
        <v>1416</v>
      </c>
      <c r="P8">
        <v>2105</v>
      </c>
      <c r="Q8">
        <v>1249</v>
      </c>
    </row>
    <row r="9" spans="1:17" x14ac:dyDescent="0.35">
      <c r="A9" t="s">
        <v>105</v>
      </c>
      <c r="B9" t="s">
        <v>117</v>
      </c>
      <c r="C9">
        <v>2024</v>
      </c>
      <c r="D9">
        <v>12</v>
      </c>
      <c r="E9" t="s">
        <v>50</v>
      </c>
      <c r="F9">
        <v>90</v>
      </c>
      <c r="G9">
        <v>44</v>
      </c>
      <c r="H9">
        <v>86</v>
      </c>
      <c r="I9">
        <v>46</v>
      </c>
      <c r="J9">
        <v>26</v>
      </c>
      <c r="K9">
        <v>11</v>
      </c>
      <c r="L9">
        <v>24</v>
      </c>
      <c r="M9">
        <v>11</v>
      </c>
      <c r="N9">
        <v>31</v>
      </c>
      <c r="O9">
        <v>14</v>
      </c>
      <c r="P9">
        <v>30</v>
      </c>
      <c r="Q9">
        <v>17</v>
      </c>
    </row>
    <row r="10" spans="1:17" x14ac:dyDescent="0.35">
      <c r="A10" t="s">
        <v>103</v>
      </c>
      <c r="B10" t="s">
        <v>52</v>
      </c>
      <c r="C10">
        <v>2024</v>
      </c>
      <c r="D10">
        <v>12</v>
      </c>
      <c r="E10" t="s">
        <v>50</v>
      </c>
      <c r="F10">
        <v>12</v>
      </c>
      <c r="G10">
        <v>5</v>
      </c>
      <c r="H10">
        <v>12</v>
      </c>
      <c r="I10">
        <v>6</v>
      </c>
      <c r="J10">
        <v>4</v>
      </c>
      <c r="K10">
        <v>3</v>
      </c>
      <c r="L10">
        <v>4</v>
      </c>
      <c r="M10">
        <v>3</v>
      </c>
      <c r="N10">
        <v>4</v>
      </c>
      <c r="O10">
        <v>1</v>
      </c>
      <c r="P10">
        <v>4</v>
      </c>
      <c r="Q10">
        <v>1</v>
      </c>
    </row>
    <row r="11" spans="1:17" x14ac:dyDescent="0.35">
      <c r="A11" t="s">
        <v>108</v>
      </c>
      <c r="B11" t="s">
        <v>51</v>
      </c>
      <c r="C11">
        <v>2024</v>
      </c>
      <c r="D11">
        <v>12</v>
      </c>
      <c r="E11" t="s">
        <v>50</v>
      </c>
      <c r="F11">
        <v>918</v>
      </c>
      <c r="G11">
        <v>683</v>
      </c>
      <c r="H11">
        <v>917</v>
      </c>
      <c r="I11">
        <v>650</v>
      </c>
      <c r="J11">
        <v>276</v>
      </c>
      <c r="K11">
        <v>220</v>
      </c>
      <c r="L11">
        <v>276</v>
      </c>
      <c r="M11">
        <v>198</v>
      </c>
      <c r="N11">
        <v>316</v>
      </c>
      <c r="O11">
        <v>241</v>
      </c>
      <c r="P11">
        <v>315</v>
      </c>
      <c r="Q11">
        <v>230</v>
      </c>
    </row>
    <row r="12" spans="1:17" x14ac:dyDescent="0.35">
      <c r="A12" t="s">
        <v>107</v>
      </c>
      <c r="B12" t="s">
        <v>51</v>
      </c>
      <c r="C12">
        <v>2024</v>
      </c>
      <c r="D12">
        <v>12</v>
      </c>
      <c r="E12" t="s">
        <v>50</v>
      </c>
      <c r="F12">
        <v>10</v>
      </c>
      <c r="G12">
        <v>9</v>
      </c>
      <c r="H12">
        <v>10</v>
      </c>
      <c r="I12">
        <v>5</v>
      </c>
      <c r="J12">
        <v>3</v>
      </c>
      <c r="K12">
        <v>3</v>
      </c>
      <c r="L12">
        <v>3</v>
      </c>
      <c r="M12">
        <v>2</v>
      </c>
      <c r="N12">
        <v>3</v>
      </c>
      <c r="O12">
        <v>3</v>
      </c>
      <c r="P12">
        <v>3</v>
      </c>
      <c r="Q12">
        <v>2</v>
      </c>
    </row>
    <row r="13" spans="1:17" x14ac:dyDescent="0.35">
      <c r="A13" t="s">
        <v>107</v>
      </c>
      <c r="B13" t="s">
        <v>117</v>
      </c>
      <c r="C13">
        <v>2024</v>
      </c>
      <c r="D13">
        <v>12</v>
      </c>
      <c r="E13" t="s">
        <v>50</v>
      </c>
      <c r="F13">
        <v>92</v>
      </c>
      <c r="G13">
        <v>55</v>
      </c>
      <c r="H13">
        <v>87</v>
      </c>
      <c r="I13">
        <v>52</v>
      </c>
      <c r="J13">
        <v>25</v>
      </c>
      <c r="K13">
        <v>16</v>
      </c>
      <c r="L13">
        <v>23</v>
      </c>
      <c r="M13">
        <v>16</v>
      </c>
      <c r="N13">
        <v>33</v>
      </c>
      <c r="O13">
        <v>16</v>
      </c>
      <c r="P13">
        <v>31</v>
      </c>
      <c r="Q13">
        <v>14</v>
      </c>
    </row>
    <row r="14" spans="1:17" x14ac:dyDescent="0.35">
      <c r="A14" t="s">
        <v>109</v>
      </c>
      <c r="B14" t="s">
        <v>51</v>
      </c>
      <c r="C14">
        <v>2024</v>
      </c>
      <c r="D14">
        <v>12</v>
      </c>
      <c r="E14" t="s">
        <v>50</v>
      </c>
      <c r="F14">
        <v>601</v>
      </c>
      <c r="G14">
        <v>329</v>
      </c>
      <c r="H14">
        <v>601</v>
      </c>
      <c r="I14">
        <v>340</v>
      </c>
      <c r="J14">
        <v>199</v>
      </c>
      <c r="K14">
        <v>119</v>
      </c>
      <c r="L14">
        <v>199</v>
      </c>
      <c r="M14">
        <v>130</v>
      </c>
      <c r="N14">
        <v>201</v>
      </c>
      <c r="O14">
        <v>96</v>
      </c>
      <c r="P14">
        <v>201</v>
      </c>
      <c r="Q14">
        <v>95</v>
      </c>
    </row>
    <row r="15" spans="1:17" x14ac:dyDescent="0.35">
      <c r="A15" t="s">
        <v>71</v>
      </c>
      <c r="B15" t="s">
        <v>52</v>
      </c>
      <c r="C15">
        <v>2024</v>
      </c>
      <c r="D15">
        <v>12</v>
      </c>
      <c r="E15" t="s">
        <v>50</v>
      </c>
      <c r="F15">
        <v>4176</v>
      </c>
      <c r="G15">
        <v>2426</v>
      </c>
      <c r="H15">
        <v>4125</v>
      </c>
      <c r="I15">
        <v>2207</v>
      </c>
      <c r="J15">
        <v>1367</v>
      </c>
      <c r="K15">
        <v>915</v>
      </c>
      <c r="L15">
        <v>1353</v>
      </c>
      <c r="M15">
        <v>857</v>
      </c>
      <c r="N15">
        <v>1399</v>
      </c>
      <c r="O15">
        <v>762</v>
      </c>
      <c r="P15">
        <v>1370</v>
      </c>
      <c r="Q15">
        <v>691</v>
      </c>
    </row>
    <row r="16" spans="1:17" x14ac:dyDescent="0.35">
      <c r="A16" t="s">
        <v>106</v>
      </c>
      <c r="B16" t="s">
        <v>52</v>
      </c>
      <c r="C16">
        <v>2024</v>
      </c>
      <c r="D16">
        <v>12</v>
      </c>
      <c r="E16" t="s">
        <v>50</v>
      </c>
      <c r="F16">
        <v>781</v>
      </c>
      <c r="G16">
        <v>549</v>
      </c>
      <c r="H16">
        <v>781</v>
      </c>
      <c r="I16">
        <v>556</v>
      </c>
      <c r="J16">
        <v>261</v>
      </c>
      <c r="K16">
        <v>202</v>
      </c>
      <c r="L16">
        <v>261</v>
      </c>
      <c r="M16">
        <v>205</v>
      </c>
      <c r="N16">
        <v>261</v>
      </c>
      <c r="O16">
        <v>167</v>
      </c>
      <c r="P16">
        <v>261</v>
      </c>
      <c r="Q16">
        <v>175</v>
      </c>
    </row>
    <row r="17" spans="1:17" x14ac:dyDescent="0.35">
      <c r="A17" t="s">
        <v>107</v>
      </c>
      <c r="B17" t="s">
        <v>52</v>
      </c>
      <c r="C17">
        <v>2024</v>
      </c>
      <c r="D17">
        <v>12</v>
      </c>
      <c r="E17" t="s">
        <v>50</v>
      </c>
      <c r="F17">
        <v>12</v>
      </c>
      <c r="G17">
        <v>6</v>
      </c>
      <c r="H17">
        <v>12</v>
      </c>
      <c r="I17">
        <v>6</v>
      </c>
      <c r="J17">
        <v>4</v>
      </c>
      <c r="K17">
        <v>3</v>
      </c>
      <c r="L17">
        <v>4</v>
      </c>
      <c r="M17">
        <v>3</v>
      </c>
      <c r="N17">
        <v>4</v>
      </c>
      <c r="O17">
        <v>1</v>
      </c>
      <c r="P17">
        <v>4</v>
      </c>
      <c r="Q17">
        <v>1</v>
      </c>
    </row>
    <row r="18" spans="1:17" x14ac:dyDescent="0.35">
      <c r="A18" t="s">
        <v>104</v>
      </c>
      <c r="B18" t="s">
        <v>51</v>
      </c>
      <c r="C18">
        <v>2024</v>
      </c>
      <c r="D18">
        <v>12</v>
      </c>
      <c r="E18" t="s">
        <v>50</v>
      </c>
      <c r="F18">
        <v>12</v>
      </c>
      <c r="G18">
        <v>7</v>
      </c>
      <c r="H18">
        <v>12</v>
      </c>
      <c r="I18">
        <v>7</v>
      </c>
      <c r="J18">
        <v>3</v>
      </c>
      <c r="K18">
        <v>2</v>
      </c>
      <c r="L18">
        <v>3</v>
      </c>
      <c r="M18">
        <v>2</v>
      </c>
      <c r="N18">
        <v>4</v>
      </c>
      <c r="O18">
        <v>3</v>
      </c>
      <c r="P18">
        <v>4</v>
      </c>
      <c r="Q18">
        <v>2</v>
      </c>
    </row>
    <row r="19" spans="1:17" x14ac:dyDescent="0.35">
      <c r="A19" t="s">
        <v>106</v>
      </c>
      <c r="B19" t="s">
        <v>51</v>
      </c>
      <c r="C19">
        <v>2024</v>
      </c>
      <c r="D19">
        <v>12</v>
      </c>
      <c r="E19" t="s">
        <v>50</v>
      </c>
      <c r="F19">
        <v>371</v>
      </c>
      <c r="G19">
        <v>284</v>
      </c>
      <c r="H19">
        <v>371</v>
      </c>
      <c r="I19">
        <v>252</v>
      </c>
      <c r="J19">
        <v>123</v>
      </c>
      <c r="K19">
        <v>99</v>
      </c>
      <c r="L19">
        <v>123</v>
      </c>
      <c r="M19">
        <v>95</v>
      </c>
      <c r="N19">
        <v>124</v>
      </c>
      <c r="O19">
        <v>86</v>
      </c>
      <c r="P19">
        <v>124</v>
      </c>
      <c r="Q19">
        <v>79</v>
      </c>
    </row>
    <row r="20" spans="1:17" x14ac:dyDescent="0.35">
      <c r="A20" t="s">
        <v>105</v>
      </c>
      <c r="B20" t="s">
        <v>52</v>
      </c>
      <c r="C20">
        <v>2024</v>
      </c>
      <c r="D20">
        <v>12</v>
      </c>
      <c r="E20" t="s">
        <v>50</v>
      </c>
      <c r="F20">
        <v>99</v>
      </c>
      <c r="G20">
        <v>62</v>
      </c>
      <c r="H20">
        <v>98</v>
      </c>
      <c r="I20">
        <v>62</v>
      </c>
      <c r="J20">
        <v>33</v>
      </c>
      <c r="K20">
        <v>20</v>
      </c>
      <c r="L20">
        <v>32</v>
      </c>
      <c r="M20">
        <v>20</v>
      </c>
      <c r="N20">
        <v>33</v>
      </c>
      <c r="O20">
        <v>23</v>
      </c>
      <c r="P20">
        <v>33</v>
      </c>
      <c r="Q20">
        <v>22</v>
      </c>
    </row>
    <row r="21" spans="1:17" x14ac:dyDescent="0.35">
      <c r="A21" t="s">
        <v>108</v>
      </c>
      <c r="B21" t="s">
        <v>52</v>
      </c>
      <c r="C21">
        <v>2024</v>
      </c>
      <c r="D21">
        <v>12</v>
      </c>
      <c r="E21" t="s">
        <v>50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35">
      <c r="B22" t="s">
        <v>117</v>
      </c>
      <c r="C22">
        <v>2024</v>
      </c>
      <c r="D22">
        <v>12</v>
      </c>
      <c r="E22" t="s">
        <v>50</v>
      </c>
      <c r="F22">
        <v>640</v>
      </c>
      <c r="G22">
        <v>333</v>
      </c>
      <c r="H22">
        <v>608</v>
      </c>
      <c r="I22">
        <v>280</v>
      </c>
      <c r="J22">
        <v>176</v>
      </c>
      <c r="K22">
        <v>97</v>
      </c>
      <c r="L22">
        <v>165</v>
      </c>
      <c r="M22">
        <v>82</v>
      </c>
      <c r="N22">
        <v>226</v>
      </c>
      <c r="O22">
        <v>89</v>
      </c>
      <c r="P22">
        <v>216</v>
      </c>
      <c r="Q22">
        <v>79</v>
      </c>
    </row>
    <row r="23" spans="1:17" x14ac:dyDescent="0.35">
      <c r="A23" t="s">
        <v>123</v>
      </c>
      <c r="B23" t="s">
        <v>52</v>
      </c>
      <c r="C23">
        <v>2024</v>
      </c>
      <c r="D23">
        <v>12</v>
      </c>
      <c r="E23" t="s">
        <v>50</v>
      </c>
      <c r="F23">
        <v>2853</v>
      </c>
      <c r="G23">
        <v>1718</v>
      </c>
      <c r="H23">
        <v>2830</v>
      </c>
      <c r="I23">
        <v>1613</v>
      </c>
      <c r="J23">
        <v>938</v>
      </c>
      <c r="K23">
        <v>650</v>
      </c>
      <c r="L23">
        <v>932</v>
      </c>
      <c r="M23">
        <v>602</v>
      </c>
      <c r="N23">
        <v>957</v>
      </c>
      <c r="O23">
        <v>540</v>
      </c>
      <c r="P23">
        <v>942</v>
      </c>
      <c r="Q23">
        <v>502</v>
      </c>
    </row>
    <row r="24" spans="1:17" x14ac:dyDescent="0.35">
      <c r="B24" t="s">
        <v>52</v>
      </c>
      <c r="C24">
        <v>2024</v>
      </c>
      <c r="D24">
        <v>12</v>
      </c>
      <c r="E24" t="s">
        <v>50</v>
      </c>
      <c r="F24">
        <v>2357</v>
      </c>
      <c r="G24">
        <v>1406</v>
      </c>
      <c r="H24">
        <v>2328</v>
      </c>
      <c r="I24">
        <v>1309</v>
      </c>
      <c r="J24">
        <v>775</v>
      </c>
      <c r="K24">
        <v>523</v>
      </c>
      <c r="L24">
        <v>766</v>
      </c>
      <c r="M24">
        <v>518</v>
      </c>
      <c r="N24">
        <v>789</v>
      </c>
      <c r="O24">
        <v>437</v>
      </c>
      <c r="P24">
        <v>775</v>
      </c>
      <c r="Q24">
        <v>415</v>
      </c>
    </row>
    <row r="25" spans="1:17" x14ac:dyDescent="0.35">
      <c r="A25" t="s">
        <v>123</v>
      </c>
      <c r="B25" t="s">
        <v>51</v>
      </c>
      <c r="C25">
        <v>2024</v>
      </c>
      <c r="D25">
        <v>12</v>
      </c>
      <c r="E25" t="s">
        <v>50</v>
      </c>
      <c r="F25">
        <v>4831</v>
      </c>
      <c r="G25">
        <v>3331</v>
      </c>
      <c r="H25">
        <v>4816</v>
      </c>
      <c r="I25">
        <v>2913</v>
      </c>
      <c r="J25">
        <v>1479</v>
      </c>
      <c r="K25">
        <v>1100</v>
      </c>
      <c r="L25">
        <v>1478</v>
      </c>
      <c r="M25">
        <v>951</v>
      </c>
      <c r="N25">
        <v>1656</v>
      </c>
      <c r="O25">
        <v>1096</v>
      </c>
      <c r="P25">
        <v>1650</v>
      </c>
      <c r="Q25">
        <v>965</v>
      </c>
    </row>
    <row r="26" spans="1:17" x14ac:dyDescent="0.35">
      <c r="B26" t="s">
        <v>51</v>
      </c>
      <c r="C26">
        <v>2024</v>
      </c>
      <c r="D26">
        <v>12</v>
      </c>
      <c r="E26" t="s">
        <v>50</v>
      </c>
      <c r="F26">
        <v>3904</v>
      </c>
      <c r="G26">
        <v>2615</v>
      </c>
      <c r="H26">
        <v>3893</v>
      </c>
      <c r="I26">
        <v>2446</v>
      </c>
      <c r="J26">
        <v>1176</v>
      </c>
      <c r="K26">
        <v>843</v>
      </c>
      <c r="L26">
        <v>1176</v>
      </c>
      <c r="M26">
        <v>801</v>
      </c>
      <c r="N26">
        <v>1359</v>
      </c>
      <c r="O26">
        <v>903</v>
      </c>
      <c r="P26">
        <v>1355</v>
      </c>
      <c r="Q26">
        <v>823</v>
      </c>
    </row>
    <row r="27" spans="1:17" x14ac:dyDescent="0.35">
      <c r="A27" t="s">
        <v>123</v>
      </c>
      <c r="B27" t="s">
        <v>117</v>
      </c>
      <c r="C27">
        <v>2024</v>
      </c>
      <c r="D27">
        <v>12</v>
      </c>
      <c r="E27" t="s">
        <v>50</v>
      </c>
      <c r="F27">
        <v>789</v>
      </c>
      <c r="G27">
        <v>407</v>
      </c>
      <c r="H27">
        <v>750</v>
      </c>
      <c r="I27">
        <v>366</v>
      </c>
      <c r="J27">
        <v>217</v>
      </c>
      <c r="K27">
        <v>123</v>
      </c>
      <c r="L27">
        <v>202</v>
      </c>
      <c r="M27">
        <v>116</v>
      </c>
      <c r="N27">
        <v>282</v>
      </c>
      <c r="O27">
        <v>121</v>
      </c>
      <c r="P27">
        <v>269</v>
      </c>
      <c r="Q27">
        <v>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3"/>
  <sheetViews>
    <sheetView workbookViewId="0">
      <selection activeCell="I2" sqref="I2"/>
    </sheetView>
  </sheetViews>
  <sheetFormatPr defaultRowHeight="14.5" x14ac:dyDescent="0.35"/>
  <sheetData>
    <row r="1" spans="1:3" x14ac:dyDescent="0.35">
      <c r="A1" s="272" t="s">
        <v>111</v>
      </c>
      <c r="B1" s="272" t="s">
        <v>444</v>
      </c>
    </row>
    <row r="2" spans="1:3" x14ac:dyDescent="0.35">
      <c r="A2" s="273" t="s">
        <v>496</v>
      </c>
      <c r="B2" s="275">
        <v>2.5816559838558401E-3</v>
      </c>
      <c r="C2" s="123"/>
    </row>
    <row r="3" spans="1:3" x14ac:dyDescent="0.35">
      <c r="A3" s="273" t="s">
        <v>497</v>
      </c>
      <c r="B3" s="275">
        <v>9.4467430705576505E-3</v>
      </c>
      <c r="C3" s="12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4"/>
  <dimension ref="A1:C3"/>
  <sheetViews>
    <sheetView workbookViewId="0">
      <selection activeCell="E18" sqref="E18"/>
    </sheetView>
  </sheetViews>
  <sheetFormatPr defaultRowHeight="14.5" x14ac:dyDescent="0.35"/>
  <cols>
    <col min="1" max="1" width="11.26953125" bestFit="1" customWidth="1"/>
    <col min="2" max="2" width="17" bestFit="1" customWidth="1"/>
    <col min="3" max="3" width="15" bestFit="1" customWidth="1"/>
  </cols>
  <sheetData>
    <row r="1" spans="1:3" x14ac:dyDescent="0.35">
      <c r="A1" t="s">
        <v>467</v>
      </c>
      <c r="B1" t="s">
        <v>209</v>
      </c>
      <c r="C1" t="s">
        <v>210</v>
      </c>
    </row>
    <row r="2" spans="1:3" x14ac:dyDescent="0.35">
      <c r="A2" t="s">
        <v>37</v>
      </c>
      <c r="B2">
        <v>3</v>
      </c>
      <c r="C2">
        <v>6</v>
      </c>
    </row>
    <row r="3" spans="1:3" x14ac:dyDescent="0.35">
      <c r="A3" t="s">
        <v>208</v>
      </c>
      <c r="B3">
        <v>2</v>
      </c>
      <c r="C3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5"/>
  <dimension ref="A1:A2"/>
  <sheetViews>
    <sheetView workbookViewId="0"/>
  </sheetViews>
  <sheetFormatPr defaultRowHeight="14.5" x14ac:dyDescent="0.35"/>
  <sheetData>
    <row r="1" spans="1:1" x14ac:dyDescent="0.35">
      <c r="A1" t="s">
        <v>230</v>
      </c>
    </row>
    <row r="2" spans="1:1" x14ac:dyDescent="0.35">
      <c r="A2">
        <v>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7"/>
  <dimension ref="A1:A2"/>
  <sheetViews>
    <sheetView workbookViewId="0">
      <selection activeCell="B4" sqref="B4"/>
    </sheetView>
  </sheetViews>
  <sheetFormatPr defaultRowHeight="14.5" x14ac:dyDescent="0.35"/>
  <sheetData>
    <row r="1" spans="1:1" x14ac:dyDescent="0.35">
      <c r="A1" t="s">
        <v>466</v>
      </c>
    </row>
    <row r="2" spans="1:1" x14ac:dyDescent="0.35">
      <c r="A2">
        <v>19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CB60D-B77B-4716-BB12-001CEEAEB7C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8"/>
  <dimension ref="A1:Z255"/>
  <sheetViews>
    <sheetView zoomScaleNormal="100" workbookViewId="0">
      <selection sqref="A1:Z215"/>
    </sheetView>
  </sheetViews>
  <sheetFormatPr defaultRowHeight="14.5" x14ac:dyDescent="0.35"/>
  <sheetData>
    <row r="1" spans="1:26" x14ac:dyDescent="0.35">
      <c r="A1" s="265" t="s">
        <v>469</v>
      </c>
      <c r="B1" s="265" t="s">
        <v>470</v>
      </c>
      <c r="C1" s="265" t="s">
        <v>471</v>
      </c>
      <c r="D1" s="265" t="s">
        <v>193</v>
      </c>
      <c r="E1" s="265" t="s">
        <v>196</v>
      </c>
      <c r="F1" s="265" t="s">
        <v>211</v>
      </c>
      <c r="G1" s="265" t="s">
        <v>442</v>
      </c>
      <c r="H1" s="265" t="s">
        <v>212</v>
      </c>
      <c r="I1" s="265" t="s">
        <v>213</v>
      </c>
      <c r="J1" s="265" t="s">
        <v>214</v>
      </c>
      <c r="K1" s="265" t="s">
        <v>215</v>
      </c>
      <c r="L1" s="265" t="s">
        <v>221</v>
      </c>
      <c r="M1" s="265" t="s">
        <v>439</v>
      </c>
      <c r="N1" s="265" t="s">
        <v>222</v>
      </c>
      <c r="O1" s="265" t="s">
        <v>223</v>
      </c>
      <c r="P1" s="265" t="s">
        <v>224</v>
      </c>
      <c r="Q1" s="265" t="s">
        <v>225</v>
      </c>
      <c r="R1" s="265" t="s">
        <v>231</v>
      </c>
      <c r="S1" s="265" t="s">
        <v>232</v>
      </c>
      <c r="T1" s="265" t="s">
        <v>233</v>
      </c>
      <c r="U1" s="265" t="s">
        <v>234</v>
      </c>
      <c r="V1" s="265" t="s">
        <v>235</v>
      </c>
      <c r="W1" s="265" t="s">
        <v>236</v>
      </c>
      <c r="X1" s="265" t="s">
        <v>226</v>
      </c>
      <c r="Y1" s="265" t="s">
        <v>227</v>
      </c>
      <c r="Z1" s="265" t="s">
        <v>237</v>
      </c>
    </row>
    <row r="2" spans="1:26" x14ac:dyDescent="0.35">
      <c r="A2" s="267">
        <v>45630.493391805554</v>
      </c>
      <c r="B2" s="265" t="s">
        <v>168</v>
      </c>
      <c r="C2" s="265" t="s">
        <v>355</v>
      </c>
      <c r="D2" s="265" t="s">
        <v>49</v>
      </c>
      <c r="E2" s="265" t="s">
        <v>50</v>
      </c>
      <c r="F2" s="265">
        <v>3</v>
      </c>
      <c r="G2" s="265">
        <v>0</v>
      </c>
      <c r="H2" s="265">
        <v>3</v>
      </c>
      <c r="I2" s="265">
        <v>3</v>
      </c>
      <c r="J2" s="265">
        <v>3</v>
      </c>
      <c r="K2" s="265">
        <v>3</v>
      </c>
      <c r="L2" s="265">
        <v>7</v>
      </c>
      <c r="M2" s="265">
        <v>0</v>
      </c>
      <c r="N2" s="265">
        <v>7</v>
      </c>
      <c r="O2" s="266">
        <v>7</v>
      </c>
      <c r="P2" s="266">
        <v>6</v>
      </c>
      <c r="Q2" s="266">
        <v>6</v>
      </c>
      <c r="R2" s="266">
        <v>1069</v>
      </c>
      <c r="S2" s="266">
        <v>1051</v>
      </c>
      <c r="T2" s="266">
        <v>758</v>
      </c>
      <c r="U2" s="266">
        <v>879</v>
      </c>
      <c r="V2" s="266">
        <v>810</v>
      </c>
      <c r="W2" s="266">
        <v>810</v>
      </c>
      <c r="X2" s="266">
        <v>3</v>
      </c>
      <c r="Y2" s="265">
        <v>7</v>
      </c>
      <c r="Z2" s="265">
        <v>1068</v>
      </c>
    </row>
    <row r="3" spans="1:26" x14ac:dyDescent="0.35">
      <c r="A3" s="267">
        <v>45630.493391805554</v>
      </c>
      <c r="B3" s="265" t="s">
        <v>168</v>
      </c>
      <c r="C3" s="265" t="s">
        <v>381</v>
      </c>
      <c r="D3" s="265" t="s">
        <v>49</v>
      </c>
      <c r="E3" s="265" t="s">
        <v>50</v>
      </c>
      <c r="F3" s="265">
        <v>2</v>
      </c>
      <c r="G3" s="265">
        <v>0</v>
      </c>
      <c r="H3" s="265">
        <v>2</v>
      </c>
      <c r="I3" s="265">
        <v>2</v>
      </c>
      <c r="J3" s="265">
        <v>2</v>
      </c>
      <c r="K3" s="265">
        <v>2</v>
      </c>
      <c r="L3" s="265">
        <v>6</v>
      </c>
      <c r="M3" s="265">
        <v>0</v>
      </c>
      <c r="N3" s="265">
        <v>5</v>
      </c>
      <c r="O3" s="266">
        <v>6</v>
      </c>
      <c r="P3" s="266">
        <v>4</v>
      </c>
      <c r="Q3" s="266">
        <v>4</v>
      </c>
      <c r="R3" s="266">
        <v>566</v>
      </c>
      <c r="S3" s="266">
        <v>555</v>
      </c>
      <c r="T3" s="266">
        <v>411</v>
      </c>
      <c r="U3" s="266">
        <v>465</v>
      </c>
      <c r="V3" s="266">
        <v>462</v>
      </c>
      <c r="W3" s="266">
        <v>462</v>
      </c>
      <c r="X3" s="266">
        <v>2</v>
      </c>
      <c r="Y3" s="265">
        <v>6</v>
      </c>
      <c r="Z3" s="265">
        <v>566</v>
      </c>
    </row>
    <row r="4" spans="1:26" x14ac:dyDescent="0.35">
      <c r="A4" s="267">
        <v>45630.493391805554</v>
      </c>
      <c r="B4" s="265" t="s">
        <v>168</v>
      </c>
      <c r="C4" s="265" t="s">
        <v>270</v>
      </c>
      <c r="D4" s="265" t="s">
        <v>49</v>
      </c>
      <c r="E4" s="265" t="s">
        <v>50</v>
      </c>
      <c r="F4" s="265">
        <v>8</v>
      </c>
      <c r="G4" s="265">
        <v>0</v>
      </c>
      <c r="H4" s="265">
        <v>2</v>
      </c>
      <c r="I4" s="265">
        <v>5</v>
      </c>
      <c r="J4" s="265">
        <v>2</v>
      </c>
      <c r="K4" s="265">
        <v>2</v>
      </c>
      <c r="L4" s="265">
        <v>24</v>
      </c>
      <c r="M4" s="265">
        <v>0</v>
      </c>
      <c r="N4" s="265">
        <v>10</v>
      </c>
      <c r="O4" s="265">
        <v>16</v>
      </c>
      <c r="P4" s="265">
        <v>9</v>
      </c>
      <c r="Q4" s="265">
        <v>9</v>
      </c>
      <c r="R4" s="265">
        <v>2507</v>
      </c>
      <c r="S4" s="265">
        <v>2488</v>
      </c>
      <c r="T4" s="265">
        <v>1449</v>
      </c>
      <c r="U4" s="265">
        <v>1952</v>
      </c>
      <c r="V4" s="265">
        <v>1851</v>
      </c>
      <c r="W4" s="265">
        <v>1854</v>
      </c>
      <c r="X4" s="265">
        <v>8</v>
      </c>
      <c r="Y4" s="265">
        <v>24</v>
      </c>
      <c r="Z4" s="265">
        <v>2508</v>
      </c>
    </row>
    <row r="5" spans="1:26" x14ac:dyDescent="0.35">
      <c r="A5" s="267">
        <v>45630.493391805554</v>
      </c>
      <c r="B5" s="265" t="s">
        <v>168</v>
      </c>
      <c r="C5" s="265" t="s">
        <v>317</v>
      </c>
      <c r="D5" s="265" t="s">
        <v>49</v>
      </c>
      <c r="E5" s="265" t="s">
        <v>50</v>
      </c>
      <c r="F5" s="265">
        <v>1</v>
      </c>
      <c r="G5" s="265">
        <v>0</v>
      </c>
      <c r="H5" s="265">
        <v>1</v>
      </c>
      <c r="I5" s="265">
        <v>1</v>
      </c>
      <c r="J5" s="265">
        <v>1</v>
      </c>
      <c r="K5" s="265">
        <v>1</v>
      </c>
      <c r="L5" s="265">
        <v>3</v>
      </c>
      <c r="M5" s="265">
        <v>0</v>
      </c>
      <c r="N5" s="265">
        <v>3</v>
      </c>
      <c r="O5" s="266">
        <v>3</v>
      </c>
      <c r="P5" s="266">
        <v>3</v>
      </c>
      <c r="Q5" s="266">
        <v>3</v>
      </c>
      <c r="R5" s="266">
        <v>1101</v>
      </c>
      <c r="S5" s="266">
        <v>1085</v>
      </c>
      <c r="T5" s="266">
        <v>744</v>
      </c>
      <c r="U5" s="266">
        <v>899</v>
      </c>
      <c r="V5" s="266">
        <v>852</v>
      </c>
      <c r="W5" s="266">
        <v>852</v>
      </c>
      <c r="X5" s="266">
        <v>1</v>
      </c>
      <c r="Y5" s="265">
        <v>3</v>
      </c>
      <c r="Z5" s="265">
        <v>1100</v>
      </c>
    </row>
    <row r="6" spans="1:26" x14ac:dyDescent="0.35">
      <c r="A6" s="267">
        <v>45630.493391805554</v>
      </c>
      <c r="B6" s="265" t="s">
        <v>168</v>
      </c>
      <c r="C6" s="265" t="s">
        <v>400</v>
      </c>
      <c r="D6" s="265" t="s">
        <v>49</v>
      </c>
      <c r="E6" s="265" t="s">
        <v>50</v>
      </c>
      <c r="F6" s="265">
        <v>2</v>
      </c>
      <c r="G6" s="265">
        <v>0</v>
      </c>
      <c r="H6" s="265">
        <v>1</v>
      </c>
      <c r="I6" s="265">
        <v>2</v>
      </c>
      <c r="J6" s="265">
        <v>2</v>
      </c>
      <c r="K6" s="265">
        <v>2</v>
      </c>
      <c r="L6" s="265">
        <v>6</v>
      </c>
      <c r="M6" s="265">
        <v>0</v>
      </c>
      <c r="N6" s="265">
        <v>5</v>
      </c>
      <c r="O6" s="265">
        <v>6</v>
      </c>
      <c r="P6" s="265">
        <v>6</v>
      </c>
      <c r="Q6" s="265">
        <v>6</v>
      </c>
      <c r="R6" s="265">
        <v>627</v>
      </c>
      <c r="S6" s="265">
        <v>613</v>
      </c>
      <c r="T6" s="265">
        <v>465</v>
      </c>
      <c r="U6" s="265">
        <v>512</v>
      </c>
      <c r="V6" s="265">
        <v>516</v>
      </c>
      <c r="W6" s="265">
        <v>516</v>
      </c>
      <c r="X6" s="265">
        <v>2</v>
      </c>
      <c r="Y6" s="265">
        <v>6</v>
      </c>
      <c r="Z6" s="265">
        <v>627</v>
      </c>
    </row>
    <row r="7" spans="1:26" x14ac:dyDescent="0.35">
      <c r="A7" s="267">
        <v>45630.493391805554</v>
      </c>
      <c r="B7" s="265" t="s">
        <v>167</v>
      </c>
      <c r="C7" s="265" t="s">
        <v>359</v>
      </c>
      <c r="D7" s="265" t="s">
        <v>49</v>
      </c>
      <c r="E7" s="265" t="s">
        <v>50</v>
      </c>
      <c r="F7" s="265">
        <v>2</v>
      </c>
      <c r="G7" s="265">
        <v>0</v>
      </c>
      <c r="H7" s="265">
        <v>1</v>
      </c>
      <c r="I7" s="265">
        <v>1</v>
      </c>
      <c r="J7" s="265">
        <v>2</v>
      </c>
      <c r="K7" s="265">
        <v>2</v>
      </c>
      <c r="L7" s="265">
        <v>6</v>
      </c>
      <c r="M7" s="265">
        <v>0</v>
      </c>
      <c r="N7" s="265">
        <v>3</v>
      </c>
      <c r="O7" s="266">
        <v>4</v>
      </c>
      <c r="P7" s="266">
        <v>5</v>
      </c>
      <c r="Q7" s="266">
        <v>5</v>
      </c>
      <c r="R7" s="266">
        <v>676</v>
      </c>
      <c r="S7" s="266">
        <v>665</v>
      </c>
      <c r="T7" s="266">
        <v>324</v>
      </c>
      <c r="U7" s="266">
        <v>463</v>
      </c>
      <c r="V7" s="266">
        <v>495</v>
      </c>
      <c r="W7" s="266">
        <v>495</v>
      </c>
      <c r="X7" s="266">
        <v>2</v>
      </c>
      <c r="Y7" s="265">
        <v>6</v>
      </c>
      <c r="Z7" s="265">
        <v>676</v>
      </c>
    </row>
    <row r="8" spans="1:26" x14ac:dyDescent="0.35">
      <c r="A8" s="267">
        <v>45630.493391805554</v>
      </c>
      <c r="B8" s="265" t="s">
        <v>167</v>
      </c>
      <c r="C8" s="265" t="s">
        <v>511</v>
      </c>
      <c r="D8" s="265" t="s">
        <v>49</v>
      </c>
      <c r="E8" s="265" t="s">
        <v>50</v>
      </c>
      <c r="F8" s="265">
        <v>2</v>
      </c>
      <c r="G8" s="265">
        <v>0</v>
      </c>
      <c r="H8" s="265">
        <v>1</v>
      </c>
      <c r="I8" s="265">
        <v>2</v>
      </c>
      <c r="J8" s="265">
        <v>2</v>
      </c>
      <c r="K8" s="265">
        <v>2</v>
      </c>
      <c r="L8" s="265">
        <v>6</v>
      </c>
      <c r="M8" s="265">
        <v>0</v>
      </c>
      <c r="N8" s="265">
        <v>5</v>
      </c>
      <c r="O8" s="266">
        <v>6</v>
      </c>
      <c r="P8" s="266">
        <v>6</v>
      </c>
      <c r="Q8" s="266">
        <v>6</v>
      </c>
      <c r="R8" s="266">
        <v>390</v>
      </c>
      <c r="S8" s="266">
        <v>389</v>
      </c>
      <c r="T8" s="266">
        <v>263</v>
      </c>
      <c r="U8" s="266">
        <v>332</v>
      </c>
      <c r="V8" s="266">
        <v>304</v>
      </c>
      <c r="W8" s="266">
        <v>304</v>
      </c>
      <c r="X8" s="266">
        <v>2</v>
      </c>
      <c r="Y8" s="265">
        <v>6</v>
      </c>
      <c r="Z8" s="265">
        <v>390</v>
      </c>
    </row>
    <row r="9" spans="1:26" x14ac:dyDescent="0.35">
      <c r="A9" s="267">
        <v>45630.493391805554</v>
      </c>
      <c r="B9" s="265" t="s">
        <v>168</v>
      </c>
      <c r="C9" s="265" t="s">
        <v>292</v>
      </c>
      <c r="D9" s="265" t="s">
        <v>49</v>
      </c>
      <c r="E9" s="265" t="s">
        <v>50</v>
      </c>
      <c r="F9" s="265">
        <v>2</v>
      </c>
      <c r="G9" s="265">
        <v>0</v>
      </c>
      <c r="H9" s="265">
        <v>2</v>
      </c>
      <c r="I9" s="265">
        <v>2</v>
      </c>
      <c r="J9" s="265">
        <v>2</v>
      </c>
      <c r="K9" s="265">
        <v>2</v>
      </c>
      <c r="L9" s="265">
        <v>6</v>
      </c>
      <c r="M9" s="265">
        <v>0</v>
      </c>
      <c r="N9" s="265">
        <v>6</v>
      </c>
      <c r="O9" s="265">
        <v>6</v>
      </c>
      <c r="P9" s="265">
        <v>4</v>
      </c>
      <c r="Q9" s="265">
        <v>4</v>
      </c>
      <c r="R9" s="265">
        <v>755</v>
      </c>
      <c r="S9" s="265">
        <v>741</v>
      </c>
      <c r="T9" s="265">
        <v>525</v>
      </c>
      <c r="U9" s="265">
        <v>610</v>
      </c>
      <c r="V9" s="265">
        <v>590</v>
      </c>
      <c r="W9" s="265">
        <v>590</v>
      </c>
      <c r="X9" s="265">
        <v>2</v>
      </c>
      <c r="Y9" s="265">
        <v>6</v>
      </c>
      <c r="Z9" s="265">
        <v>755</v>
      </c>
    </row>
    <row r="10" spans="1:26" x14ac:dyDescent="0.35">
      <c r="A10" s="267">
        <v>45630.493391805554</v>
      </c>
      <c r="B10" s="265" t="s">
        <v>168</v>
      </c>
      <c r="C10" s="265" t="s">
        <v>358</v>
      </c>
      <c r="D10" s="265" t="s">
        <v>49</v>
      </c>
      <c r="E10" s="265" t="s">
        <v>50</v>
      </c>
      <c r="F10" s="265">
        <v>0</v>
      </c>
      <c r="G10" s="265">
        <v>0</v>
      </c>
      <c r="H10" s="265">
        <v>0</v>
      </c>
      <c r="I10" s="265">
        <v>0</v>
      </c>
      <c r="J10" s="265">
        <v>0</v>
      </c>
      <c r="K10" s="265">
        <v>0</v>
      </c>
      <c r="L10" s="265">
        <v>0</v>
      </c>
      <c r="M10" s="265">
        <v>0</v>
      </c>
      <c r="N10" s="265">
        <v>0</v>
      </c>
      <c r="O10" s="266">
        <v>0</v>
      </c>
      <c r="P10" s="266">
        <v>0</v>
      </c>
      <c r="Q10" s="266">
        <v>0</v>
      </c>
      <c r="R10" s="266">
        <v>241</v>
      </c>
      <c r="S10" s="266">
        <v>222</v>
      </c>
      <c r="T10" s="266">
        <v>126</v>
      </c>
      <c r="U10" s="266">
        <v>165</v>
      </c>
      <c r="V10" s="266">
        <v>133</v>
      </c>
      <c r="W10" s="266">
        <v>133</v>
      </c>
      <c r="X10" s="266">
        <v>0</v>
      </c>
      <c r="Y10" s="265">
        <v>0</v>
      </c>
      <c r="Z10" s="265">
        <v>241</v>
      </c>
    </row>
    <row r="11" spans="1:26" x14ac:dyDescent="0.35">
      <c r="A11" s="267">
        <v>45630.493391805554</v>
      </c>
      <c r="B11" s="265" t="s">
        <v>168</v>
      </c>
      <c r="C11" s="265" t="s">
        <v>279</v>
      </c>
      <c r="D11" s="265" t="s">
        <v>49</v>
      </c>
      <c r="E11" s="265" t="s">
        <v>50</v>
      </c>
      <c r="F11" s="265">
        <v>4</v>
      </c>
      <c r="G11" s="265">
        <v>0</v>
      </c>
      <c r="H11" s="265">
        <v>2</v>
      </c>
      <c r="I11" s="265">
        <v>4</v>
      </c>
      <c r="J11" s="265">
        <v>3</v>
      </c>
      <c r="K11" s="265">
        <v>3</v>
      </c>
      <c r="L11" s="265">
        <v>15</v>
      </c>
      <c r="M11" s="265">
        <v>0</v>
      </c>
      <c r="N11" s="265">
        <v>9</v>
      </c>
      <c r="O11" s="265">
        <v>13</v>
      </c>
      <c r="P11" s="265">
        <v>11</v>
      </c>
      <c r="Q11" s="265">
        <v>11</v>
      </c>
      <c r="R11" s="265">
        <v>1393</v>
      </c>
      <c r="S11" s="265">
        <v>1382</v>
      </c>
      <c r="T11" s="265">
        <v>912</v>
      </c>
      <c r="U11" s="265">
        <v>1122</v>
      </c>
      <c r="V11" s="265">
        <v>1134</v>
      </c>
      <c r="W11" s="265">
        <v>1134</v>
      </c>
      <c r="X11" s="265">
        <v>4</v>
      </c>
      <c r="Y11" s="265">
        <v>15</v>
      </c>
      <c r="Z11" s="265">
        <v>1394</v>
      </c>
    </row>
    <row r="12" spans="1:26" x14ac:dyDescent="0.35">
      <c r="A12" s="267">
        <v>45630.493391805554</v>
      </c>
      <c r="B12" s="265" t="s">
        <v>168</v>
      </c>
      <c r="C12" s="265" t="s">
        <v>273</v>
      </c>
      <c r="D12" s="265" t="s">
        <v>49</v>
      </c>
      <c r="E12" s="265" t="s">
        <v>50</v>
      </c>
      <c r="F12" s="265">
        <v>7</v>
      </c>
      <c r="G12" s="265">
        <v>0</v>
      </c>
      <c r="H12" s="265">
        <v>7</v>
      </c>
      <c r="I12" s="265">
        <v>7</v>
      </c>
      <c r="J12" s="265">
        <v>7</v>
      </c>
      <c r="K12" s="265">
        <v>7</v>
      </c>
      <c r="L12" s="265">
        <v>23</v>
      </c>
      <c r="M12" s="265">
        <v>0</v>
      </c>
      <c r="N12" s="265">
        <v>16</v>
      </c>
      <c r="O12" s="265">
        <v>20</v>
      </c>
      <c r="P12" s="265">
        <v>18</v>
      </c>
      <c r="Q12" s="265">
        <v>18</v>
      </c>
      <c r="R12" s="265">
        <v>2406</v>
      </c>
      <c r="S12" s="265">
        <v>2361</v>
      </c>
      <c r="T12" s="265">
        <v>1505</v>
      </c>
      <c r="U12" s="265">
        <v>1806</v>
      </c>
      <c r="V12" s="265">
        <v>1755</v>
      </c>
      <c r="W12" s="265">
        <v>1755</v>
      </c>
      <c r="X12" s="265">
        <v>7</v>
      </c>
      <c r="Y12" s="265">
        <v>23</v>
      </c>
      <c r="Z12" s="265">
        <v>2406</v>
      </c>
    </row>
    <row r="13" spans="1:26" x14ac:dyDescent="0.35">
      <c r="A13" s="267">
        <v>45630.493391805554</v>
      </c>
      <c r="B13" s="265" t="s">
        <v>168</v>
      </c>
      <c r="C13" s="265" t="s">
        <v>426</v>
      </c>
      <c r="D13" s="265" t="s">
        <v>49</v>
      </c>
      <c r="E13" s="265" t="s">
        <v>50</v>
      </c>
      <c r="F13" s="265">
        <v>10</v>
      </c>
      <c r="G13" s="265">
        <v>0</v>
      </c>
      <c r="H13" s="265">
        <v>9</v>
      </c>
      <c r="I13" s="265">
        <v>10</v>
      </c>
      <c r="J13" s="265">
        <v>4</v>
      </c>
      <c r="K13" s="265">
        <v>4</v>
      </c>
      <c r="L13" s="265">
        <v>34</v>
      </c>
      <c r="M13" s="265">
        <v>0</v>
      </c>
      <c r="N13" s="265">
        <v>21</v>
      </c>
      <c r="O13" s="265">
        <v>24</v>
      </c>
      <c r="P13" s="265">
        <v>16</v>
      </c>
      <c r="Q13" s="265">
        <v>16</v>
      </c>
      <c r="R13" s="265">
        <v>3386</v>
      </c>
      <c r="S13" s="265">
        <v>3344</v>
      </c>
      <c r="T13" s="265">
        <v>2488</v>
      </c>
      <c r="U13" s="265">
        <v>2812</v>
      </c>
      <c r="V13" s="265">
        <v>2733</v>
      </c>
      <c r="W13" s="265">
        <v>2733</v>
      </c>
      <c r="X13" s="265">
        <v>11</v>
      </c>
      <c r="Y13" s="265">
        <v>33</v>
      </c>
      <c r="Z13" s="265">
        <v>3386</v>
      </c>
    </row>
    <row r="14" spans="1:26" x14ac:dyDescent="0.35">
      <c r="A14" s="267">
        <v>45630.493391805554</v>
      </c>
      <c r="B14" s="265" t="s">
        <v>168</v>
      </c>
      <c r="C14" s="265" t="s">
        <v>410</v>
      </c>
      <c r="D14" s="265" t="s">
        <v>49</v>
      </c>
      <c r="E14" s="265" t="s">
        <v>50</v>
      </c>
      <c r="F14" s="265">
        <v>1</v>
      </c>
      <c r="G14" s="265">
        <v>0</v>
      </c>
      <c r="H14" s="265">
        <v>0</v>
      </c>
      <c r="I14" s="265">
        <v>1</v>
      </c>
      <c r="J14" s="265">
        <v>1</v>
      </c>
      <c r="K14" s="265">
        <v>1</v>
      </c>
      <c r="L14" s="265">
        <v>5</v>
      </c>
      <c r="M14" s="265">
        <v>0</v>
      </c>
      <c r="N14" s="265">
        <v>3</v>
      </c>
      <c r="O14" s="265">
        <v>5</v>
      </c>
      <c r="P14" s="265">
        <v>4</v>
      </c>
      <c r="Q14" s="265">
        <v>4</v>
      </c>
      <c r="R14" s="265">
        <v>579</v>
      </c>
      <c r="S14" s="265">
        <v>567</v>
      </c>
      <c r="T14" s="265">
        <v>388</v>
      </c>
      <c r="U14" s="265">
        <v>446</v>
      </c>
      <c r="V14" s="265">
        <v>438</v>
      </c>
      <c r="W14" s="265">
        <v>438</v>
      </c>
      <c r="X14" s="265">
        <v>1</v>
      </c>
      <c r="Y14" s="265">
        <v>5</v>
      </c>
      <c r="Z14" s="265">
        <v>579</v>
      </c>
    </row>
    <row r="15" spans="1:26" x14ac:dyDescent="0.35">
      <c r="A15" s="267">
        <v>45630.493391805554</v>
      </c>
      <c r="B15" s="265" t="s">
        <v>167</v>
      </c>
      <c r="C15" s="265" t="s">
        <v>338</v>
      </c>
      <c r="D15" s="265" t="s">
        <v>49</v>
      </c>
      <c r="E15" s="265" t="s">
        <v>50</v>
      </c>
      <c r="F15" s="265">
        <v>0</v>
      </c>
      <c r="G15" s="265">
        <v>0</v>
      </c>
      <c r="H15" s="265">
        <v>0</v>
      </c>
      <c r="I15" s="265">
        <v>0</v>
      </c>
      <c r="J15" s="265">
        <v>0</v>
      </c>
      <c r="K15" s="265">
        <v>0</v>
      </c>
      <c r="L15" s="265">
        <v>1</v>
      </c>
      <c r="M15" s="265">
        <v>0</v>
      </c>
      <c r="N15" s="265">
        <v>0</v>
      </c>
      <c r="O15" s="265">
        <v>0</v>
      </c>
      <c r="P15" s="265">
        <v>0</v>
      </c>
      <c r="Q15" s="265">
        <v>0</v>
      </c>
      <c r="R15" s="265">
        <v>77</v>
      </c>
      <c r="S15" s="265">
        <v>77</v>
      </c>
      <c r="T15" s="265">
        <v>38</v>
      </c>
      <c r="U15" s="265">
        <v>50</v>
      </c>
      <c r="V15" s="265">
        <v>59</v>
      </c>
      <c r="W15" s="265">
        <v>59</v>
      </c>
      <c r="X15" s="265">
        <v>0</v>
      </c>
      <c r="Y15" s="265">
        <v>1</v>
      </c>
      <c r="Z15" s="265">
        <v>77</v>
      </c>
    </row>
    <row r="16" spans="1:26" x14ac:dyDescent="0.35">
      <c r="A16" s="267">
        <v>45630.493391805554</v>
      </c>
      <c r="B16" s="265" t="s">
        <v>168</v>
      </c>
      <c r="C16" s="265" t="s">
        <v>416</v>
      </c>
      <c r="D16" s="265" t="s">
        <v>49</v>
      </c>
      <c r="E16" s="265" t="s">
        <v>50</v>
      </c>
      <c r="F16" s="265">
        <v>4</v>
      </c>
      <c r="G16" s="265">
        <v>1</v>
      </c>
      <c r="H16" s="265">
        <v>1</v>
      </c>
      <c r="I16" s="265">
        <v>3</v>
      </c>
      <c r="J16" s="265">
        <v>2</v>
      </c>
      <c r="K16" s="265">
        <v>2</v>
      </c>
      <c r="L16" s="265">
        <v>14</v>
      </c>
      <c r="M16" s="265">
        <v>1</v>
      </c>
      <c r="N16" s="265">
        <v>7</v>
      </c>
      <c r="O16" s="265">
        <v>10</v>
      </c>
      <c r="P16" s="265">
        <v>11</v>
      </c>
      <c r="Q16" s="265">
        <v>11</v>
      </c>
      <c r="R16" s="265">
        <v>1442</v>
      </c>
      <c r="S16" s="265">
        <v>1406</v>
      </c>
      <c r="T16" s="265">
        <v>972</v>
      </c>
      <c r="U16" s="265">
        <v>1150</v>
      </c>
      <c r="V16" s="265">
        <v>1201</v>
      </c>
      <c r="W16" s="265">
        <v>1201</v>
      </c>
      <c r="X16" s="265">
        <v>4</v>
      </c>
      <c r="Y16" s="265">
        <v>14</v>
      </c>
      <c r="Z16" s="265">
        <v>1442</v>
      </c>
    </row>
    <row r="17" spans="1:26" x14ac:dyDescent="0.35">
      <c r="A17" s="267">
        <v>45630.493391805554</v>
      </c>
      <c r="B17" s="265" t="s">
        <v>168</v>
      </c>
      <c r="C17" s="265" t="s">
        <v>269</v>
      </c>
      <c r="D17" s="265" t="s">
        <v>49</v>
      </c>
      <c r="E17" s="265" t="s">
        <v>50</v>
      </c>
      <c r="F17" s="265">
        <v>7</v>
      </c>
      <c r="G17" s="265">
        <v>0</v>
      </c>
      <c r="H17" s="265">
        <v>6</v>
      </c>
      <c r="I17" s="265">
        <v>7</v>
      </c>
      <c r="J17" s="265">
        <v>6</v>
      </c>
      <c r="K17" s="265">
        <v>6</v>
      </c>
      <c r="L17" s="265">
        <v>23</v>
      </c>
      <c r="M17" s="265">
        <v>0</v>
      </c>
      <c r="N17" s="265">
        <v>17</v>
      </c>
      <c r="O17" s="265">
        <v>19</v>
      </c>
      <c r="P17" s="265">
        <v>16</v>
      </c>
      <c r="Q17" s="265">
        <v>16</v>
      </c>
      <c r="R17" s="265">
        <v>1602</v>
      </c>
      <c r="S17" s="265">
        <v>1571</v>
      </c>
      <c r="T17" s="265">
        <v>1122</v>
      </c>
      <c r="U17" s="265">
        <v>1351</v>
      </c>
      <c r="V17" s="265">
        <v>1201</v>
      </c>
      <c r="W17" s="265">
        <v>1202</v>
      </c>
      <c r="X17" s="265">
        <v>9</v>
      </c>
      <c r="Y17" s="265">
        <v>25</v>
      </c>
      <c r="Z17" s="265">
        <v>1604</v>
      </c>
    </row>
    <row r="18" spans="1:26" x14ac:dyDescent="0.35">
      <c r="A18" s="267">
        <v>45630.493391805554</v>
      </c>
      <c r="B18" s="265" t="s">
        <v>168</v>
      </c>
      <c r="C18" s="265" t="s">
        <v>367</v>
      </c>
      <c r="D18" s="265" t="s">
        <v>49</v>
      </c>
      <c r="E18" s="265" t="s">
        <v>50</v>
      </c>
      <c r="F18" s="265">
        <v>5</v>
      </c>
      <c r="G18" s="265">
        <v>0</v>
      </c>
      <c r="H18" s="265">
        <v>2</v>
      </c>
      <c r="I18" s="265">
        <v>4</v>
      </c>
      <c r="J18" s="265">
        <v>2</v>
      </c>
      <c r="K18" s="265">
        <v>2</v>
      </c>
      <c r="L18" s="265">
        <v>16</v>
      </c>
      <c r="M18" s="265">
        <v>0</v>
      </c>
      <c r="N18" s="265">
        <v>5</v>
      </c>
      <c r="O18" s="265">
        <v>11</v>
      </c>
      <c r="P18" s="265">
        <v>9</v>
      </c>
      <c r="Q18" s="265">
        <v>9</v>
      </c>
      <c r="R18" s="265">
        <v>1504</v>
      </c>
      <c r="S18" s="265">
        <v>1476</v>
      </c>
      <c r="T18" s="265">
        <v>880</v>
      </c>
      <c r="U18" s="265">
        <v>1106</v>
      </c>
      <c r="V18" s="265">
        <v>1089</v>
      </c>
      <c r="W18" s="265">
        <v>1089</v>
      </c>
      <c r="X18" s="265">
        <v>5</v>
      </c>
      <c r="Y18" s="265">
        <v>16</v>
      </c>
      <c r="Z18" s="265">
        <v>1505</v>
      </c>
    </row>
    <row r="19" spans="1:26" x14ac:dyDescent="0.35">
      <c r="A19" s="267">
        <v>45630.493391805554</v>
      </c>
      <c r="B19" s="265" t="s">
        <v>168</v>
      </c>
      <c r="C19" s="265" t="s">
        <v>288</v>
      </c>
      <c r="D19" s="265" t="s">
        <v>49</v>
      </c>
      <c r="E19" s="265" t="s">
        <v>50</v>
      </c>
      <c r="F19" s="265">
        <v>3</v>
      </c>
      <c r="G19" s="265">
        <v>0</v>
      </c>
      <c r="H19" s="265">
        <v>1</v>
      </c>
      <c r="I19" s="265">
        <v>2</v>
      </c>
      <c r="J19" s="265">
        <v>2</v>
      </c>
      <c r="K19" s="265">
        <v>2</v>
      </c>
      <c r="L19" s="265">
        <v>19</v>
      </c>
      <c r="M19" s="265">
        <v>0</v>
      </c>
      <c r="N19" s="265">
        <v>6</v>
      </c>
      <c r="O19" s="265">
        <v>12</v>
      </c>
      <c r="P19" s="265">
        <v>13</v>
      </c>
      <c r="Q19" s="265">
        <v>13</v>
      </c>
      <c r="R19" s="265">
        <v>2173</v>
      </c>
      <c r="S19" s="265">
        <v>2148</v>
      </c>
      <c r="T19" s="265">
        <v>1429</v>
      </c>
      <c r="U19" s="265">
        <v>1712</v>
      </c>
      <c r="V19" s="265">
        <v>1727</v>
      </c>
      <c r="W19" s="265">
        <v>1727</v>
      </c>
      <c r="X19" s="265">
        <v>3</v>
      </c>
      <c r="Y19" s="265">
        <v>17</v>
      </c>
      <c r="Z19" s="265">
        <v>2172</v>
      </c>
    </row>
    <row r="20" spans="1:26" x14ac:dyDescent="0.35">
      <c r="A20" s="267">
        <v>45630.493391805554</v>
      </c>
      <c r="B20" s="265" t="s">
        <v>168</v>
      </c>
      <c r="C20" s="265" t="s">
        <v>398</v>
      </c>
      <c r="D20" s="265" t="s">
        <v>49</v>
      </c>
      <c r="E20" s="265" t="s">
        <v>50</v>
      </c>
      <c r="F20" s="265">
        <v>7</v>
      </c>
      <c r="G20" s="265">
        <v>0</v>
      </c>
      <c r="H20" s="265">
        <v>7</v>
      </c>
      <c r="I20" s="265">
        <v>7</v>
      </c>
      <c r="J20" s="265">
        <v>6</v>
      </c>
      <c r="K20" s="265">
        <v>6</v>
      </c>
      <c r="L20" s="265">
        <v>24</v>
      </c>
      <c r="M20" s="265">
        <v>0</v>
      </c>
      <c r="N20" s="265">
        <v>20</v>
      </c>
      <c r="O20" s="265">
        <v>21</v>
      </c>
      <c r="P20" s="265">
        <v>19</v>
      </c>
      <c r="Q20" s="265">
        <v>19</v>
      </c>
      <c r="R20" s="265">
        <v>2306</v>
      </c>
      <c r="S20" s="265">
        <v>2251</v>
      </c>
      <c r="T20" s="265">
        <v>1465</v>
      </c>
      <c r="U20" s="265">
        <v>1788</v>
      </c>
      <c r="V20" s="265">
        <v>1486</v>
      </c>
      <c r="W20" s="265">
        <v>1486</v>
      </c>
      <c r="X20" s="265">
        <v>8</v>
      </c>
      <c r="Y20" s="265">
        <v>25</v>
      </c>
      <c r="Z20" s="265">
        <v>2307</v>
      </c>
    </row>
    <row r="21" spans="1:26" x14ac:dyDescent="0.35">
      <c r="A21" s="267">
        <v>45630.493391805554</v>
      </c>
      <c r="B21" s="265" t="s">
        <v>168</v>
      </c>
      <c r="C21" s="265" t="s">
        <v>309</v>
      </c>
      <c r="D21" s="265" t="s">
        <v>49</v>
      </c>
      <c r="E21" s="265" t="s">
        <v>50</v>
      </c>
      <c r="F21" s="265">
        <v>6</v>
      </c>
      <c r="G21" s="265">
        <v>0</v>
      </c>
      <c r="H21" s="265">
        <v>6</v>
      </c>
      <c r="I21" s="265">
        <v>6</v>
      </c>
      <c r="J21" s="265">
        <v>5</v>
      </c>
      <c r="K21" s="265">
        <v>5</v>
      </c>
      <c r="L21" s="265">
        <v>20</v>
      </c>
      <c r="M21" s="265">
        <v>0</v>
      </c>
      <c r="N21" s="265">
        <v>18</v>
      </c>
      <c r="O21" s="265">
        <v>20</v>
      </c>
      <c r="P21" s="265">
        <v>18</v>
      </c>
      <c r="Q21" s="265">
        <v>18</v>
      </c>
      <c r="R21" s="265">
        <v>1839</v>
      </c>
      <c r="S21" s="265">
        <v>1820</v>
      </c>
      <c r="T21" s="265">
        <v>1245</v>
      </c>
      <c r="U21" s="265">
        <v>1527</v>
      </c>
      <c r="V21" s="265">
        <v>1464</v>
      </c>
      <c r="W21" s="265">
        <v>1466</v>
      </c>
      <c r="X21" s="265">
        <v>6</v>
      </c>
      <c r="Y21" s="265">
        <v>20</v>
      </c>
      <c r="Z21" s="265">
        <v>1841</v>
      </c>
    </row>
    <row r="22" spans="1:26" x14ac:dyDescent="0.35">
      <c r="A22" s="267">
        <v>45630.493391805554</v>
      </c>
      <c r="B22" s="265" t="s">
        <v>168</v>
      </c>
      <c r="C22" s="265" t="s">
        <v>387</v>
      </c>
      <c r="D22" s="265" t="s">
        <v>49</v>
      </c>
      <c r="E22" s="265" t="s">
        <v>50</v>
      </c>
      <c r="F22" s="265">
        <v>1</v>
      </c>
      <c r="G22" s="265">
        <v>0</v>
      </c>
      <c r="H22" s="265">
        <v>1</v>
      </c>
      <c r="I22" s="265">
        <v>1</v>
      </c>
      <c r="J22" s="265">
        <v>1</v>
      </c>
      <c r="K22" s="265">
        <v>1</v>
      </c>
      <c r="L22" s="265">
        <v>4</v>
      </c>
      <c r="M22" s="265">
        <v>0</v>
      </c>
      <c r="N22" s="265">
        <v>4</v>
      </c>
      <c r="O22" s="265">
        <v>4</v>
      </c>
      <c r="P22" s="265">
        <v>4</v>
      </c>
      <c r="Q22" s="265">
        <v>4</v>
      </c>
      <c r="R22" s="265">
        <v>764</v>
      </c>
      <c r="S22" s="265">
        <v>746</v>
      </c>
      <c r="T22" s="265">
        <v>537</v>
      </c>
      <c r="U22" s="265">
        <v>622</v>
      </c>
      <c r="V22" s="265">
        <v>558</v>
      </c>
      <c r="W22" s="265">
        <v>558</v>
      </c>
      <c r="X22" s="265">
        <v>1</v>
      </c>
      <c r="Y22" s="265">
        <v>4</v>
      </c>
      <c r="Z22" s="265">
        <v>764</v>
      </c>
    </row>
    <row r="23" spans="1:26" x14ac:dyDescent="0.35">
      <c r="A23" s="267">
        <v>45630.493391805554</v>
      </c>
      <c r="B23" s="265" t="s">
        <v>168</v>
      </c>
      <c r="C23" s="265" t="s">
        <v>505</v>
      </c>
      <c r="D23" s="265" t="s">
        <v>49</v>
      </c>
      <c r="E23" s="265" t="s">
        <v>50</v>
      </c>
      <c r="F23" s="265">
        <v>0</v>
      </c>
      <c r="G23" s="265">
        <v>0</v>
      </c>
      <c r="H23" s="265">
        <v>0</v>
      </c>
      <c r="I23" s="265">
        <v>0</v>
      </c>
      <c r="J23" s="265">
        <v>0</v>
      </c>
      <c r="K23" s="265">
        <v>0</v>
      </c>
      <c r="L23" s="265">
        <v>2</v>
      </c>
      <c r="M23" s="265">
        <v>0</v>
      </c>
      <c r="N23" s="265">
        <v>2</v>
      </c>
      <c r="O23" s="265">
        <v>2</v>
      </c>
      <c r="P23" s="265">
        <v>2</v>
      </c>
      <c r="Q23" s="265">
        <v>2</v>
      </c>
      <c r="R23" s="265">
        <v>252</v>
      </c>
      <c r="S23" s="265">
        <v>246</v>
      </c>
      <c r="T23" s="265">
        <v>184</v>
      </c>
      <c r="U23" s="265">
        <v>197</v>
      </c>
      <c r="V23" s="265">
        <v>174</v>
      </c>
      <c r="W23" s="265">
        <v>174</v>
      </c>
      <c r="X23" s="265">
        <v>0</v>
      </c>
      <c r="Y23" s="265">
        <v>2</v>
      </c>
      <c r="Z23" s="265">
        <v>252</v>
      </c>
    </row>
    <row r="24" spans="1:26" x14ac:dyDescent="0.35">
      <c r="A24" s="267">
        <v>45630.493391805554</v>
      </c>
      <c r="B24" s="265" t="s">
        <v>168</v>
      </c>
      <c r="C24" s="265" t="s">
        <v>302</v>
      </c>
      <c r="D24" s="265" t="s">
        <v>49</v>
      </c>
      <c r="E24" s="265" t="s">
        <v>50</v>
      </c>
      <c r="F24" s="265">
        <v>11</v>
      </c>
      <c r="G24" s="265">
        <v>0</v>
      </c>
      <c r="H24" s="265">
        <v>9</v>
      </c>
      <c r="I24" s="265">
        <v>10</v>
      </c>
      <c r="J24" s="265">
        <v>8</v>
      </c>
      <c r="K24" s="265">
        <v>8</v>
      </c>
      <c r="L24" s="265">
        <v>35</v>
      </c>
      <c r="M24" s="265">
        <v>0</v>
      </c>
      <c r="N24" s="265">
        <v>20</v>
      </c>
      <c r="O24" s="265">
        <v>25</v>
      </c>
      <c r="P24" s="265">
        <v>25</v>
      </c>
      <c r="Q24" s="265">
        <v>25</v>
      </c>
      <c r="R24" s="265">
        <v>3951</v>
      </c>
      <c r="S24" s="265">
        <v>3864</v>
      </c>
      <c r="T24" s="265">
        <v>2563</v>
      </c>
      <c r="U24" s="265">
        <v>3102</v>
      </c>
      <c r="V24" s="265">
        <v>3027</v>
      </c>
      <c r="W24" s="265">
        <v>3027</v>
      </c>
      <c r="X24" s="265">
        <v>10</v>
      </c>
      <c r="Y24" s="265">
        <v>33</v>
      </c>
      <c r="Z24" s="265">
        <v>3952</v>
      </c>
    </row>
    <row r="25" spans="1:26" x14ac:dyDescent="0.35">
      <c r="A25" s="267">
        <v>45630.493391805554</v>
      </c>
      <c r="B25" s="265" t="s">
        <v>168</v>
      </c>
      <c r="C25" s="265" t="s">
        <v>507</v>
      </c>
      <c r="D25" s="265" t="s">
        <v>49</v>
      </c>
      <c r="E25" s="265" t="s">
        <v>50</v>
      </c>
      <c r="F25" s="265">
        <v>1</v>
      </c>
      <c r="G25" s="265">
        <v>0</v>
      </c>
      <c r="H25" s="265">
        <v>0</v>
      </c>
      <c r="I25" s="265">
        <v>1</v>
      </c>
      <c r="J25" s="265">
        <v>0</v>
      </c>
      <c r="K25" s="265">
        <v>0</v>
      </c>
      <c r="L25" s="265">
        <v>3</v>
      </c>
      <c r="M25" s="265">
        <v>0</v>
      </c>
      <c r="N25" s="265">
        <v>2</v>
      </c>
      <c r="O25" s="265">
        <v>3</v>
      </c>
      <c r="P25" s="265">
        <v>2</v>
      </c>
      <c r="Q25" s="265">
        <v>2</v>
      </c>
      <c r="R25" s="265">
        <v>81</v>
      </c>
      <c r="S25" s="265">
        <v>77</v>
      </c>
      <c r="T25" s="265">
        <v>50</v>
      </c>
      <c r="U25" s="265">
        <v>63</v>
      </c>
      <c r="V25" s="265">
        <v>59</v>
      </c>
      <c r="W25" s="265">
        <v>59</v>
      </c>
      <c r="X25" s="265">
        <v>1</v>
      </c>
      <c r="Y25" s="265">
        <v>3</v>
      </c>
      <c r="Z25" s="265">
        <v>80</v>
      </c>
    </row>
    <row r="26" spans="1:26" x14ac:dyDescent="0.35">
      <c r="A26" s="267">
        <v>45630.493391805554</v>
      </c>
      <c r="B26" s="265" t="s">
        <v>168</v>
      </c>
      <c r="C26" s="265" t="s">
        <v>313</v>
      </c>
      <c r="D26" s="265" t="s">
        <v>49</v>
      </c>
      <c r="E26" s="265" t="s">
        <v>50</v>
      </c>
      <c r="F26" s="265">
        <v>5</v>
      </c>
      <c r="G26" s="265">
        <v>0</v>
      </c>
      <c r="H26" s="265">
        <v>5</v>
      </c>
      <c r="I26" s="265">
        <v>5</v>
      </c>
      <c r="J26" s="265">
        <v>5</v>
      </c>
      <c r="K26" s="265">
        <v>5</v>
      </c>
      <c r="L26" s="265">
        <v>16</v>
      </c>
      <c r="M26" s="265">
        <v>0</v>
      </c>
      <c r="N26" s="265">
        <v>15</v>
      </c>
      <c r="O26" s="265">
        <v>15</v>
      </c>
      <c r="P26" s="265">
        <v>15</v>
      </c>
      <c r="Q26" s="265">
        <v>15</v>
      </c>
      <c r="R26" s="265">
        <v>1495</v>
      </c>
      <c r="S26" s="265">
        <v>1458</v>
      </c>
      <c r="T26" s="265">
        <v>1051</v>
      </c>
      <c r="U26" s="265">
        <v>1221</v>
      </c>
      <c r="V26" s="265">
        <v>1239</v>
      </c>
      <c r="W26" s="265">
        <v>1239</v>
      </c>
      <c r="X26" s="265">
        <v>5</v>
      </c>
      <c r="Y26" s="265">
        <v>16</v>
      </c>
      <c r="Z26" s="265">
        <v>1496</v>
      </c>
    </row>
    <row r="27" spans="1:26" x14ac:dyDescent="0.35">
      <c r="A27" s="267">
        <v>45630.493391805554</v>
      </c>
      <c r="B27" s="265" t="s">
        <v>168</v>
      </c>
      <c r="C27" s="265" t="s">
        <v>423</v>
      </c>
      <c r="D27" s="265" t="s">
        <v>49</v>
      </c>
      <c r="E27" s="265" t="s">
        <v>50</v>
      </c>
      <c r="F27" s="265">
        <v>1</v>
      </c>
      <c r="G27" s="265">
        <v>0</v>
      </c>
      <c r="H27" s="265">
        <v>0</v>
      </c>
      <c r="I27" s="265">
        <v>1</v>
      </c>
      <c r="J27" s="265">
        <v>1</v>
      </c>
      <c r="K27" s="265">
        <v>1</v>
      </c>
      <c r="L27" s="265">
        <v>5</v>
      </c>
      <c r="M27" s="265">
        <v>0</v>
      </c>
      <c r="N27" s="265">
        <v>2</v>
      </c>
      <c r="O27" s="265">
        <v>4</v>
      </c>
      <c r="P27" s="265">
        <v>3</v>
      </c>
      <c r="Q27" s="265">
        <v>3</v>
      </c>
      <c r="R27" s="265">
        <v>579</v>
      </c>
      <c r="S27" s="265">
        <v>562</v>
      </c>
      <c r="T27" s="265">
        <v>395</v>
      </c>
      <c r="U27" s="265">
        <v>463</v>
      </c>
      <c r="V27" s="265">
        <v>470</v>
      </c>
      <c r="W27" s="265">
        <v>470</v>
      </c>
      <c r="X27" s="265">
        <v>1</v>
      </c>
      <c r="Y27" s="265">
        <v>5</v>
      </c>
      <c r="Z27" s="265">
        <v>579</v>
      </c>
    </row>
    <row r="28" spans="1:26" x14ac:dyDescent="0.35">
      <c r="A28" s="267">
        <v>45630.493391805554</v>
      </c>
      <c r="B28" s="265" t="s">
        <v>168</v>
      </c>
      <c r="C28" s="265" t="s">
        <v>250</v>
      </c>
      <c r="D28" s="265" t="s">
        <v>49</v>
      </c>
      <c r="E28" s="265" t="s">
        <v>50</v>
      </c>
      <c r="F28" s="265">
        <v>2</v>
      </c>
      <c r="G28" s="265">
        <v>0</v>
      </c>
      <c r="H28" s="265">
        <v>2</v>
      </c>
      <c r="I28" s="265">
        <v>2</v>
      </c>
      <c r="J28" s="265">
        <v>2</v>
      </c>
      <c r="K28" s="265">
        <v>2</v>
      </c>
      <c r="L28" s="265">
        <v>6</v>
      </c>
      <c r="M28" s="265">
        <v>0</v>
      </c>
      <c r="N28" s="265">
        <v>5</v>
      </c>
      <c r="O28" s="265">
        <v>5</v>
      </c>
      <c r="P28" s="265">
        <v>6</v>
      </c>
      <c r="Q28" s="265">
        <v>6</v>
      </c>
      <c r="R28" s="265">
        <v>585</v>
      </c>
      <c r="S28" s="265">
        <v>570</v>
      </c>
      <c r="T28" s="265">
        <v>423</v>
      </c>
      <c r="U28" s="265">
        <v>471</v>
      </c>
      <c r="V28" s="265">
        <v>454</v>
      </c>
      <c r="W28" s="265">
        <v>454</v>
      </c>
      <c r="X28" s="265">
        <v>2</v>
      </c>
      <c r="Y28" s="265">
        <v>6</v>
      </c>
      <c r="Z28" s="265">
        <v>585</v>
      </c>
    </row>
    <row r="29" spans="1:26" x14ac:dyDescent="0.35">
      <c r="A29" s="267">
        <v>45630.493391805554</v>
      </c>
      <c r="B29" s="265" t="s">
        <v>168</v>
      </c>
      <c r="C29" s="265" t="s">
        <v>335</v>
      </c>
      <c r="D29" s="265" t="s">
        <v>49</v>
      </c>
      <c r="E29" s="265" t="s">
        <v>50</v>
      </c>
      <c r="F29" s="265">
        <v>1</v>
      </c>
      <c r="G29" s="265">
        <v>0</v>
      </c>
      <c r="H29" s="265">
        <v>1</v>
      </c>
      <c r="I29" s="265">
        <v>1</v>
      </c>
      <c r="J29" s="265">
        <v>1</v>
      </c>
      <c r="K29" s="265">
        <v>1</v>
      </c>
      <c r="L29" s="265">
        <v>5</v>
      </c>
      <c r="M29" s="265">
        <v>0</v>
      </c>
      <c r="N29" s="265">
        <v>4</v>
      </c>
      <c r="O29" s="265">
        <v>4</v>
      </c>
      <c r="P29" s="265">
        <v>4</v>
      </c>
      <c r="Q29" s="265">
        <v>4</v>
      </c>
      <c r="R29" s="265">
        <v>579</v>
      </c>
      <c r="S29" s="265">
        <v>561</v>
      </c>
      <c r="T29" s="265">
        <v>396</v>
      </c>
      <c r="U29" s="265">
        <v>452</v>
      </c>
      <c r="V29" s="265">
        <v>419</v>
      </c>
      <c r="W29" s="265">
        <v>419</v>
      </c>
      <c r="X29" s="265">
        <v>1</v>
      </c>
      <c r="Y29" s="265">
        <v>5</v>
      </c>
      <c r="Z29" s="265">
        <v>579</v>
      </c>
    </row>
    <row r="30" spans="1:26" x14ac:dyDescent="0.35">
      <c r="A30" s="267">
        <v>45630.493391805554</v>
      </c>
      <c r="B30" s="265" t="s">
        <v>168</v>
      </c>
      <c r="C30" s="265" t="s">
        <v>256</v>
      </c>
      <c r="D30" s="265" t="s">
        <v>49</v>
      </c>
      <c r="E30" s="265" t="s">
        <v>50</v>
      </c>
      <c r="F30" s="265">
        <v>7</v>
      </c>
      <c r="G30" s="265">
        <v>0</v>
      </c>
      <c r="H30" s="265">
        <v>6</v>
      </c>
      <c r="I30" s="265">
        <v>7</v>
      </c>
      <c r="J30" s="265">
        <v>7</v>
      </c>
      <c r="K30" s="265">
        <v>7</v>
      </c>
      <c r="L30" s="265">
        <v>29</v>
      </c>
      <c r="M30" s="265">
        <v>0</v>
      </c>
      <c r="N30" s="265">
        <v>17</v>
      </c>
      <c r="O30" s="265">
        <v>22</v>
      </c>
      <c r="P30" s="265">
        <v>19</v>
      </c>
      <c r="Q30" s="265">
        <v>19</v>
      </c>
      <c r="R30" s="265">
        <v>3182</v>
      </c>
      <c r="S30" s="265">
        <v>3131</v>
      </c>
      <c r="T30" s="265">
        <v>2057</v>
      </c>
      <c r="U30" s="265">
        <v>2537</v>
      </c>
      <c r="V30" s="265">
        <v>2553</v>
      </c>
      <c r="W30" s="265">
        <v>2553</v>
      </c>
      <c r="X30" s="265">
        <v>8</v>
      </c>
      <c r="Y30" s="265">
        <v>30</v>
      </c>
      <c r="Z30" s="265">
        <v>3182</v>
      </c>
    </row>
    <row r="31" spans="1:26" x14ac:dyDescent="0.35">
      <c r="A31" s="267">
        <v>45630.493391805554</v>
      </c>
      <c r="B31" s="265" t="s">
        <v>168</v>
      </c>
      <c r="C31" s="265" t="s">
        <v>392</v>
      </c>
      <c r="D31" s="265" t="s">
        <v>49</v>
      </c>
      <c r="E31" s="265" t="s">
        <v>50</v>
      </c>
      <c r="F31" s="265">
        <v>14</v>
      </c>
      <c r="G31" s="265">
        <v>0</v>
      </c>
      <c r="H31" s="265">
        <v>12</v>
      </c>
      <c r="I31" s="265">
        <v>13</v>
      </c>
      <c r="J31" s="265">
        <v>12</v>
      </c>
      <c r="K31" s="265">
        <v>12</v>
      </c>
      <c r="L31" s="265">
        <v>46</v>
      </c>
      <c r="M31" s="265">
        <v>0</v>
      </c>
      <c r="N31" s="265">
        <v>33</v>
      </c>
      <c r="O31" s="265">
        <v>39</v>
      </c>
      <c r="P31" s="265">
        <v>30</v>
      </c>
      <c r="Q31" s="265">
        <v>30</v>
      </c>
      <c r="R31" s="265">
        <v>4375</v>
      </c>
      <c r="S31" s="265">
        <v>4313</v>
      </c>
      <c r="T31" s="265">
        <v>3166</v>
      </c>
      <c r="U31" s="265">
        <v>3673</v>
      </c>
      <c r="V31" s="265">
        <v>3447</v>
      </c>
      <c r="W31" s="265">
        <v>3447</v>
      </c>
      <c r="X31" s="265">
        <v>14</v>
      </c>
      <c r="Y31" s="265">
        <v>46</v>
      </c>
      <c r="Z31" s="265">
        <v>4376</v>
      </c>
    </row>
    <row r="32" spans="1:26" x14ac:dyDescent="0.35">
      <c r="A32" s="267">
        <v>45630.493391805554</v>
      </c>
      <c r="B32" s="265" t="s">
        <v>168</v>
      </c>
      <c r="C32" s="265" t="s">
        <v>282</v>
      </c>
      <c r="D32" s="265" t="s">
        <v>49</v>
      </c>
      <c r="E32" s="265" t="s">
        <v>50</v>
      </c>
      <c r="F32" s="265">
        <v>3</v>
      </c>
      <c r="G32" s="265">
        <v>0</v>
      </c>
      <c r="H32" s="265">
        <v>3</v>
      </c>
      <c r="I32" s="265">
        <v>3</v>
      </c>
      <c r="J32" s="265">
        <v>3</v>
      </c>
      <c r="K32" s="265">
        <v>3</v>
      </c>
      <c r="L32" s="265">
        <v>10</v>
      </c>
      <c r="M32" s="265">
        <v>0</v>
      </c>
      <c r="N32" s="265">
        <v>8</v>
      </c>
      <c r="O32" s="265">
        <v>8</v>
      </c>
      <c r="P32" s="265">
        <v>8</v>
      </c>
      <c r="Q32" s="265">
        <v>8</v>
      </c>
      <c r="R32" s="265">
        <v>1256</v>
      </c>
      <c r="S32" s="265">
        <v>1225</v>
      </c>
      <c r="T32" s="265">
        <v>775</v>
      </c>
      <c r="U32" s="265">
        <v>947</v>
      </c>
      <c r="V32" s="265">
        <v>878</v>
      </c>
      <c r="W32" s="265">
        <v>878</v>
      </c>
      <c r="X32" s="265">
        <v>3</v>
      </c>
      <c r="Y32" s="265">
        <v>10</v>
      </c>
      <c r="Z32" s="265">
        <v>1256</v>
      </c>
    </row>
    <row r="33" spans="1:26" x14ac:dyDescent="0.35">
      <c r="A33" s="267">
        <v>45630.493391805554</v>
      </c>
      <c r="B33" s="265" t="s">
        <v>168</v>
      </c>
      <c r="C33" s="265" t="s">
        <v>306</v>
      </c>
      <c r="D33" s="265" t="s">
        <v>49</v>
      </c>
      <c r="E33" s="265" t="s">
        <v>50</v>
      </c>
      <c r="F33" s="265">
        <v>2</v>
      </c>
      <c r="G33" s="265">
        <v>0</v>
      </c>
      <c r="H33" s="265">
        <v>1</v>
      </c>
      <c r="I33" s="265">
        <v>1</v>
      </c>
      <c r="J33" s="265">
        <v>1</v>
      </c>
      <c r="K33" s="265">
        <v>1</v>
      </c>
      <c r="L33" s="265">
        <v>6</v>
      </c>
      <c r="M33" s="265">
        <v>0</v>
      </c>
      <c r="N33" s="265">
        <v>2</v>
      </c>
      <c r="O33" s="265">
        <v>3</v>
      </c>
      <c r="P33" s="265">
        <v>2</v>
      </c>
      <c r="Q33" s="265">
        <v>2</v>
      </c>
      <c r="R33" s="265">
        <v>631</v>
      </c>
      <c r="S33" s="265">
        <v>619</v>
      </c>
      <c r="T33" s="265">
        <v>335</v>
      </c>
      <c r="U33" s="265">
        <v>463</v>
      </c>
      <c r="V33" s="265">
        <v>431</v>
      </c>
      <c r="W33" s="265">
        <v>431</v>
      </c>
      <c r="X33" s="265">
        <v>2</v>
      </c>
      <c r="Y33" s="265">
        <v>6</v>
      </c>
      <c r="Z33" s="265">
        <v>631</v>
      </c>
    </row>
    <row r="34" spans="1:26" x14ac:dyDescent="0.35">
      <c r="A34" s="267">
        <v>45630.493391805554</v>
      </c>
      <c r="B34" s="265" t="s">
        <v>167</v>
      </c>
      <c r="C34" s="265" t="s">
        <v>299</v>
      </c>
      <c r="D34" s="265" t="s">
        <v>49</v>
      </c>
      <c r="E34" s="265" t="s">
        <v>50</v>
      </c>
      <c r="F34" s="265">
        <v>9</v>
      </c>
      <c r="G34" s="265">
        <v>0</v>
      </c>
      <c r="H34" s="265">
        <v>4</v>
      </c>
      <c r="I34" s="265">
        <v>7</v>
      </c>
      <c r="J34" s="265">
        <v>4</v>
      </c>
      <c r="K34" s="265">
        <v>4</v>
      </c>
      <c r="L34" s="265">
        <v>27</v>
      </c>
      <c r="M34" s="265">
        <v>0</v>
      </c>
      <c r="N34" s="265">
        <v>12</v>
      </c>
      <c r="O34" s="265">
        <v>20</v>
      </c>
      <c r="P34" s="265">
        <v>11</v>
      </c>
      <c r="Q34" s="265">
        <v>11</v>
      </c>
      <c r="R34" s="265">
        <v>2665</v>
      </c>
      <c r="S34" s="265">
        <v>2617</v>
      </c>
      <c r="T34" s="265">
        <v>1812</v>
      </c>
      <c r="U34" s="265">
        <v>2173</v>
      </c>
      <c r="V34" s="265">
        <v>1949</v>
      </c>
      <c r="W34" s="265">
        <v>1949</v>
      </c>
      <c r="X34" s="265">
        <v>9</v>
      </c>
      <c r="Y34" s="265">
        <v>27</v>
      </c>
      <c r="Z34" s="265">
        <v>2665</v>
      </c>
    </row>
    <row r="35" spans="1:26" x14ac:dyDescent="0.35">
      <c r="A35" s="267">
        <v>45630.493391805554</v>
      </c>
      <c r="B35" s="265" t="s">
        <v>167</v>
      </c>
      <c r="C35" s="265" t="s">
        <v>503</v>
      </c>
      <c r="D35" s="265" t="s">
        <v>49</v>
      </c>
      <c r="E35" s="265" t="s">
        <v>50</v>
      </c>
      <c r="F35" s="265">
        <v>1</v>
      </c>
      <c r="G35" s="265">
        <v>0</v>
      </c>
      <c r="H35" s="265">
        <v>1</v>
      </c>
      <c r="I35" s="265">
        <v>1</v>
      </c>
      <c r="J35" s="265">
        <v>1</v>
      </c>
      <c r="K35" s="265">
        <v>1</v>
      </c>
      <c r="L35" s="265">
        <v>3</v>
      </c>
      <c r="M35" s="265">
        <v>0</v>
      </c>
      <c r="N35" s="265">
        <v>2</v>
      </c>
      <c r="O35" s="265">
        <v>2</v>
      </c>
      <c r="P35" s="265">
        <v>2</v>
      </c>
      <c r="Q35" s="265">
        <v>2</v>
      </c>
      <c r="R35" s="265">
        <v>269</v>
      </c>
      <c r="S35" s="265">
        <v>261</v>
      </c>
      <c r="T35" s="265">
        <v>174</v>
      </c>
      <c r="U35" s="265">
        <v>207</v>
      </c>
      <c r="V35" s="265">
        <v>163</v>
      </c>
      <c r="W35" s="265">
        <v>163</v>
      </c>
      <c r="X35" s="265">
        <v>1</v>
      </c>
      <c r="Y35" s="265">
        <v>3</v>
      </c>
      <c r="Z35" s="265">
        <v>269</v>
      </c>
    </row>
    <row r="36" spans="1:26" x14ac:dyDescent="0.35">
      <c r="A36" s="267">
        <v>45630.493391805554</v>
      </c>
      <c r="B36" s="265" t="s">
        <v>168</v>
      </c>
      <c r="C36" s="265" t="s">
        <v>498</v>
      </c>
      <c r="D36" s="265" t="s">
        <v>49</v>
      </c>
      <c r="E36" s="265" t="s">
        <v>50</v>
      </c>
      <c r="F36" s="265">
        <v>0</v>
      </c>
      <c r="G36" s="265">
        <v>0</v>
      </c>
      <c r="H36" s="265">
        <v>0</v>
      </c>
      <c r="I36" s="265">
        <v>0</v>
      </c>
      <c r="J36" s="265">
        <v>0</v>
      </c>
      <c r="K36" s="265">
        <v>0</v>
      </c>
      <c r="L36" s="265">
        <v>0</v>
      </c>
      <c r="M36" s="265">
        <v>0</v>
      </c>
      <c r="N36" s="265">
        <v>0</v>
      </c>
      <c r="O36" s="265">
        <v>0</v>
      </c>
      <c r="P36" s="265">
        <v>0</v>
      </c>
      <c r="Q36" s="265">
        <v>0</v>
      </c>
      <c r="R36" s="265">
        <v>11</v>
      </c>
      <c r="S36" s="265">
        <v>11</v>
      </c>
      <c r="T36" s="265">
        <v>5</v>
      </c>
      <c r="U36" s="265">
        <v>8</v>
      </c>
      <c r="V36" s="265">
        <v>9</v>
      </c>
      <c r="W36" s="265">
        <v>9</v>
      </c>
      <c r="X36" s="265">
        <v>0</v>
      </c>
      <c r="Y36" s="265">
        <v>0</v>
      </c>
      <c r="Z36" s="265">
        <v>10</v>
      </c>
    </row>
    <row r="37" spans="1:26" x14ac:dyDescent="0.35">
      <c r="A37" s="267">
        <v>45630.493391805554</v>
      </c>
      <c r="B37" s="265" t="s">
        <v>168</v>
      </c>
      <c r="C37" s="265" t="s">
        <v>240</v>
      </c>
      <c r="D37" s="265" t="s">
        <v>49</v>
      </c>
      <c r="E37" s="265" t="s">
        <v>50</v>
      </c>
      <c r="F37" s="265">
        <v>5</v>
      </c>
      <c r="G37" s="265">
        <v>0</v>
      </c>
      <c r="H37" s="265">
        <v>5</v>
      </c>
      <c r="I37" s="265">
        <v>6</v>
      </c>
      <c r="J37" s="265">
        <v>5</v>
      </c>
      <c r="K37" s="265">
        <v>5</v>
      </c>
      <c r="L37" s="265">
        <v>14</v>
      </c>
      <c r="M37" s="265">
        <v>0</v>
      </c>
      <c r="N37" s="265">
        <v>11</v>
      </c>
      <c r="O37" s="265">
        <v>15</v>
      </c>
      <c r="P37" s="265">
        <v>12</v>
      </c>
      <c r="Q37" s="265">
        <v>12</v>
      </c>
      <c r="R37" s="265">
        <v>1621</v>
      </c>
      <c r="S37" s="265">
        <v>1589</v>
      </c>
      <c r="T37" s="265">
        <v>1068</v>
      </c>
      <c r="U37" s="265">
        <v>1308</v>
      </c>
      <c r="V37" s="265">
        <v>1191</v>
      </c>
      <c r="W37" s="265">
        <v>1191</v>
      </c>
      <c r="X37" s="265">
        <v>6</v>
      </c>
      <c r="Y37" s="265">
        <v>15</v>
      </c>
      <c r="Z37" s="265">
        <v>1622</v>
      </c>
    </row>
    <row r="38" spans="1:26" x14ac:dyDescent="0.35">
      <c r="A38" s="267">
        <v>45630.493391805554</v>
      </c>
      <c r="B38" s="265" t="s">
        <v>168</v>
      </c>
      <c r="C38" s="265" t="s">
        <v>322</v>
      </c>
      <c r="D38" s="265" t="s">
        <v>49</v>
      </c>
      <c r="E38" s="265" t="s">
        <v>50</v>
      </c>
      <c r="F38" s="265">
        <v>9</v>
      </c>
      <c r="G38" s="265">
        <v>0</v>
      </c>
      <c r="H38" s="265">
        <v>7</v>
      </c>
      <c r="I38" s="265">
        <v>8</v>
      </c>
      <c r="J38" s="265">
        <v>7</v>
      </c>
      <c r="K38" s="265">
        <v>7</v>
      </c>
      <c r="L38" s="265">
        <v>29</v>
      </c>
      <c r="M38" s="265">
        <v>0</v>
      </c>
      <c r="N38" s="265">
        <v>22</v>
      </c>
      <c r="O38" s="265">
        <v>25</v>
      </c>
      <c r="P38" s="265">
        <v>24</v>
      </c>
      <c r="Q38" s="265">
        <v>24</v>
      </c>
      <c r="R38" s="265">
        <v>2870</v>
      </c>
      <c r="S38" s="265">
        <v>2843</v>
      </c>
      <c r="T38" s="265">
        <v>1991</v>
      </c>
      <c r="U38" s="265">
        <v>2320</v>
      </c>
      <c r="V38" s="265">
        <v>2167</v>
      </c>
      <c r="W38" s="265">
        <v>2167</v>
      </c>
      <c r="X38" s="265">
        <v>9</v>
      </c>
      <c r="Y38" s="265">
        <v>29</v>
      </c>
      <c r="Z38" s="265">
        <v>2868</v>
      </c>
    </row>
    <row r="39" spans="1:26" x14ac:dyDescent="0.35">
      <c r="A39" s="267">
        <v>45630.493391805554</v>
      </c>
      <c r="B39" s="265" t="s">
        <v>168</v>
      </c>
      <c r="C39" s="265" t="s">
        <v>329</v>
      </c>
      <c r="D39" s="265" t="s">
        <v>49</v>
      </c>
      <c r="E39" s="265" t="s">
        <v>50</v>
      </c>
      <c r="F39" s="265">
        <v>8</v>
      </c>
      <c r="G39" s="265">
        <v>0</v>
      </c>
      <c r="H39" s="265">
        <v>5</v>
      </c>
      <c r="I39" s="265">
        <v>6</v>
      </c>
      <c r="J39" s="265">
        <v>6</v>
      </c>
      <c r="K39" s="265">
        <v>6</v>
      </c>
      <c r="L39" s="265">
        <v>25</v>
      </c>
      <c r="M39" s="265">
        <v>0</v>
      </c>
      <c r="N39" s="265">
        <v>16</v>
      </c>
      <c r="O39" s="265">
        <v>18</v>
      </c>
      <c r="P39" s="265">
        <v>20</v>
      </c>
      <c r="Q39" s="265">
        <v>20</v>
      </c>
      <c r="R39" s="265">
        <v>2350</v>
      </c>
      <c r="S39" s="265">
        <v>2329</v>
      </c>
      <c r="T39" s="265">
        <v>1497</v>
      </c>
      <c r="U39" s="265">
        <v>1817</v>
      </c>
      <c r="V39" s="265">
        <v>1847</v>
      </c>
      <c r="W39" s="265">
        <v>1847</v>
      </c>
      <c r="X39" s="265">
        <v>8</v>
      </c>
      <c r="Y39" s="265">
        <v>25</v>
      </c>
      <c r="Z39" s="265">
        <v>2351</v>
      </c>
    </row>
    <row r="40" spans="1:26" x14ac:dyDescent="0.35">
      <c r="A40" s="267">
        <v>45630.493391805554</v>
      </c>
      <c r="B40" s="265" t="s">
        <v>168</v>
      </c>
      <c r="C40" s="265" t="s">
        <v>287</v>
      </c>
      <c r="D40" s="265" t="s">
        <v>49</v>
      </c>
      <c r="E40" s="265" t="s">
        <v>50</v>
      </c>
      <c r="F40" s="265">
        <v>10</v>
      </c>
      <c r="G40" s="265">
        <v>0</v>
      </c>
      <c r="H40" s="265">
        <v>2</v>
      </c>
      <c r="I40" s="265">
        <v>5</v>
      </c>
      <c r="J40" s="265">
        <v>7</v>
      </c>
      <c r="K40" s="265">
        <v>7</v>
      </c>
      <c r="L40" s="265">
        <v>34</v>
      </c>
      <c r="M40" s="265">
        <v>0</v>
      </c>
      <c r="N40" s="265">
        <v>20</v>
      </c>
      <c r="O40" s="265">
        <v>25</v>
      </c>
      <c r="P40" s="265">
        <v>28</v>
      </c>
      <c r="Q40" s="265">
        <v>28</v>
      </c>
      <c r="R40" s="265">
        <v>3377</v>
      </c>
      <c r="S40" s="265">
        <v>3330</v>
      </c>
      <c r="T40" s="265">
        <v>2217</v>
      </c>
      <c r="U40" s="265">
        <v>2677</v>
      </c>
      <c r="V40" s="265">
        <v>2553</v>
      </c>
      <c r="W40" s="265">
        <v>2553</v>
      </c>
      <c r="X40" s="265">
        <v>10</v>
      </c>
      <c r="Y40" s="265">
        <v>34</v>
      </c>
      <c r="Z40" s="265">
        <v>3379</v>
      </c>
    </row>
    <row r="41" spans="1:26" x14ac:dyDescent="0.35">
      <c r="A41" s="267">
        <v>45630.493391805554</v>
      </c>
      <c r="B41" s="265" t="s">
        <v>168</v>
      </c>
      <c r="C41" s="265" t="s">
        <v>331</v>
      </c>
      <c r="D41" s="265" t="s">
        <v>49</v>
      </c>
      <c r="E41" s="265" t="s">
        <v>50</v>
      </c>
      <c r="F41" s="265">
        <v>2</v>
      </c>
      <c r="G41" s="265">
        <v>0</v>
      </c>
      <c r="H41" s="265">
        <v>1</v>
      </c>
      <c r="I41" s="265">
        <v>1</v>
      </c>
      <c r="J41" s="265">
        <v>1</v>
      </c>
      <c r="K41" s="265">
        <v>1</v>
      </c>
      <c r="L41" s="265">
        <v>6</v>
      </c>
      <c r="M41" s="265">
        <v>1</v>
      </c>
      <c r="N41" s="265">
        <v>4</v>
      </c>
      <c r="O41" s="265">
        <v>4</v>
      </c>
      <c r="P41" s="265">
        <v>2</v>
      </c>
      <c r="Q41" s="265">
        <v>2</v>
      </c>
      <c r="R41" s="265">
        <v>365</v>
      </c>
      <c r="S41" s="265">
        <v>359</v>
      </c>
      <c r="T41" s="265">
        <v>241</v>
      </c>
      <c r="U41" s="265">
        <v>292</v>
      </c>
      <c r="V41" s="265">
        <v>278</v>
      </c>
      <c r="W41" s="265">
        <v>278</v>
      </c>
      <c r="X41" s="265">
        <v>2</v>
      </c>
      <c r="Y41" s="265">
        <v>6</v>
      </c>
      <c r="Z41" s="265">
        <v>365</v>
      </c>
    </row>
    <row r="42" spans="1:26" x14ac:dyDescent="0.35">
      <c r="A42" s="267">
        <v>45630.493391805554</v>
      </c>
      <c r="B42" s="265" t="s">
        <v>168</v>
      </c>
      <c r="C42" s="265" t="s">
        <v>324</v>
      </c>
      <c r="D42" s="265" t="s">
        <v>49</v>
      </c>
      <c r="E42" s="265" t="s">
        <v>50</v>
      </c>
      <c r="F42" s="265">
        <v>1</v>
      </c>
      <c r="G42" s="265">
        <v>0</v>
      </c>
      <c r="H42" s="265">
        <v>0</v>
      </c>
      <c r="I42" s="265">
        <v>0</v>
      </c>
      <c r="J42" s="265">
        <v>0</v>
      </c>
      <c r="K42" s="265">
        <v>0</v>
      </c>
      <c r="L42" s="265">
        <v>5</v>
      </c>
      <c r="M42" s="265">
        <v>0</v>
      </c>
      <c r="N42" s="265">
        <v>2</v>
      </c>
      <c r="O42" s="265">
        <v>2</v>
      </c>
      <c r="P42" s="265">
        <v>2</v>
      </c>
      <c r="Q42" s="265">
        <v>2</v>
      </c>
      <c r="R42" s="265">
        <v>580</v>
      </c>
      <c r="S42" s="265">
        <v>568</v>
      </c>
      <c r="T42" s="265">
        <v>404</v>
      </c>
      <c r="U42" s="265">
        <v>464</v>
      </c>
      <c r="V42" s="265">
        <v>465</v>
      </c>
      <c r="W42" s="265">
        <v>465</v>
      </c>
      <c r="X42" s="265">
        <v>1</v>
      </c>
      <c r="Y42" s="265">
        <v>5</v>
      </c>
      <c r="Z42" s="265">
        <v>579</v>
      </c>
    </row>
    <row r="43" spans="1:26" x14ac:dyDescent="0.35">
      <c r="A43" s="267">
        <v>45630.493391805554</v>
      </c>
      <c r="B43" s="265" t="s">
        <v>168</v>
      </c>
      <c r="C43" s="265" t="s">
        <v>321</v>
      </c>
      <c r="D43" s="265" t="s">
        <v>49</v>
      </c>
      <c r="E43" s="265" t="s">
        <v>50</v>
      </c>
      <c r="F43" s="265">
        <v>6</v>
      </c>
      <c r="G43" s="265">
        <v>0</v>
      </c>
      <c r="H43" s="265">
        <v>6</v>
      </c>
      <c r="I43" s="265">
        <v>6</v>
      </c>
      <c r="J43" s="265">
        <v>6</v>
      </c>
      <c r="K43" s="265">
        <v>6</v>
      </c>
      <c r="L43" s="265">
        <v>19</v>
      </c>
      <c r="M43" s="265">
        <v>0</v>
      </c>
      <c r="N43" s="265">
        <v>17</v>
      </c>
      <c r="O43" s="265">
        <v>18</v>
      </c>
      <c r="P43" s="265">
        <v>16</v>
      </c>
      <c r="Q43" s="265">
        <v>16</v>
      </c>
      <c r="R43" s="265">
        <v>1923</v>
      </c>
      <c r="S43" s="265">
        <v>1886</v>
      </c>
      <c r="T43" s="265">
        <v>1290</v>
      </c>
      <c r="U43" s="265">
        <v>1506</v>
      </c>
      <c r="V43" s="265">
        <v>1382</v>
      </c>
      <c r="W43" s="265">
        <v>1382</v>
      </c>
      <c r="X43" s="265">
        <v>6</v>
      </c>
      <c r="Y43" s="265">
        <v>20</v>
      </c>
      <c r="Z43" s="265">
        <v>1924</v>
      </c>
    </row>
    <row r="44" spans="1:26" x14ac:dyDescent="0.35">
      <c r="A44" s="267">
        <v>45630.493391805554</v>
      </c>
      <c r="B44" s="265" t="s">
        <v>168</v>
      </c>
      <c r="C44" s="265" t="s">
        <v>362</v>
      </c>
      <c r="D44" s="265" t="s">
        <v>49</v>
      </c>
      <c r="E44" s="265" t="s">
        <v>50</v>
      </c>
      <c r="F44" s="265">
        <v>0</v>
      </c>
      <c r="G44" s="265">
        <v>0</v>
      </c>
      <c r="H44" s="265">
        <v>0</v>
      </c>
      <c r="I44" s="265">
        <v>0</v>
      </c>
      <c r="J44" s="265">
        <v>0</v>
      </c>
      <c r="K44" s="265">
        <v>0</v>
      </c>
      <c r="L44" s="265">
        <v>0</v>
      </c>
      <c r="M44" s="265">
        <v>0</v>
      </c>
      <c r="N44" s="265">
        <v>0</v>
      </c>
      <c r="O44" s="265">
        <v>0</v>
      </c>
      <c r="P44" s="265">
        <v>0</v>
      </c>
      <c r="Q44" s="265">
        <v>0</v>
      </c>
      <c r="R44" s="265">
        <v>142</v>
      </c>
      <c r="S44" s="265">
        <v>137</v>
      </c>
      <c r="T44" s="265">
        <v>103</v>
      </c>
      <c r="U44" s="265">
        <v>111</v>
      </c>
      <c r="V44" s="265">
        <v>106</v>
      </c>
      <c r="W44" s="265">
        <v>106</v>
      </c>
      <c r="X44" s="265">
        <v>0</v>
      </c>
      <c r="Y44" s="265">
        <v>0</v>
      </c>
      <c r="Z44" s="265">
        <v>142</v>
      </c>
    </row>
    <row r="45" spans="1:26" x14ac:dyDescent="0.35">
      <c r="A45" s="267">
        <v>45630.493391805554</v>
      </c>
      <c r="B45" s="265" t="s">
        <v>168</v>
      </c>
      <c r="C45" s="265" t="s">
        <v>228</v>
      </c>
      <c r="D45" s="265" t="s">
        <v>49</v>
      </c>
      <c r="E45" s="265" t="s">
        <v>50</v>
      </c>
      <c r="F45" s="265">
        <v>13</v>
      </c>
      <c r="G45" s="265">
        <v>0</v>
      </c>
      <c r="H45" s="265">
        <v>11</v>
      </c>
      <c r="I45" s="265">
        <v>12</v>
      </c>
      <c r="J45" s="265">
        <v>12</v>
      </c>
      <c r="K45" s="265">
        <v>12</v>
      </c>
      <c r="L45" s="265">
        <v>38</v>
      </c>
      <c r="M45" s="265">
        <v>0</v>
      </c>
      <c r="N45" s="265">
        <v>27</v>
      </c>
      <c r="O45" s="265">
        <v>33</v>
      </c>
      <c r="P45" s="265">
        <v>29</v>
      </c>
      <c r="Q45" s="265">
        <v>29</v>
      </c>
      <c r="R45" s="265">
        <v>3387</v>
      </c>
      <c r="S45" s="265">
        <v>3267</v>
      </c>
      <c r="T45" s="265">
        <v>2384</v>
      </c>
      <c r="U45" s="265">
        <v>2745</v>
      </c>
      <c r="V45" s="265">
        <v>2547</v>
      </c>
      <c r="W45" s="265">
        <v>2550</v>
      </c>
      <c r="X45" s="265">
        <v>13</v>
      </c>
      <c r="Y45" s="265">
        <v>38</v>
      </c>
      <c r="Z45" s="265">
        <v>3388</v>
      </c>
    </row>
    <row r="46" spans="1:26" x14ac:dyDescent="0.35">
      <c r="A46" s="267">
        <v>45630.493391805554</v>
      </c>
      <c r="B46" s="265" t="s">
        <v>168</v>
      </c>
      <c r="C46" s="265" t="s">
        <v>246</v>
      </c>
      <c r="D46" s="265" t="s">
        <v>49</v>
      </c>
      <c r="E46" s="265" t="s">
        <v>50</v>
      </c>
      <c r="F46" s="265">
        <v>5</v>
      </c>
      <c r="G46" s="265">
        <v>0</v>
      </c>
      <c r="H46" s="265">
        <v>5</v>
      </c>
      <c r="I46" s="265">
        <v>5</v>
      </c>
      <c r="J46" s="265">
        <v>4</v>
      </c>
      <c r="K46" s="265">
        <v>4</v>
      </c>
      <c r="L46" s="265">
        <v>18</v>
      </c>
      <c r="M46" s="265">
        <v>0</v>
      </c>
      <c r="N46" s="265">
        <v>16</v>
      </c>
      <c r="O46" s="265">
        <v>17</v>
      </c>
      <c r="P46" s="265">
        <v>11</v>
      </c>
      <c r="Q46" s="265">
        <v>11</v>
      </c>
      <c r="R46" s="265">
        <v>1963</v>
      </c>
      <c r="S46" s="265">
        <v>1907</v>
      </c>
      <c r="T46" s="265">
        <v>1305</v>
      </c>
      <c r="U46" s="265">
        <v>1534</v>
      </c>
      <c r="V46" s="265">
        <v>1470</v>
      </c>
      <c r="W46" s="265">
        <v>1470</v>
      </c>
      <c r="X46" s="265">
        <v>5</v>
      </c>
      <c r="Y46" s="265">
        <v>17</v>
      </c>
      <c r="Z46" s="265">
        <v>1962</v>
      </c>
    </row>
    <row r="47" spans="1:26" x14ac:dyDescent="0.35">
      <c r="A47" s="267">
        <v>45630.493391805554</v>
      </c>
      <c r="B47" s="265" t="s">
        <v>168</v>
      </c>
      <c r="C47" s="265" t="s">
        <v>291</v>
      </c>
      <c r="D47" s="265" t="s">
        <v>49</v>
      </c>
      <c r="E47" s="265" t="s">
        <v>50</v>
      </c>
      <c r="F47" s="265">
        <v>5</v>
      </c>
      <c r="G47" s="265">
        <v>0</v>
      </c>
      <c r="H47" s="265">
        <v>5</v>
      </c>
      <c r="I47" s="265">
        <v>5</v>
      </c>
      <c r="J47" s="265">
        <v>5</v>
      </c>
      <c r="K47" s="265">
        <v>5</v>
      </c>
      <c r="L47" s="265">
        <v>16</v>
      </c>
      <c r="M47" s="265">
        <v>0</v>
      </c>
      <c r="N47" s="265">
        <v>14</v>
      </c>
      <c r="O47" s="265">
        <v>15</v>
      </c>
      <c r="P47" s="265">
        <v>15</v>
      </c>
      <c r="Q47" s="265">
        <v>15</v>
      </c>
      <c r="R47" s="265">
        <v>1734</v>
      </c>
      <c r="S47" s="265">
        <v>1688</v>
      </c>
      <c r="T47" s="265">
        <v>1184</v>
      </c>
      <c r="U47" s="265">
        <v>1390</v>
      </c>
      <c r="V47" s="265">
        <v>1392</v>
      </c>
      <c r="W47" s="265">
        <v>1392</v>
      </c>
      <c r="X47" s="265">
        <v>5</v>
      </c>
      <c r="Y47" s="265">
        <v>16</v>
      </c>
      <c r="Z47" s="265">
        <v>1734</v>
      </c>
    </row>
    <row r="48" spans="1:26" x14ac:dyDescent="0.35">
      <c r="A48" s="267">
        <v>45630.493391805554</v>
      </c>
      <c r="B48" s="265" t="s">
        <v>168</v>
      </c>
      <c r="C48" s="265" t="s">
        <v>266</v>
      </c>
      <c r="D48" s="265" t="s">
        <v>49</v>
      </c>
      <c r="E48" s="265" t="s">
        <v>50</v>
      </c>
      <c r="F48" s="265">
        <v>5</v>
      </c>
      <c r="G48" s="265">
        <v>0</v>
      </c>
      <c r="H48" s="265">
        <v>3</v>
      </c>
      <c r="I48" s="265">
        <v>4</v>
      </c>
      <c r="J48" s="265">
        <v>3</v>
      </c>
      <c r="K48" s="265">
        <v>3</v>
      </c>
      <c r="L48" s="265">
        <v>20</v>
      </c>
      <c r="M48" s="265">
        <v>0</v>
      </c>
      <c r="N48" s="265">
        <v>10</v>
      </c>
      <c r="O48" s="265">
        <v>14</v>
      </c>
      <c r="P48" s="265">
        <v>11</v>
      </c>
      <c r="Q48" s="265">
        <v>11</v>
      </c>
      <c r="R48" s="265">
        <v>1732</v>
      </c>
      <c r="S48" s="265">
        <v>1707</v>
      </c>
      <c r="T48" s="265">
        <v>1124</v>
      </c>
      <c r="U48" s="265">
        <v>1376</v>
      </c>
      <c r="V48" s="265">
        <v>1391</v>
      </c>
      <c r="W48" s="265">
        <v>1391</v>
      </c>
      <c r="X48" s="265">
        <v>5</v>
      </c>
      <c r="Y48" s="265">
        <v>20</v>
      </c>
      <c r="Z48" s="265">
        <v>1732</v>
      </c>
    </row>
    <row r="49" spans="1:26" x14ac:dyDescent="0.35">
      <c r="A49" s="267">
        <v>45630.493391805554</v>
      </c>
      <c r="B49" s="265" t="s">
        <v>168</v>
      </c>
      <c r="C49" s="265" t="s">
        <v>272</v>
      </c>
      <c r="D49" s="265" t="s">
        <v>49</v>
      </c>
      <c r="E49" s="265" t="s">
        <v>50</v>
      </c>
      <c r="F49" s="265">
        <v>3</v>
      </c>
      <c r="G49" s="265">
        <v>0</v>
      </c>
      <c r="H49" s="265">
        <v>2</v>
      </c>
      <c r="I49" s="265">
        <v>3</v>
      </c>
      <c r="J49" s="265">
        <v>3</v>
      </c>
      <c r="K49" s="265">
        <v>3</v>
      </c>
      <c r="L49" s="265">
        <v>11</v>
      </c>
      <c r="M49" s="265">
        <v>0</v>
      </c>
      <c r="N49" s="265">
        <v>7</v>
      </c>
      <c r="O49" s="265">
        <v>10</v>
      </c>
      <c r="P49" s="265">
        <v>10</v>
      </c>
      <c r="Q49" s="265">
        <v>10</v>
      </c>
      <c r="R49" s="265">
        <v>706</v>
      </c>
      <c r="S49" s="265">
        <v>697</v>
      </c>
      <c r="T49" s="265">
        <v>475</v>
      </c>
      <c r="U49" s="265">
        <v>575</v>
      </c>
      <c r="V49" s="265">
        <v>448</v>
      </c>
      <c r="W49" s="265">
        <v>448</v>
      </c>
      <c r="X49" s="265">
        <v>3</v>
      </c>
      <c r="Y49" s="265">
        <v>11</v>
      </c>
      <c r="Z49" s="265">
        <v>706</v>
      </c>
    </row>
    <row r="50" spans="1:26" x14ac:dyDescent="0.35">
      <c r="A50" s="267">
        <v>45630.493391805554</v>
      </c>
      <c r="B50" s="265" t="s">
        <v>168</v>
      </c>
      <c r="C50" s="265" t="s">
        <v>360</v>
      </c>
      <c r="D50" s="265" t="s">
        <v>49</v>
      </c>
      <c r="E50" s="265" t="s">
        <v>50</v>
      </c>
      <c r="F50" s="265">
        <v>6</v>
      </c>
      <c r="G50" s="265">
        <v>0</v>
      </c>
      <c r="H50" s="265">
        <v>5</v>
      </c>
      <c r="I50" s="265">
        <v>6</v>
      </c>
      <c r="J50" s="265">
        <v>6</v>
      </c>
      <c r="K50" s="265">
        <v>6</v>
      </c>
      <c r="L50" s="265">
        <v>19</v>
      </c>
      <c r="M50" s="265">
        <v>0</v>
      </c>
      <c r="N50" s="265">
        <v>8</v>
      </c>
      <c r="O50" s="265">
        <v>12</v>
      </c>
      <c r="P50" s="265">
        <v>13</v>
      </c>
      <c r="Q50" s="265">
        <v>13</v>
      </c>
      <c r="R50" s="265">
        <v>2316</v>
      </c>
      <c r="S50" s="265">
        <v>2266</v>
      </c>
      <c r="T50" s="265">
        <v>1609</v>
      </c>
      <c r="U50" s="265">
        <v>1919</v>
      </c>
      <c r="V50" s="265">
        <v>1739</v>
      </c>
      <c r="W50" s="265">
        <v>1739</v>
      </c>
      <c r="X50" s="265">
        <v>6</v>
      </c>
      <c r="Y50" s="265">
        <v>18</v>
      </c>
      <c r="Z50" s="265">
        <v>2315</v>
      </c>
    </row>
    <row r="51" spans="1:26" x14ac:dyDescent="0.35">
      <c r="A51" s="267">
        <v>45630.493391805554</v>
      </c>
      <c r="B51" s="265" t="s">
        <v>168</v>
      </c>
      <c r="C51" s="265" t="s">
        <v>438</v>
      </c>
      <c r="D51" s="265" t="s">
        <v>49</v>
      </c>
      <c r="E51" s="265" t="s">
        <v>50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5">
        <v>0</v>
      </c>
      <c r="P51" s="265">
        <v>0</v>
      </c>
      <c r="Q51" s="265">
        <v>0</v>
      </c>
      <c r="R51" s="265">
        <v>25</v>
      </c>
      <c r="S51" s="265">
        <v>25</v>
      </c>
      <c r="T51" s="265">
        <v>16</v>
      </c>
      <c r="U51" s="265">
        <v>22</v>
      </c>
      <c r="V51" s="265">
        <v>16</v>
      </c>
      <c r="W51" s="265">
        <v>16</v>
      </c>
      <c r="X51" s="265">
        <v>0</v>
      </c>
      <c r="Y51" s="265">
        <v>0</v>
      </c>
      <c r="Z51" s="265">
        <v>25</v>
      </c>
    </row>
    <row r="52" spans="1:26" x14ac:dyDescent="0.35">
      <c r="A52" s="267">
        <v>45630.493391805554</v>
      </c>
      <c r="B52" s="265" t="s">
        <v>167</v>
      </c>
      <c r="C52" s="265" t="s">
        <v>432</v>
      </c>
      <c r="D52" s="265" t="s">
        <v>49</v>
      </c>
      <c r="E52" s="265" t="s">
        <v>50</v>
      </c>
      <c r="F52" s="265">
        <v>1</v>
      </c>
      <c r="G52" s="265">
        <v>0</v>
      </c>
      <c r="H52" s="265">
        <v>0</v>
      </c>
      <c r="I52" s="265">
        <v>0</v>
      </c>
      <c r="J52" s="265">
        <v>1</v>
      </c>
      <c r="K52" s="265">
        <v>1</v>
      </c>
      <c r="L52" s="265">
        <v>6</v>
      </c>
      <c r="M52" s="265">
        <v>0</v>
      </c>
      <c r="N52" s="265">
        <v>4</v>
      </c>
      <c r="O52" s="265">
        <v>5</v>
      </c>
      <c r="P52" s="265">
        <v>6</v>
      </c>
      <c r="Q52" s="265">
        <v>6</v>
      </c>
      <c r="R52" s="265">
        <v>440</v>
      </c>
      <c r="S52" s="265">
        <v>434</v>
      </c>
      <c r="T52" s="265">
        <v>203</v>
      </c>
      <c r="U52" s="265">
        <v>299</v>
      </c>
      <c r="V52" s="265">
        <v>372</v>
      </c>
      <c r="W52" s="265">
        <v>372</v>
      </c>
      <c r="X52" s="265">
        <v>0</v>
      </c>
      <c r="Y52" s="265">
        <v>5</v>
      </c>
      <c r="Z52" s="265">
        <v>439</v>
      </c>
    </row>
    <row r="53" spans="1:26" x14ac:dyDescent="0.35">
      <c r="A53" s="267">
        <v>45630.493391805554</v>
      </c>
      <c r="B53" s="265" t="s">
        <v>168</v>
      </c>
      <c r="C53" s="265" t="s">
        <v>300</v>
      </c>
      <c r="D53" s="265" t="s">
        <v>49</v>
      </c>
      <c r="E53" s="265" t="s">
        <v>50</v>
      </c>
      <c r="F53" s="265">
        <v>2</v>
      </c>
      <c r="G53" s="265">
        <v>0</v>
      </c>
      <c r="H53" s="265">
        <v>1</v>
      </c>
      <c r="I53" s="265">
        <v>1</v>
      </c>
      <c r="J53" s="265">
        <v>1</v>
      </c>
      <c r="K53" s="265">
        <v>1</v>
      </c>
      <c r="L53" s="265">
        <v>9</v>
      </c>
      <c r="M53" s="265">
        <v>0</v>
      </c>
      <c r="N53" s="265">
        <v>3</v>
      </c>
      <c r="O53" s="265">
        <v>5</v>
      </c>
      <c r="P53" s="265">
        <v>5</v>
      </c>
      <c r="Q53" s="265">
        <v>5</v>
      </c>
      <c r="R53" s="265">
        <v>863</v>
      </c>
      <c r="S53" s="265">
        <v>846</v>
      </c>
      <c r="T53" s="265">
        <v>490</v>
      </c>
      <c r="U53" s="265">
        <v>612</v>
      </c>
      <c r="V53" s="265">
        <v>529</v>
      </c>
      <c r="W53" s="265">
        <v>529</v>
      </c>
      <c r="X53" s="265">
        <v>2</v>
      </c>
      <c r="Y53" s="265">
        <v>9</v>
      </c>
      <c r="Z53" s="265">
        <v>863</v>
      </c>
    </row>
    <row r="54" spans="1:26" x14ac:dyDescent="0.35">
      <c r="A54" s="267">
        <v>45630.493391805554</v>
      </c>
      <c r="B54" s="265" t="s">
        <v>168</v>
      </c>
      <c r="C54" s="265" t="s">
        <v>350</v>
      </c>
      <c r="D54" s="265" t="s">
        <v>49</v>
      </c>
      <c r="E54" s="265" t="s">
        <v>50</v>
      </c>
      <c r="F54" s="265">
        <v>4</v>
      </c>
      <c r="G54" s="265">
        <v>0</v>
      </c>
      <c r="H54" s="265">
        <v>3</v>
      </c>
      <c r="I54" s="265">
        <v>4</v>
      </c>
      <c r="J54" s="265">
        <v>4</v>
      </c>
      <c r="K54" s="265">
        <v>4</v>
      </c>
      <c r="L54" s="265">
        <v>12</v>
      </c>
      <c r="M54" s="265">
        <v>0</v>
      </c>
      <c r="N54" s="265">
        <v>9</v>
      </c>
      <c r="O54" s="265">
        <v>11</v>
      </c>
      <c r="P54" s="265">
        <v>9</v>
      </c>
      <c r="Q54" s="265">
        <v>9</v>
      </c>
      <c r="R54" s="265">
        <v>1645</v>
      </c>
      <c r="S54" s="265">
        <v>1607</v>
      </c>
      <c r="T54" s="265">
        <v>1106</v>
      </c>
      <c r="U54" s="265">
        <v>1322</v>
      </c>
      <c r="V54" s="265">
        <v>1162</v>
      </c>
      <c r="W54" s="265">
        <v>1164</v>
      </c>
      <c r="X54" s="265">
        <v>4</v>
      </c>
      <c r="Y54" s="265">
        <v>12</v>
      </c>
      <c r="Z54" s="265">
        <v>1646</v>
      </c>
    </row>
    <row r="55" spans="1:26" x14ac:dyDescent="0.35">
      <c r="A55" s="267">
        <v>45630.493391805554</v>
      </c>
      <c r="B55" s="265" t="s">
        <v>168</v>
      </c>
      <c r="C55" s="265" t="s">
        <v>388</v>
      </c>
      <c r="D55" s="265" t="s">
        <v>49</v>
      </c>
      <c r="E55" s="265" t="s">
        <v>50</v>
      </c>
      <c r="F55" s="265">
        <v>4</v>
      </c>
      <c r="G55" s="265">
        <v>0</v>
      </c>
      <c r="H55" s="265">
        <v>2</v>
      </c>
      <c r="I55" s="265">
        <v>3</v>
      </c>
      <c r="J55" s="265">
        <v>3</v>
      </c>
      <c r="K55" s="265">
        <v>3</v>
      </c>
      <c r="L55" s="265">
        <v>12</v>
      </c>
      <c r="M55" s="265">
        <v>0</v>
      </c>
      <c r="N55" s="265">
        <v>5</v>
      </c>
      <c r="O55" s="265">
        <v>7</v>
      </c>
      <c r="P55" s="265">
        <v>6</v>
      </c>
      <c r="Q55" s="265">
        <v>6</v>
      </c>
      <c r="R55" s="265">
        <v>1082</v>
      </c>
      <c r="S55" s="265">
        <v>1061</v>
      </c>
      <c r="T55" s="265">
        <v>654</v>
      </c>
      <c r="U55" s="265">
        <v>817</v>
      </c>
      <c r="V55" s="265">
        <v>659</v>
      </c>
      <c r="W55" s="265">
        <v>659</v>
      </c>
      <c r="X55" s="265">
        <v>4</v>
      </c>
      <c r="Y55" s="265">
        <v>12</v>
      </c>
      <c r="Z55" s="265">
        <v>1082</v>
      </c>
    </row>
    <row r="56" spans="1:26" x14ac:dyDescent="0.35">
      <c r="A56" s="267">
        <v>45630.493391805554</v>
      </c>
      <c r="B56" s="265" t="s">
        <v>168</v>
      </c>
      <c r="C56" s="265" t="s">
        <v>385</v>
      </c>
      <c r="D56" s="265" t="s">
        <v>49</v>
      </c>
      <c r="E56" s="265" t="s">
        <v>50</v>
      </c>
      <c r="F56" s="265">
        <v>1</v>
      </c>
      <c r="G56" s="265">
        <v>0</v>
      </c>
      <c r="H56" s="265">
        <v>1</v>
      </c>
      <c r="I56" s="265">
        <v>1</v>
      </c>
      <c r="J56" s="265">
        <v>1</v>
      </c>
      <c r="K56" s="265">
        <v>1</v>
      </c>
      <c r="L56" s="265">
        <v>5</v>
      </c>
      <c r="M56" s="265">
        <v>0</v>
      </c>
      <c r="N56" s="265">
        <v>1</v>
      </c>
      <c r="O56" s="265">
        <v>3</v>
      </c>
      <c r="P56" s="265">
        <v>3</v>
      </c>
      <c r="Q56" s="265">
        <v>3</v>
      </c>
      <c r="R56" s="265">
        <v>563</v>
      </c>
      <c r="S56" s="265">
        <v>529</v>
      </c>
      <c r="T56" s="265">
        <v>406</v>
      </c>
      <c r="U56" s="265">
        <v>462</v>
      </c>
      <c r="V56" s="265">
        <v>426</v>
      </c>
      <c r="W56" s="265">
        <v>434</v>
      </c>
      <c r="X56" s="265">
        <v>1</v>
      </c>
      <c r="Y56" s="265">
        <v>5</v>
      </c>
      <c r="Z56" s="265">
        <v>563</v>
      </c>
    </row>
    <row r="57" spans="1:26" x14ac:dyDescent="0.35">
      <c r="A57" s="267">
        <v>45630.493391805554</v>
      </c>
      <c r="B57" s="265" t="s">
        <v>168</v>
      </c>
      <c r="C57" s="265" t="s">
        <v>512</v>
      </c>
      <c r="D57" s="265" t="s">
        <v>49</v>
      </c>
      <c r="E57" s="265" t="s">
        <v>50</v>
      </c>
      <c r="F57" s="265">
        <v>0</v>
      </c>
      <c r="G57" s="265">
        <v>0</v>
      </c>
      <c r="H57" s="265">
        <v>0</v>
      </c>
      <c r="I57" s="265">
        <v>0</v>
      </c>
      <c r="J57" s="265">
        <v>0</v>
      </c>
      <c r="K57" s="265">
        <v>0</v>
      </c>
      <c r="L57" s="265">
        <v>0</v>
      </c>
      <c r="M57" s="265">
        <v>0</v>
      </c>
      <c r="N57" s="265">
        <v>0</v>
      </c>
      <c r="O57" s="265">
        <v>0</v>
      </c>
      <c r="P57" s="265">
        <v>0</v>
      </c>
      <c r="Q57" s="265">
        <v>0</v>
      </c>
      <c r="R57" s="265">
        <v>279</v>
      </c>
      <c r="S57" s="265">
        <v>260</v>
      </c>
      <c r="T57" s="265">
        <v>203</v>
      </c>
      <c r="U57" s="265">
        <v>229</v>
      </c>
      <c r="V57" s="265">
        <v>184</v>
      </c>
      <c r="W57" s="265">
        <v>184</v>
      </c>
      <c r="X57" s="265">
        <v>0</v>
      </c>
      <c r="Y57" s="265">
        <v>0</v>
      </c>
      <c r="Z57" s="265">
        <v>279</v>
      </c>
    </row>
    <row r="58" spans="1:26" x14ac:dyDescent="0.35">
      <c r="A58" s="267">
        <v>45630.493391805554</v>
      </c>
      <c r="B58" s="265" t="s">
        <v>168</v>
      </c>
      <c r="C58" s="265" t="s">
        <v>357</v>
      </c>
      <c r="D58" s="265" t="s">
        <v>49</v>
      </c>
      <c r="E58" s="265" t="s">
        <v>50</v>
      </c>
      <c r="F58" s="265">
        <v>7</v>
      </c>
      <c r="G58" s="265">
        <v>0</v>
      </c>
      <c r="H58" s="265">
        <v>6</v>
      </c>
      <c r="I58" s="265">
        <v>6</v>
      </c>
      <c r="J58" s="265">
        <v>7</v>
      </c>
      <c r="K58" s="265">
        <v>7</v>
      </c>
      <c r="L58" s="265">
        <v>29</v>
      </c>
      <c r="M58" s="265">
        <v>0</v>
      </c>
      <c r="N58" s="265">
        <v>19</v>
      </c>
      <c r="O58" s="265">
        <v>24</v>
      </c>
      <c r="P58" s="265">
        <v>25</v>
      </c>
      <c r="Q58" s="265">
        <v>25</v>
      </c>
      <c r="R58" s="265">
        <v>2855</v>
      </c>
      <c r="S58" s="265">
        <v>2810</v>
      </c>
      <c r="T58" s="265">
        <v>1703</v>
      </c>
      <c r="U58" s="265">
        <v>2090</v>
      </c>
      <c r="V58" s="265">
        <v>2120</v>
      </c>
      <c r="W58" s="265">
        <v>2120</v>
      </c>
      <c r="X58" s="265">
        <v>7</v>
      </c>
      <c r="Y58" s="265">
        <v>28</v>
      </c>
      <c r="Z58" s="265">
        <v>2854</v>
      </c>
    </row>
    <row r="59" spans="1:26" x14ac:dyDescent="0.35">
      <c r="A59" s="267">
        <v>45630.493391805554</v>
      </c>
      <c r="B59" s="265" t="s">
        <v>168</v>
      </c>
      <c r="C59" s="265" t="s">
        <v>407</v>
      </c>
      <c r="D59" s="265" t="s">
        <v>49</v>
      </c>
      <c r="E59" s="265" t="s">
        <v>50</v>
      </c>
      <c r="F59" s="265">
        <v>7</v>
      </c>
      <c r="G59" s="265">
        <v>0</v>
      </c>
      <c r="H59" s="265">
        <v>5</v>
      </c>
      <c r="I59" s="265">
        <v>7</v>
      </c>
      <c r="J59" s="265">
        <v>6</v>
      </c>
      <c r="K59" s="265">
        <v>6</v>
      </c>
      <c r="L59" s="265">
        <v>20</v>
      </c>
      <c r="M59" s="265">
        <v>0</v>
      </c>
      <c r="N59" s="265">
        <v>12</v>
      </c>
      <c r="O59" s="265">
        <v>18</v>
      </c>
      <c r="P59" s="265">
        <v>13</v>
      </c>
      <c r="Q59" s="265">
        <v>13</v>
      </c>
      <c r="R59" s="265">
        <v>1924</v>
      </c>
      <c r="S59" s="265">
        <v>1893</v>
      </c>
      <c r="T59" s="265">
        <v>1438</v>
      </c>
      <c r="U59" s="265">
        <v>1678</v>
      </c>
      <c r="V59" s="265">
        <v>1509</v>
      </c>
      <c r="W59" s="265">
        <v>1509</v>
      </c>
      <c r="X59" s="265">
        <v>7</v>
      </c>
      <c r="Y59" s="265">
        <v>20</v>
      </c>
      <c r="Z59" s="265">
        <v>1924</v>
      </c>
    </row>
    <row r="60" spans="1:26" x14ac:dyDescent="0.35">
      <c r="A60" s="267">
        <v>45630.493391805554</v>
      </c>
      <c r="B60" s="265" t="s">
        <v>167</v>
      </c>
      <c r="C60" s="265" t="s">
        <v>243</v>
      </c>
      <c r="D60" s="265" t="s">
        <v>49</v>
      </c>
      <c r="E60" s="265" t="s">
        <v>50</v>
      </c>
      <c r="F60" s="265">
        <v>2</v>
      </c>
      <c r="G60" s="265">
        <v>0</v>
      </c>
      <c r="H60" s="265">
        <v>2</v>
      </c>
      <c r="I60" s="265">
        <v>2</v>
      </c>
      <c r="J60" s="265">
        <v>2</v>
      </c>
      <c r="K60" s="265">
        <v>2</v>
      </c>
      <c r="L60" s="265">
        <v>6</v>
      </c>
      <c r="M60" s="265">
        <v>0</v>
      </c>
      <c r="N60" s="265">
        <v>4</v>
      </c>
      <c r="O60" s="265">
        <v>5</v>
      </c>
      <c r="P60" s="265">
        <v>5</v>
      </c>
      <c r="Q60" s="265">
        <v>5</v>
      </c>
      <c r="R60" s="265">
        <v>952</v>
      </c>
      <c r="S60" s="265">
        <v>929</v>
      </c>
      <c r="T60" s="265">
        <v>643</v>
      </c>
      <c r="U60" s="265">
        <v>776</v>
      </c>
      <c r="V60" s="265">
        <v>753</v>
      </c>
      <c r="W60" s="265">
        <v>753</v>
      </c>
      <c r="X60" s="265">
        <v>2</v>
      </c>
      <c r="Y60" s="265">
        <v>6</v>
      </c>
      <c r="Z60" s="265">
        <v>952</v>
      </c>
    </row>
    <row r="61" spans="1:26" x14ac:dyDescent="0.35">
      <c r="A61" s="267">
        <v>45630.493391805554</v>
      </c>
      <c r="B61" s="265" t="s">
        <v>168</v>
      </c>
      <c r="C61" s="265" t="s">
        <v>277</v>
      </c>
      <c r="D61" s="265" t="s">
        <v>49</v>
      </c>
      <c r="E61" s="265" t="s">
        <v>50</v>
      </c>
      <c r="F61" s="265">
        <v>2</v>
      </c>
      <c r="G61" s="265">
        <v>0</v>
      </c>
      <c r="H61" s="265">
        <v>2</v>
      </c>
      <c r="I61" s="265">
        <v>2</v>
      </c>
      <c r="J61" s="265">
        <v>2</v>
      </c>
      <c r="K61" s="265">
        <v>2</v>
      </c>
      <c r="L61" s="265">
        <v>6</v>
      </c>
      <c r="M61" s="265">
        <v>0</v>
      </c>
      <c r="N61" s="265">
        <v>5</v>
      </c>
      <c r="O61" s="265">
        <v>5</v>
      </c>
      <c r="P61" s="265">
        <v>6</v>
      </c>
      <c r="Q61" s="265">
        <v>6</v>
      </c>
      <c r="R61" s="265">
        <v>983</v>
      </c>
      <c r="S61" s="265">
        <v>965</v>
      </c>
      <c r="T61" s="265">
        <v>640</v>
      </c>
      <c r="U61" s="265">
        <v>765</v>
      </c>
      <c r="V61" s="265">
        <v>609</v>
      </c>
      <c r="W61" s="265">
        <v>609</v>
      </c>
      <c r="X61" s="265">
        <v>2</v>
      </c>
      <c r="Y61" s="265">
        <v>6</v>
      </c>
      <c r="Z61" s="265">
        <v>983</v>
      </c>
    </row>
    <row r="62" spans="1:26" x14ac:dyDescent="0.35">
      <c r="A62" s="267">
        <v>45630.493391805554</v>
      </c>
      <c r="B62" s="265" t="s">
        <v>168</v>
      </c>
      <c r="C62" s="265" t="s">
        <v>308</v>
      </c>
      <c r="D62" s="265" t="s">
        <v>49</v>
      </c>
      <c r="E62" s="265" t="s">
        <v>50</v>
      </c>
      <c r="F62" s="265">
        <v>8</v>
      </c>
      <c r="G62" s="265">
        <v>0</v>
      </c>
      <c r="H62" s="265">
        <v>5</v>
      </c>
      <c r="I62" s="265">
        <v>6</v>
      </c>
      <c r="J62" s="265">
        <v>5</v>
      </c>
      <c r="K62" s="265">
        <v>5</v>
      </c>
      <c r="L62" s="265">
        <v>22</v>
      </c>
      <c r="M62" s="265">
        <v>0</v>
      </c>
      <c r="N62" s="265">
        <v>14</v>
      </c>
      <c r="O62" s="265">
        <v>17</v>
      </c>
      <c r="P62" s="265">
        <v>16</v>
      </c>
      <c r="Q62" s="265">
        <v>16</v>
      </c>
      <c r="R62" s="265">
        <v>2066</v>
      </c>
      <c r="S62" s="265">
        <v>2039</v>
      </c>
      <c r="T62" s="265">
        <v>1279</v>
      </c>
      <c r="U62" s="265">
        <v>1605</v>
      </c>
      <c r="V62" s="265">
        <v>1442</v>
      </c>
      <c r="W62" s="265">
        <v>1442</v>
      </c>
      <c r="X62" s="265">
        <v>8</v>
      </c>
      <c r="Y62" s="265">
        <v>22</v>
      </c>
      <c r="Z62" s="265">
        <v>2067</v>
      </c>
    </row>
    <row r="63" spans="1:26" x14ac:dyDescent="0.35">
      <c r="A63" s="267">
        <v>45630.493391805554</v>
      </c>
      <c r="B63" s="265" t="s">
        <v>168</v>
      </c>
      <c r="C63" s="265" t="s">
        <v>265</v>
      </c>
      <c r="D63" s="265" t="s">
        <v>49</v>
      </c>
      <c r="E63" s="265" t="s">
        <v>50</v>
      </c>
      <c r="F63" s="265">
        <v>11</v>
      </c>
      <c r="G63" s="265">
        <v>0</v>
      </c>
      <c r="H63" s="265">
        <v>9</v>
      </c>
      <c r="I63" s="265">
        <v>10</v>
      </c>
      <c r="J63" s="265">
        <v>9</v>
      </c>
      <c r="K63" s="265">
        <v>9</v>
      </c>
      <c r="L63" s="265">
        <v>35</v>
      </c>
      <c r="M63" s="265">
        <v>0</v>
      </c>
      <c r="N63" s="265">
        <v>24</v>
      </c>
      <c r="O63" s="265">
        <v>30</v>
      </c>
      <c r="P63" s="265">
        <v>28</v>
      </c>
      <c r="Q63" s="265">
        <v>28</v>
      </c>
      <c r="R63" s="265">
        <v>4063</v>
      </c>
      <c r="S63" s="265">
        <v>4002</v>
      </c>
      <c r="T63" s="265">
        <v>2623</v>
      </c>
      <c r="U63" s="265">
        <v>3174</v>
      </c>
      <c r="V63" s="265">
        <v>3091</v>
      </c>
      <c r="W63" s="265">
        <v>3092</v>
      </c>
      <c r="X63" s="265">
        <v>11</v>
      </c>
      <c r="Y63" s="265">
        <v>35</v>
      </c>
      <c r="Z63" s="265">
        <v>4064</v>
      </c>
    </row>
    <row r="64" spans="1:26" x14ac:dyDescent="0.35">
      <c r="A64" s="267">
        <v>45630.493391805554</v>
      </c>
      <c r="B64" s="265" t="s">
        <v>168</v>
      </c>
      <c r="C64" s="265" t="s">
        <v>344</v>
      </c>
      <c r="D64" s="265" t="s">
        <v>49</v>
      </c>
      <c r="E64" s="265" t="s">
        <v>50</v>
      </c>
      <c r="F64" s="265">
        <v>2</v>
      </c>
      <c r="G64" s="265">
        <v>0</v>
      </c>
      <c r="H64" s="265">
        <v>2</v>
      </c>
      <c r="I64" s="265">
        <v>2</v>
      </c>
      <c r="J64" s="265">
        <v>2</v>
      </c>
      <c r="K64" s="265">
        <v>2</v>
      </c>
      <c r="L64" s="265">
        <v>6</v>
      </c>
      <c r="M64" s="265">
        <v>0</v>
      </c>
      <c r="N64" s="265">
        <v>6</v>
      </c>
      <c r="O64" s="265">
        <v>6</v>
      </c>
      <c r="P64" s="265">
        <v>4</v>
      </c>
      <c r="Q64" s="265">
        <v>4</v>
      </c>
      <c r="R64" s="265">
        <v>675</v>
      </c>
      <c r="S64" s="265">
        <v>671</v>
      </c>
      <c r="T64" s="265">
        <v>443</v>
      </c>
      <c r="U64" s="265">
        <v>525</v>
      </c>
      <c r="V64" s="265">
        <v>476</v>
      </c>
      <c r="W64" s="265">
        <v>479</v>
      </c>
      <c r="X64" s="265">
        <v>2</v>
      </c>
      <c r="Y64" s="265">
        <v>6</v>
      </c>
      <c r="Z64" s="265">
        <v>675</v>
      </c>
    </row>
    <row r="65" spans="1:26" x14ac:dyDescent="0.35">
      <c r="A65" s="267">
        <v>45630.493391805554</v>
      </c>
      <c r="B65" s="265" t="s">
        <v>168</v>
      </c>
      <c r="C65" s="265" t="s">
        <v>337</v>
      </c>
      <c r="D65" s="265" t="s">
        <v>49</v>
      </c>
      <c r="E65" s="265" t="s">
        <v>50</v>
      </c>
      <c r="F65" s="265">
        <v>3</v>
      </c>
      <c r="G65" s="265">
        <v>0</v>
      </c>
      <c r="H65" s="265">
        <v>3</v>
      </c>
      <c r="I65" s="265">
        <v>3</v>
      </c>
      <c r="J65" s="265">
        <v>3</v>
      </c>
      <c r="K65" s="265">
        <v>3</v>
      </c>
      <c r="L65" s="265">
        <v>9</v>
      </c>
      <c r="M65" s="265">
        <v>0</v>
      </c>
      <c r="N65" s="265">
        <v>6</v>
      </c>
      <c r="O65" s="265">
        <v>8</v>
      </c>
      <c r="P65" s="265">
        <v>6</v>
      </c>
      <c r="Q65" s="265">
        <v>6</v>
      </c>
      <c r="R65" s="265">
        <v>945</v>
      </c>
      <c r="S65" s="265">
        <v>931</v>
      </c>
      <c r="T65" s="265">
        <v>643</v>
      </c>
      <c r="U65" s="265">
        <v>748</v>
      </c>
      <c r="V65" s="265">
        <v>535</v>
      </c>
      <c r="W65" s="265">
        <v>538</v>
      </c>
      <c r="X65" s="265">
        <v>3</v>
      </c>
      <c r="Y65" s="265">
        <v>9</v>
      </c>
      <c r="Z65" s="265">
        <v>945</v>
      </c>
    </row>
    <row r="66" spans="1:26" x14ac:dyDescent="0.35">
      <c r="A66" s="267">
        <v>45630.493391805554</v>
      </c>
      <c r="B66" s="265" t="s">
        <v>168</v>
      </c>
      <c r="C66" s="265" t="s">
        <v>374</v>
      </c>
      <c r="D66" s="265" t="s">
        <v>49</v>
      </c>
      <c r="E66" s="265" t="s">
        <v>50</v>
      </c>
      <c r="F66" s="265">
        <v>1</v>
      </c>
      <c r="G66" s="265">
        <v>0</v>
      </c>
      <c r="H66" s="265">
        <v>1</v>
      </c>
      <c r="I66" s="265">
        <v>1</v>
      </c>
      <c r="J66" s="265">
        <v>1</v>
      </c>
      <c r="K66" s="265">
        <v>1</v>
      </c>
      <c r="L66" s="265">
        <v>5</v>
      </c>
      <c r="M66" s="265">
        <v>0</v>
      </c>
      <c r="N66" s="265">
        <v>4</v>
      </c>
      <c r="O66" s="265">
        <v>4</v>
      </c>
      <c r="P66" s="265">
        <v>2</v>
      </c>
      <c r="Q66" s="265">
        <v>2</v>
      </c>
      <c r="R66" s="265">
        <v>579</v>
      </c>
      <c r="S66" s="265">
        <v>563</v>
      </c>
      <c r="T66" s="265">
        <v>390</v>
      </c>
      <c r="U66" s="265">
        <v>445</v>
      </c>
      <c r="V66" s="265">
        <v>426</v>
      </c>
      <c r="W66" s="265">
        <v>426</v>
      </c>
      <c r="X66" s="265">
        <v>1</v>
      </c>
      <c r="Y66" s="265">
        <v>5</v>
      </c>
      <c r="Z66" s="265">
        <v>579</v>
      </c>
    </row>
    <row r="67" spans="1:26" x14ac:dyDescent="0.35">
      <c r="A67" s="267">
        <v>45630.493391805554</v>
      </c>
      <c r="B67" s="265" t="s">
        <v>168</v>
      </c>
      <c r="C67" s="265" t="s">
        <v>242</v>
      </c>
      <c r="D67" s="265" t="s">
        <v>49</v>
      </c>
      <c r="E67" s="265" t="s">
        <v>50</v>
      </c>
      <c r="F67" s="265">
        <v>4</v>
      </c>
      <c r="G67" s="265">
        <v>0</v>
      </c>
      <c r="H67" s="265">
        <v>3</v>
      </c>
      <c r="I67" s="265">
        <v>3</v>
      </c>
      <c r="J67" s="265">
        <v>4</v>
      </c>
      <c r="K67" s="265">
        <v>4</v>
      </c>
      <c r="L67" s="265">
        <v>11</v>
      </c>
      <c r="M67" s="265">
        <v>0</v>
      </c>
      <c r="N67" s="265">
        <v>8</v>
      </c>
      <c r="O67" s="265">
        <v>9</v>
      </c>
      <c r="P67" s="265">
        <v>10</v>
      </c>
      <c r="Q67" s="265">
        <v>10</v>
      </c>
      <c r="R67" s="265">
        <v>1207</v>
      </c>
      <c r="S67" s="265">
        <v>1173</v>
      </c>
      <c r="T67" s="265">
        <v>781</v>
      </c>
      <c r="U67" s="265">
        <v>932</v>
      </c>
      <c r="V67" s="265">
        <v>879</v>
      </c>
      <c r="W67" s="265">
        <v>879</v>
      </c>
      <c r="X67" s="265">
        <v>3</v>
      </c>
      <c r="Y67" s="265">
        <v>9</v>
      </c>
      <c r="Z67" s="265">
        <v>1206</v>
      </c>
    </row>
    <row r="68" spans="1:26" x14ac:dyDescent="0.35">
      <c r="A68" s="267">
        <v>45630.493391805554</v>
      </c>
      <c r="B68" s="265" t="s">
        <v>168</v>
      </c>
      <c r="C68" s="265" t="s">
        <v>268</v>
      </c>
      <c r="D68" s="265" t="s">
        <v>49</v>
      </c>
      <c r="E68" s="265" t="s">
        <v>50</v>
      </c>
      <c r="F68" s="265">
        <v>6</v>
      </c>
      <c r="G68" s="265">
        <v>0</v>
      </c>
      <c r="H68" s="265">
        <v>3</v>
      </c>
      <c r="I68" s="265">
        <v>5</v>
      </c>
      <c r="J68" s="265">
        <v>5</v>
      </c>
      <c r="K68" s="265">
        <v>5</v>
      </c>
      <c r="L68" s="265">
        <v>19</v>
      </c>
      <c r="M68" s="265">
        <v>0</v>
      </c>
      <c r="N68" s="265">
        <v>11</v>
      </c>
      <c r="O68" s="265">
        <v>13</v>
      </c>
      <c r="P68" s="265">
        <v>12</v>
      </c>
      <c r="Q68" s="265">
        <v>12</v>
      </c>
      <c r="R68" s="265">
        <v>1887</v>
      </c>
      <c r="S68" s="265">
        <v>1845</v>
      </c>
      <c r="T68" s="265">
        <v>1060</v>
      </c>
      <c r="U68" s="265">
        <v>1354</v>
      </c>
      <c r="V68" s="265">
        <v>1243</v>
      </c>
      <c r="W68" s="265">
        <v>1243</v>
      </c>
      <c r="X68" s="265">
        <v>6</v>
      </c>
      <c r="Y68" s="265">
        <v>19</v>
      </c>
      <c r="Z68" s="265">
        <v>1887</v>
      </c>
    </row>
    <row r="69" spans="1:26" x14ac:dyDescent="0.35">
      <c r="A69" s="267">
        <v>45630.493391805554</v>
      </c>
      <c r="B69" s="265" t="s">
        <v>168</v>
      </c>
      <c r="C69" s="265" t="s">
        <v>424</v>
      </c>
      <c r="D69" s="265" t="s">
        <v>49</v>
      </c>
      <c r="E69" s="265" t="s">
        <v>50</v>
      </c>
      <c r="F69" s="265">
        <v>2</v>
      </c>
      <c r="G69" s="265">
        <v>0</v>
      </c>
      <c r="H69" s="265">
        <v>2</v>
      </c>
      <c r="I69" s="265">
        <v>2</v>
      </c>
      <c r="J69" s="265">
        <v>2</v>
      </c>
      <c r="K69" s="265">
        <v>2</v>
      </c>
      <c r="L69" s="265">
        <v>6</v>
      </c>
      <c r="M69" s="265">
        <v>0</v>
      </c>
      <c r="N69" s="265">
        <v>4</v>
      </c>
      <c r="O69" s="265">
        <v>6</v>
      </c>
      <c r="P69" s="265">
        <v>4</v>
      </c>
      <c r="Q69" s="265">
        <v>4</v>
      </c>
      <c r="R69" s="265">
        <v>697</v>
      </c>
      <c r="S69" s="265">
        <v>676</v>
      </c>
      <c r="T69" s="265">
        <v>439</v>
      </c>
      <c r="U69" s="265">
        <v>519</v>
      </c>
      <c r="V69" s="265">
        <v>564</v>
      </c>
      <c r="W69" s="265">
        <v>564</v>
      </c>
      <c r="X69" s="265">
        <v>2</v>
      </c>
      <c r="Y69" s="265">
        <v>6</v>
      </c>
      <c r="Z69" s="265">
        <v>697</v>
      </c>
    </row>
    <row r="70" spans="1:26" x14ac:dyDescent="0.35">
      <c r="A70" s="267">
        <v>45630.493391805554</v>
      </c>
      <c r="B70" s="265" t="s">
        <v>168</v>
      </c>
      <c r="C70" s="265" t="s">
        <v>391</v>
      </c>
      <c r="D70" s="265" t="s">
        <v>49</v>
      </c>
      <c r="E70" s="265" t="s">
        <v>50</v>
      </c>
      <c r="F70" s="265">
        <v>1</v>
      </c>
      <c r="G70" s="265">
        <v>0</v>
      </c>
      <c r="H70" s="265">
        <v>1</v>
      </c>
      <c r="I70" s="265">
        <v>1</v>
      </c>
      <c r="J70" s="265">
        <v>1</v>
      </c>
      <c r="K70" s="265">
        <v>1</v>
      </c>
      <c r="L70" s="265">
        <v>3</v>
      </c>
      <c r="M70" s="265">
        <v>0</v>
      </c>
      <c r="N70" s="265">
        <v>3</v>
      </c>
      <c r="O70" s="265">
        <v>3</v>
      </c>
      <c r="P70" s="265">
        <v>2</v>
      </c>
      <c r="Q70" s="265">
        <v>2</v>
      </c>
      <c r="R70" s="265">
        <v>337</v>
      </c>
      <c r="S70" s="265">
        <v>334</v>
      </c>
      <c r="T70" s="265">
        <v>246</v>
      </c>
      <c r="U70" s="265">
        <v>282</v>
      </c>
      <c r="V70" s="265">
        <v>262</v>
      </c>
      <c r="W70" s="265">
        <v>262</v>
      </c>
      <c r="X70" s="265">
        <v>1</v>
      </c>
      <c r="Y70" s="265">
        <v>3</v>
      </c>
      <c r="Z70" s="265">
        <v>338</v>
      </c>
    </row>
    <row r="71" spans="1:26" x14ac:dyDescent="0.35">
      <c r="A71" s="267">
        <v>45630.493391805554</v>
      </c>
      <c r="B71" s="265" t="s">
        <v>168</v>
      </c>
      <c r="C71" s="265" t="s">
        <v>252</v>
      </c>
      <c r="D71" s="265" t="s">
        <v>49</v>
      </c>
      <c r="E71" s="265" t="s">
        <v>50</v>
      </c>
      <c r="F71" s="265">
        <v>0</v>
      </c>
      <c r="G71" s="265">
        <v>0</v>
      </c>
      <c r="H71" s="265">
        <v>0</v>
      </c>
      <c r="I71" s="265">
        <v>0</v>
      </c>
      <c r="J71" s="265">
        <v>0</v>
      </c>
      <c r="K71" s="265">
        <v>0</v>
      </c>
      <c r="L71" s="265">
        <v>0</v>
      </c>
      <c r="M71" s="265">
        <v>0</v>
      </c>
      <c r="N71" s="265">
        <v>0</v>
      </c>
      <c r="O71" s="265">
        <v>0</v>
      </c>
      <c r="P71" s="265">
        <v>0</v>
      </c>
      <c r="Q71" s="265">
        <v>0</v>
      </c>
      <c r="R71" s="265">
        <v>52</v>
      </c>
      <c r="S71" s="265">
        <v>52</v>
      </c>
      <c r="T71" s="265">
        <v>38</v>
      </c>
      <c r="U71" s="265">
        <v>43</v>
      </c>
      <c r="V71" s="265">
        <v>45</v>
      </c>
      <c r="W71" s="265">
        <v>45</v>
      </c>
      <c r="X71" s="265">
        <v>0</v>
      </c>
      <c r="Y71" s="265">
        <v>0</v>
      </c>
      <c r="Z71" s="265">
        <v>52</v>
      </c>
    </row>
    <row r="72" spans="1:26" x14ac:dyDescent="0.35">
      <c r="A72" s="267">
        <v>45630.493391805554</v>
      </c>
      <c r="B72" s="265" t="s">
        <v>168</v>
      </c>
      <c r="C72" s="265" t="s">
        <v>326</v>
      </c>
      <c r="D72" s="265" t="s">
        <v>49</v>
      </c>
      <c r="E72" s="265" t="s">
        <v>50</v>
      </c>
      <c r="F72" s="265">
        <v>2</v>
      </c>
      <c r="G72" s="265">
        <v>0</v>
      </c>
      <c r="H72" s="265">
        <v>2</v>
      </c>
      <c r="I72" s="265">
        <v>2</v>
      </c>
      <c r="J72" s="265">
        <v>2</v>
      </c>
      <c r="K72" s="265">
        <v>2</v>
      </c>
      <c r="L72" s="265">
        <v>6</v>
      </c>
      <c r="M72" s="265">
        <v>0</v>
      </c>
      <c r="N72" s="265">
        <v>6</v>
      </c>
      <c r="O72" s="265">
        <v>6</v>
      </c>
      <c r="P72" s="265">
        <v>6</v>
      </c>
      <c r="Q72" s="265">
        <v>6</v>
      </c>
      <c r="R72" s="265">
        <v>445</v>
      </c>
      <c r="S72" s="265">
        <v>435</v>
      </c>
      <c r="T72" s="265">
        <v>296</v>
      </c>
      <c r="U72" s="265">
        <v>370</v>
      </c>
      <c r="V72" s="265">
        <v>352</v>
      </c>
      <c r="W72" s="265">
        <v>352</v>
      </c>
      <c r="X72" s="265">
        <v>2</v>
      </c>
      <c r="Y72" s="265">
        <v>6</v>
      </c>
      <c r="Z72" s="265">
        <v>445</v>
      </c>
    </row>
    <row r="73" spans="1:26" x14ac:dyDescent="0.35">
      <c r="A73" s="267">
        <v>45630.493391805554</v>
      </c>
      <c r="B73" s="265" t="s">
        <v>168</v>
      </c>
      <c r="C73" s="265" t="s">
        <v>373</v>
      </c>
      <c r="D73" s="265" t="s">
        <v>49</v>
      </c>
      <c r="E73" s="265" t="s">
        <v>50</v>
      </c>
      <c r="F73" s="265">
        <v>11</v>
      </c>
      <c r="G73" s="265">
        <v>0</v>
      </c>
      <c r="H73" s="265">
        <v>7</v>
      </c>
      <c r="I73" s="265">
        <v>8</v>
      </c>
      <c r="J73" s="265">
        <v>5</v>
      </c>
      <c r="K73" s="265">
        <v>5</v>
      </c>
      <c r="L73" s="265">
        <v>35</v>
      </c>
      <c r="M73" s="265">
        <v>0</v>
      </c>
      <c r="N73" s="265">
        <v>25</v>
      </c>
      <c r="O73" s="265">
        <v>29</v>
      </c>
      <c r="P73" s="265">
        <v>19</v>
      </c>
      <c r="Q73" s="265">
        <v>19</v>
      </c>
      <c r="R73" s="265">
        <v>3459</v>
      </c>
      <c r="S73" s="265">
        <v>3399</v>
      </c>
      <c r="T73" s="265">
        <v>2058</v>
      </c>
      <c r="U73" s="265">
        <v>2587</v>
      </c>
      <c r="V73" s="265">
        <v>2336</v>
      </c>
      <c r="W73" s="265">
        <v>2336</v>
      </c>
      <c r="X73" s="265">
        <v>11</v>
      </c>
      <c r="Y73" s="265">
        <v>35</v>
      </c>
      <c r="Z73" s="265">
        <v>3459</v>
      </c>
    </row>
    <row r="74" spans="1:26" x14ac:dyDescent="0.35">
      <c r="A74" s="267">
        <v>45630.493391805554</v>
      </c>
      <c r="B74" s="265" t="s">
        <v>168</v>
      </c>
      <c r="C74" s="265" t="s">
        <v>383</v>
      </c>
      <c r="D74" s="265" t="s">
        <v>49</v>
      </c>
      <c r="E74" s="265" t="s">
        <v>50</v>
      </c>
      <c r="F74" s="265">
        <v>4</v>
      </c>
      <c r="G74" s="265">
        <v>0</v>
      </c>
      <c r="H74" s="265">
        <v>4</v>
      </c>
      <c r="I74" s="265">
        <v>4</v>
      </c>
      <c r="J74" s="265">
        <v>4</v>
      </c>
      <c r="K74" s="265">
        <v>4</v>
      </c>
      <c r="L74" s="265">
        <v>12</v>
      </c>
      <c r="M74" s="265">
        <v>0</v>
      </c>
      <c r="N74" s="265">
        <v>9</v>
      </c>
      <c r="O74" s="265">
        <v>9</v>
      </c>
      <c r="P74" s="265">
        <v>8</v>
      </c>
      <c r="Q74" s="265">
        <v>8</v>
      </c>
      <c r="R74" s="265">
        <v>1086</v>
      </c>
      <c r="S74" s="265">
        <v>1067</v>
      </c>
      <c r="T74" s="265">
        <v>766</v>
      </c>
      <c r="U74" s="265">
        <v>869</v>
      </c>
      <c r="V74" s="265">
        <v>786</v>
      </c>
      <c r="W74" s="265">
        <v>786</v>
      </c>
      <c r="X74" s="265">
        <v>4</v>
      </c>
      <c r="Y74" s="265">
        <v>12</v>
      </c>
      <c r="Z74" s="265">
        <v>1086</v>
      </c>
    </row>
    <row r="75" spans="1:26" x14ac:dyDescent="0.35">
      <c r="A75" s="267">
        <v>45630.493391805554</v>
      </c>
      <c r="B75" s="265" t="s">
        <v>167</v>
      </c>
      <c r="C75" s="265" t="s">
        <v>271</v>
      </c>
      <c r="D75" s="265" t="s">
        <v>49</v>
      </c>
      <c r="E75" s="265" t="s">
        <v>50</v>
      </c>
      <c r="F75" s="265">
        <v>6</v>
      </c>
      <c r="G75" s="265">
        <v>0</v>
      </c>
      <c r="H75" s="265">
        <v>4</v>
      </c>
      <c r="I75" s="265">
        <v>4</v>
      </c>
      <c r="J75" s="265">
        <v>4</v>
      </c>
      <c r="K75" s="265">
        <v>4</v>
      </c>
      <c r="L75" s="265">
        <v>18</v>
      </c>
      <c r="M75" s="265">
        <v>0</v>
      </c>
      <c r="N75" s="265">
        <v>14</v>
      </c>
      <c r="O75" s="265">
        <v>15</v>
      </c>
      <c r="P75" s="265">
        <v>14</v>
      </c>
      <c r="Q75" s="265">
        <v>14</v>
      </c>
      <c r="R75" s="265">
        <v>1152</v>
      </c>
      <c r="S75" s="265">
        <v>1141</v>
      </c>
      <c r="T75" s="265">
        <v>554</v>
      </c>
      <c r="U75" s="265">
        <v>832</v>
      </c>
      <c r="V75" s="265">
        <v>965</v>
      </c>
      <c r="W75" s="265">
        <v>965</v>
      </c>
      <c r="X75" s="265">
        <v>6</v>
      </c>
      <c r="Y75" s="265">
        <v>18</v>
      </c>
      <c r="Z75" s="265">
        <v>1153</v>
      </c>
    </row>
    <row r="76" spans="1:26" x14ac:dyDescent="0.35">
      <c r="A76" s="267">
        <v>45630.493391805554</v>
      </c>
      <c r="B76" s="265" t="s">
        <v>168</v>
      </c>
      <c r="C76" s="265" t="s">
        <v>420</v>
      </c>
      <c r="D76" s="265" t="s">
        <v>49</v>
      </c>
      <c r="E76" s="265" t="s">
        <v>50</v>
      </c>
      <c r="F76" s="265">
        <v>5</v>
      </c>
      <c r="G76" s="265">
        <v>0</v>
      </c>
      <c r="H76" s="265">
        <v>4</v>
      </c>
      <c r="I76" s="265">
        <v>4</v>
      </c>
      <c r="J76" s="265">
        <v>5</v>
      </c>
      <c r="K76" s="265">
        <v>5</v>
      </c>
      <c r="L76" s="265">
        <v>17</v>
      </c>
      <c r="M76" s="265">
        <v>0</v>
      </c>
      <c r="N76" s="265">
        <v>12</v>
      </c>
      <c r="O76" s="265">
        <v>14</v>
      </c>
      <c r="P76" s="265">
        <v>16</v>
      </c>
      <c r="Q76" s="265">
        <v>16</v>
      </c>
      <c r="R76" s="265">
        <v>1488</v>
      </c>
      <c r="S76" s="265">
        <v>1459</v>
      </c>
      <c r="T76" s="265">
        <v>975</v>
      </c>
      <c r="U76" s="265">
        <v>1162</v>
      </c>
      <c r="V76" s="265">
        <v>1187</v>
      </c>
      <c r="W76" s="265">
        <v>1187</v>
      </c>
      <c r="X76" s="265">
        <v>5</v>
      </c>
      <c r="Y76" s="265">
        <v>17</v>
      </c>
      <c r="Z76" s="265">
        <v>1488</v>
      </c>
    </row>
    <row r="77" spans="1:26" x14ac:dyDescent="0.35">
      <c r="A77" s="267">
        <v>45630.493391805554</v>
      </c>
      <c r="B77" s="265" t="s">
        <v>167</v>
      </c>
      <c r="C77" s="265" t="s">
        <v>276</v>
      </c>
      <c r="D77" s="265" t="s">
        <v>49</v>
      </c>
      <c r="E77" s="265" t="s">
        <v>50</v>
      </c>
      <c r="F77" s="265">
        <v>1</v>
      </c>
      <c r="G77" s="265">
        <v>0</v>
      </c>
      <c r="H77" s="265">
        <v>0</v>
      </c>
      <c r="I77" s="265">
        <v>1</v>
      </c>
      <c r="J77" s="265">
        <v>1</v>
      </c>
      <c r="K77" s="265">
        <v>1</v>
      </c>
      <c r="L77" s="265">
        <v>3</v>
      </c>
      <c r="M77" s="265">
        <v>0</v>
      </c>
      <c r="N77" s="265">
        <v>2</v>
      </c>
      <c r="O77" s="265">
        <v>3</v>
      </c>
      <c r="P77" s="265">
        <v>3</v>
      </c>
      <c r="Q77" s="265">
        <v>3</v>
      </c>
      <c r="R77" s="265">
        <v>318</v>
      </c>
      <c r="S77" s="265">
        <v>309</v>
      </c>
      <c r="T77" s="265">
        <v>128</v>
      </c>
      <c r="U77" s="265">
        <v>180</v>
      </c>
      <c r="V77" s="265">
        <v>211</v>
      </c>
      <c r="W77" s="265">
        <v>211</v>
      </c>
      <c r="X77" s="265">
        <v>1</v>
      </c>
      <c r="Y77" s="265">
        <v>3</v>
      </c>
      <c r="Z77" s="265">
        <v>318</v>
      </c>
    </row>
    <row r="78" spans="1:26" x14ac:dyDescent="0.35">
      <c r="A78" s="267">
        <v>45630.493391805554</v>
      </c>
      <c r="B78" s="265" t="s">
        <v>168</v>
      </c>
      <c r="C78" s="265" t="s">
        <v>245</v>
      </c>
      <c r="D78" s="265" t="s">
        <v>49</v>
      </c>
      <c r="E78" s="265" t="s">
        <v>50</v>
      </c>
      <c r="F78" s="265">
        <v>6</v>
      </c>
      <c r="G78" s="265">
        <v>0</v>
      </c>
      <c r="H78" s="265">
        <v>3</v>
      </c>
      <c r="I78" s="265">
        <v>4</v>
      </c>
      <c r="J78" s="265">
        <v>4</v>
      </c>
      <c r="K78" s="265">
        <v>4</v>
      </c>
      <c r="L78" s="265">
        <v>19</v>
      </c>
      <c r="M78" s="265">
        <v>0</v>
      </c>
      <c r="N78" s="265">
        <v>11</v>
      </c>
      <c r="O78" s="265">
        <v>14</v>
      </c>
      <c r="P78" s="265">
        <v>12</v>
      </c>
      <c r="Q78" s="265">
        <v>12</v>
      </c>
      <c r="R78" s="265">
        <v>1639</v>
      </c>
      <c r="S78" s="265">
        <v>1616</v>
      </c>
      <c r="T78" s="265">
        <v>1078</v>
      </c>
      <c r="U78" s="265">
        <v>1317</v>
      </c>
      <c r="V78" s="265">
        <v>1249</v>
      </c>
      <c r="W78" s="265">
        <v>1249</v>
      </c>
      <c r="X78" s="265">
        <v>6</v>
      </c>
      <c r="Y78" s="265">
        <v>19</v>
      </c>
      <c r="Z78" s="265">
        <v>1639</v>
      </c>
    </row>
    <row r="79" spans="1:26" x14ac:dyDescent="0.35">
      <c r="A79" s="267">
        <v>45630.493391805554</v>
      </c>
      <c r="B79" s="265" t="s">
        <v>168</v>
      </c>
      <c r="C79" s="265" t="s">
        <v>305</v>
      </c>
      <c r="D79" s="265" t="s">
        <v>49</v>
      </c>
      <c r="E79" s="265" t="s">
        <v>50</v>
      </c>
      <c r="F79" s="265">
        <v>3</v>
      </c>
      <c r="G79" s="265">
        <v>0</v>
      </c>
      <c r="H79" s="265">
        <v>1</v>
      </c>
      <c r="I79" s="265">
        <v>1</v>
      </c>
      <c r="J79" s="265">
        <v>0</v>
      </c>
      <c r="K79" s="265">
        <v>0</v>
      </c>
      <c r="L79" s="265">
        <v>10</v>
      </c>
      <c r="M79" s="265">
        <v>0</v>
      </c>
      <c r="N79" s="265">
        <v>2</v>
      </c>
      <c r="O79" s="265">
        <v>4</v>
      </c>
      <c r="P79" s="265">
        <v>4</v>
      </c>
      <c r="Q79" s="265">
        <v>4</v>
      </c>
      <c r="R79" s="265">
        <v>993</v>
      </c>
      <c r="S79" s="265">
        <v>976</v>
      </c>
      <c r="T79" s="265">
        <v>563</v>
      </c>
      <c r="U79" s="265">
        <v>685</v>
      </c>
      <c r="V79" s="265">
        <v>699</v>
      </c>
      <c r="W79" s="265">
        <v>699</v>
      </c>
      <c r="X79" s="265">
        <v>3</v>
      </c>
      <c r="Y79" s="265">
        <v>10</v>
      </c>
      <c r="Z79" s="265">
        <v>993</v>
      </c>
    </row>
    <row r="80" spans="1:26" x14ac:dyDescent="0.35">
      <c r="A80" s="267">
        <v>45630.493391805554</v>
      </c>
      <c r="B80" s="265" t="s">
        <v>168</v>
      </c>
      <c r="C80" s="265" t="s">
        <v>278</v>
      </c>
      <c r="D80" s="265" t="s">
        <v>49</v>
      </c>
      <c r="E80" s="265" t="s">
        <v>50</v>
      </c>
      <c r="F80" s="265">
        <v>3</v>
      </c>
      <c r="G80" s="265">
        <v>0</v>
      </c>
      <c r="H80" s="265">
        <v>3</v>
      </c>
      <c r="I80" s="265">
        <v>4</v>
      </c>
      <c r="J80" s="265">
        <v>3</v>
      </c>
      <c r="K80" s="265">
        <v>3</v>
      </c>
      <c r="L80" s="265">
        <v>11</v>
      </c>
      <c r="M80" s="265">
        <v>0</v>
      </c>
      <c r="N80" s="265">
        <v>5</v>
      </c>
      <c r="O80" s="265">
        <v>8</v>
      </c>
      <c r="P80" s="265">
        <v>6</v>
      </c>
      <c r="Q80" s="265">
        <v>6</v>
      </c>
      <c r="R80" s="265">
        <v>1057</v>
      </c>
      <c r="S80" s="265">
        <v>1037</v>
      </c>
      <c r="T80" s="265">
        <v>683</v>
      </c>
      <c r="U80" s="265">
        <v>825</v>
      </c>
      <c r="V80" s="265">
        <v>748</v>
      </c>
      <c r="W80" s="265">
        <v>748</v>
      </c>
      <c r="X80" s="265">
        <v>4</v>
      </c>
      <c r="Y80" s="265">
        <v>11</v>
      </c>
      <c r="Z80" s="265">
        <v>1057</v>
      </c>
    </row>
    <row r="81" spans="1:26" x14ac:dyDescent="0.35">
      <c r="A81" s="267">
        <v>45630.493391805554</v>
      </c>
      <c r="B81" s="265" t="s">
        <v>168</v>
      </c>
      <c r="C81" s="265" t="s">
        <v>402</v>
      </c>
      <c r="D81" s="265" t="s">
        <v>49</v>
      </c>
      <c r="E81" s="265" t="s">
        <v>50</v>
      </c>
      <c r="F81" s="265">
        <v>3</v>
      </c>
      <c r="G81" s="265">
        <v>0</v>
      </c>
      <c r="H81" s="265">
        <v>2</v>
      </c>
      <c r="I81" s="265">
        <v>3</v>
      </c>
      <c r="J81" s="265">
        <v>3</v>
      </c>
      <c r="K81" s="265">
        <v>3</v>
      </c>
      <c r="L81" s="265">
        <v>12</v>
      </c>
      <c r="M81" s="265">
        <v>0</v>
      </c>
      <c r="N81" s="265">
        <v>7</v>
      </c>
      <c r="O81" s="265">
        <v>11</v>
      </c>
      <c r="P81" s="265">
        <v>9</v>
      </c>
      <c r="Q81" s="265">
        <v>9</v>
      </c>
      <c r="R81" s="265">
        <v>1022</v>
      </c>
      <c r="S81" s="265">
        <v>1010</v>
      </c>
      <c r="T81" s="265">
        <v>738</v>
      </c>
      <c r="U81" s="265">
        <v>882</v>
      </c>
      <c r="V81" s="265">
        <v>769</v>
      </c>
      <c r="W81" s="265">
        <v>769</v>
      </c>
      <c r="X81" s="265">
        <v>3</v>
      </c>
      <c r="Y81" s="265">
        <v>12</v>
      </c>
      <c r="Z81" s="265">
        <v>1022</v>
      </c>
    </row>
    <row r="82" spans="1:26" x14ac:dyDescent="0.35">
      <c r="A82" s="267">
        <v>45630.493391805554</v>
      </c>
      <c r="B82" s="265" t="s">
        <v>168</v>
      </c>
      <c r="C82" s="265" t="s">
        <v>303</v>
      </c>
      <c r="D82" s="265" t="s">
        <v>49</v>
      </c>
      <c r="E82" s="265" t="s">
        <v>50</v>
      </c>
      <c r="F82" s="265">
        <v>4</v>
      </c>
      <c r="G82" s="265">
        <v>0</v>
      </c>
      <c r="H82" s="265">
        <v>4</v>
      </c>
      <c r="I82" s="265">
        <v>4</v>
      </c>
      <c r="J82" s="265">
        <v>4</v>
      </c>
      <c r="K82" s="265">
        <v>4</v>
      </c>
      <c r="L82" s="265">
        <v>14</v>
      </c>
      <c r="M82" s="265">
        <v>0</v>
      </c>
      <c r="N82" s="265">
        <v>9</v>
      </c>
      <c r="O82" s="265">
        <v>11</v>
      </c>
      <c r="P82" s="265">
        <v>11</v>
      </c>
      <c r="Q82" s="265">
        <v>11</v>
      </c>
      <c r="R82" s="265">
        <v>1503</v>
      </c>
      <c r="S82" s="265">
        <v>1488</v>
      </c>
      <c r="T82" s="265">
        <v>978</v>
      </c>
      <c r="U82" s="265">
        <v>1169</v>
      </c>
      <c r="V82" s="265">
        <v>1071</v>
      </c>
      <c r="W82" s="265">
        <v>1071</v>
      </c>
      <c r="X82" s="265">
        <v>4</v>
      </c>
      <c r="Y82" s="265">
        <v>14</v>
      </c>
      <c r="Z82" s="265">
        <v>1504</v>
      </c>
    </row>
    <row r="83" spans="1:26" x14ac:dyDescent="0.35">
      <c r="A83" s="267">
        <v>45630.493391805554</v>
      </c>
      <c r="B83" s="265" t="s">
        <v>168</v>
      </c>
      <c r="C83" s="265" t="s">
        <v>509</v>
      </c>
      <c r="D83" s="265" t="s">
        <v>49</v>
      </c>
      <c r="E83" s="265" t="s">
        <v>50</v>
      </c>
      <c r="F83" s="265">
        <v>1</v>
      </c>
      <c r="G83" s="265">
        <v>0</v>
      </c>
      <c r="H83" s="265">
        <v>1</v>
      </c>
      <c r="I83" s="265">
        <v>1</v>
      </c>
      <c r="J83" s="265">
        <v>1</v>
      </c>
      <c r="K83" s="265">
        <v>1</v>
      </c>
      <c r="L83" s="265">
        <v>3</v>
      </c>
      <c r="M83" s="265">
        <v>0</v>
      </c>
      <c r="N83" s="265">
        <v>3</v>
      </c>
      <c r="O83" s="265">
        <v>3</v>
      </c>
      <c r="P83" s="265">
        <v>3</v>
      </c>
      <c r="Q83" s="265">
        <v>3</v>
      </c>
      <c r="R83" s="265">
        <v>180</v>
      </c>
      <c r="S83" s="265">
        <v>179</v>
      </c>
      <c r="T83" s="265">
        <v>129</v>
      </c>
      <c r="U83" s="265">
        <v>150</v>
      </c>
      <c r="V83" s="265">
        <v>116</v>
      </c>
      <c r="W83" s="265">
        <v>116</v>
      </c>
      <c r="X83" s="265">
        <v>1</v>
      </c>
      <c r="Y83" s="265">
        <v>3</v>
      </c>
      <c r="Z83" s="265">
        <v>180</v>
      </c>
    </row>
    <row r="84" spans="1:26" x14ac:dyDescent="0.35">
      <c r="A84" s="267">
        <v>45630.493391805554</v>
      </c>
      <c r="B84" s="265" t="s">
        <v>168</v>
      </c>
      <c r="C84" s="265" t="s">
        <v>289</v>
      </c>
      <c r="D84" s="265" t="s">
        <v>49</v>
      </c>
      <c r="E84" s="265" t="s">
        <v>50</v>
      </c>
      <c r="F84" s="265">
        <v>0</v>
      </c>
      <c r="G84" s="265">
        <v>0</v>
      </c>
      <c r="H84" s="265">
        <v>0</v>
      </c>
      <c r="I84" s="265">
        <v>0</v>
      </c>
      <c r="J84" s="265">
        <v>0</v>
      </c>
      <c r="K84" s="265">
        <v>0</v>
      </c>
      <c r="L84" s="265">
        <v>0</v>
      </c>
      <c r="M84" s="265">
        <v>0</v>
      </c>
      <c r="N84" s="265">
        <v>0</v>
      </c>
      <c r="O84" s="265">
        <v>0</v>
      </c>
      <c r="P84" s="265">
        <v>0</v>
      </c>
      <c r="Q84" s="265">
        <v>0</v>
      </c>
      <c r="R84" s="265">
        <v>446</v>
      </c>
      <c r="S84" s="265">
        <v>424</v>
      </c>
      <c r="T84" s="265">
        <v>273</v>
      </c>
      <c r="U84" s="265">
        <v>324</v>
      </c>
      <c r="V84" s="265">
        <v>332</v>
      </c>
      <c r="W84" s="265">
        <v>332</v>
      </c>
      <c r="X84" s="265">
        <v>0</v>
      </c>
      <c r="Y84" s="265">
        <v>0</v>
      </c>
      <c r="Z84" s="265">
        <v>445</v>
      </c>
    </row>
    <row r="85" spans="1:26" x14ac:dyDescent="0.35">
      <c r="A85" s="267">
        <v>45630.493391805554</v>
      </c>
      <c r="B85" s="265" t="s">
        <v>168</v>
      </c>
      <c r="C85" s="265" t="s">
        <v>244</v>
      </c>
      <c r="D85" s="265" t="s">
        <v>49</v>
      </c>
      <c r="E85" s="265" t="s">
        <v>50</v>
      </c>
      <c r="F85" s="265">
        <v>3</v>
      </c>
      <c r="G85" s="265">
        <v>0</v>
      </c>
      <c r="H85" s="265">
        <v>3</v>
      </c>
      <c r="I85" s="265">
        <v>3</v>
      </c>
      <c r="J85" s="265">
        <v>3</v>
      </c>
      <c r="K85" s="265">
        <v>3</v>
      </c>
      <c r="L85" s="265">
        <v>11</v>
      </c>
      <c r="M85" s="265">
        <v>0</v>
      </c>
      <c r="N85" s="265">
        <v>8</v>
      </c>
      <c r="O85" s="265">
        <v>10</v>
      </c>
      <c r="P85" s="265">
        <v>10</v>
      </c>
      <c r="Q85" s="265">
        <v>10</v>
      </c>
      <c r="R85" s="265">
        <v>1130</v>
      </c>
      <c r="S85" s="265">
        <v>1100</v>
      </c>
      <c r="T85" s="265">
        <v>794</v>
      </c>
      <c r="U85" s="265">
        <v>946</v>
      </c>
      <c r="V85" s="265">
        <v>955</v>
      </c>
      <c r="W85" s="265">
        <v>955</v>
      </c>
      <c r="X85" s="265">
        <v>3</v>
      </c>
      <c r="Y85" s="265">
        <v>11</v>
      </c>
      <c r="Z85" s="265">
        <v>1131</v>
      </c>
    </row>
    <row r="86" spans="1:26" x14ac:dyDescent="0.35">
      <c r="A86" s="267">
        <v>45630.493391805554</v>
      </c>
      <c r="B86" s="265" t="s">
        <v>168</v>
      </c>
      <c r="C86" s="265" t="s">
        <v>304</v>
      </c>
      <c r="D86" s="265" t="s">
        <v>49</v>
      </c>
      <c r="E86" s="265" t="s">
        <v>50</v>
      </c>
      <c r="F86" s="265">
        <v>6</v>
      </c>
      <c r="G86" s="265">
        <v>0</v>
      </c>
      <c r="H86" s="265">
        <v>5</v>
      </c>
      <c r="I86" s="265">
        <v>5</v>
      </c>
      <c r="J86" s="265">
        <v>5</v>
      </c>
      <c r="K86" s="265">
        <v>5</v>
      </c>
      <c r="L86" s="265">
        <v>20</v>
      </c>
      <c r="M86" s="265">
        <v>0</v>
      </c>
      <c r="N86" s="265">
        <v>13</v>
      </c>
      <c r="O86" s="265">
        <v>16</v>
      </c>
      <c r="P86" s="265">
        <v>16</v>
      </c>
      <c r="Q86" s="265">
        <v>16</v>
      </c>
      <c r="R86" s="265">
        <v>1999</v>
      </c>
      <c r="S86" s="265">
        <v>1962</v>
      </c>
      <c r="T86" s="265">
        <v>1399</v>
      </c>
      <c r="U86" s="265">
        <v>1621</v>
      </c>
      <c r="V86" s="265">
        <v>1563</v>
      </c>
      <c r="W86" s="265">
        <v>1563</v>
      </c>
      <c r="X86" s="265">
        <v>6</v>
      </c>
      <c r="Y86" s="265">
        <v>20</v>
      </c>
      <c r="Z86" s="265">
        <v>1996</v>
      </c>
    </row>
    <row r="87" spans="1:26" x14ac:dyDescent="0.35">
      <c r="A87" s="267">
        <v>45630.493391805554</v>
      </c>
      <c r="B87" s="265" t="s">
        <v>168</v>
      </c>
      <c r="C87" s="265" t="s">
        <v>253</v>
      </c>
      <c r="D87" s="265" t="s">
        <v>49</v>
      </c>
      <c r="E87" s="265" t="s">
        <v>50</v>
      </c>
      <c r="F87" s="265">
        <v>5</v>
      </c>
      <c r="G87" s="265">
        <v>0</v>
      </c>
      <c r="H87" s="265">
        <v>3</v>
      </c>
      <c r="I87" s="265">
        <v>4</v>
      </c>
      <c r="J87" s="265">
        <v>5</v>
      </c>
      <c r="K87" s="265">
        <v>5</v>
      </c>
      <c r="L87" s="265">
        <v>16</v>
      </c>
      <c r="M87" s="265">
        <v>0</v>
      </c>
      <c r="N87" s="265">
        <v>10</v>
      </c>
      <c r="O87" s="265">
        <v>14</v>
      </c>
      <c r="P87" s="265">
        <v>13</v>
      </c>
      <c r="Q87" s="265">
        <v>13</v>
      </c>
      <c r="R87" s="265">
        <v>1889</v>
      </c>
      <c r="S87" s="265">
        <v>1852</v>
      </c>
      <c r="T87" s="265">
        <v>1434</v>
      </c>
      <c r="U87" s="265">
        <v>1633</v>
      </c>
      <c r="V87" s="265">
        <v>1541</v>
      </c>
      <c r="W87" s="265">
        <v>1542</v>
      </c>
      <c r="X87" s="265">
        <v>5</v>
      </c>
      <c r="Y87" s="265">
        <v>16</v>
      </c>
      <c r="Z87" s="265">
        <v>1890</v>
      </c>
    </row>
    <row r="88" spans="1:26" x14ac:dyDescent="0.35">
      <c r="A88" s="267">
        <v>45630.493391805554</v>
      </c>
      <c r="B88" s="265" t="s">
        <v>168</v>
      </c>
      <c r="C88" s="265" t="s">
        <v>238</v>
      </c>
      <c r="D88" s="265" t="s">
        <v>49</v>
      </c>
      <c r="E88" s="265" t="s">
        <v>50</v>
      </c>
      <c r="F88" s="265">
        <v>1</v>
      </c>
      <c r="G88" s="265">
        <v>0</v>
      </c>
      <c r="H88" s="265">
        <v>1</v>
      </c>
      <c r="I88" s="265">
        <v>1</v>
      </c>
      <c r="J88" s="265">
        <v>1</v>
      </c>
      <c r="K88" s="265">
        <v>1</v>
      </c>
      <c r="L88" s="265">
        <v>5</v>
      </c>
      <c r="M88" s="265">
        <v>0</v>
      </c>
      <c r="N88" s="265">
        <v>4</v>
      </c>
      <c r="O88" s="265">
        <v>4</v>
      </c>
      <c r="P88" s="265">
        <v>4</v>
      </c>
      <c r="Q88" s="265">
        <v>4</v>
      </c>
      <c r="R88" s="265">
        <v>578</v>
      </c>
      <c r="S88" s="265">
        <v>573</v>
      </c>
      <c r="T88" s="265">
        <v>439</v>
      </c>
      <c r="U88" s="265">
        <v>502</v>
      </c>
      <c r="V88" s="265">
        <v>460</v>
      </c>
      <c r="W88" s="265">
        <v>461</v>
      </c>
      <c r="X88" s="265">
        <v>1</v>
      </c>
      <c r="Y88" s="265">
        <v>5</v>
      </c>
      <c r="Z88" s="265">
        <v>578</v>
      </c>
    </row>
    <row r="89" spans="1:26" x14ac:dyDescent="0.35">
      <c r="A89" s="267">
        <v>45630.493391805554</v>
      </c>
      <c r="B89" s="265" t="s">
        <v>168</v>
      </c>
      <c r="C89" s="265" t="s">
        <v>421</v>
      </c>
      <c r="D89" s="265" t="s">
        <v>49</v>
      </c>
      <c r="E89" s="265" t="s">
        <v>50</v>
      </c>
      <c r="F89" s="265">
        <v>4</v>
      </c>
      <c r="G89" s="265">
        <v>0</v>
      </c>
      <c r="H89" s="265">
        <v>3</v>
      </c>
      <c r="I89" s="265">
        <v>3</v>
      </c>
      <c r="J89" s="265">
        <v>0</v>
      </c>
      <c r="K89" s="265">
        <v>0</v>
      </c>
      <c r="L89" s="265">
        <v>13</v>
      </c>
      <c r="M89" s="265">
        <v>0</v>
      </c>
      <c r="N89" s="265">
        <v>6</v>
      </c>
      <c r="O89" s="265">
        <v>9</v>
      </c>
      <c r="P89" s="265">
        <v>5</v>
      </c>
      <c r="Q89" s="265">
        <v>5</v>
      </c>
      <c r="R89" s="265">
        <v>1276</v>
      </c>
      <c r="S89" s="265">
        <v>1263</v>
      </c>
      <c r="T89" s="265">
        <v>845</v>
      </c>
      <c r="U89" s="265">
        <v>1025</v>
      </c>
      <c r="V89" s="265">
        <v>1015</v>
      </c>
      <c r="W89" s="265">
        <v>1015</v>
      </c>
      <c r="X89" s="265">
        <v>4</v>
      </c>
      <c r="Y89" s="265">
        <v>13</v>
      </c>
      <c r="Z89" s="265">
        <v>1277</v>
      </c>
    </row>
    <row r="90" spans="1:26" x14ac:dyDescent="0.35">
      <c r="A90" s="267">
        <v>45630.493391805554</v>
      </c>
      <c r="B90" s="265" t="s">
        <v>167</v>
      </c>
      <c r="C90" s="265" t="s">
        <v>295</v>
      </c>
      <c r="D90" s="265" t="s">
        <v>49</v>
      </c>
      <c r="E90" s="265" t="s">
        <v>50</v>
      </c>
      <c r="F90" s="265">
        <v>6</v>
      </c>
      <c r="G90" s="265">
        <v>0</v>
      </c>
      <c r="H90" s="265">
        <v>3</v>
      </c>
      <c r="I90" s="265">
        <v>6</v>
      </c>
      <c r="J90" s="265">
        <v>6</v>
      </c>
      <c r="K90" s="265">
        <v>6</v>
      </c>
      <c r="L90" s="265">
        <v>18</v>
      </c>
      <c r="M90" s="265">
        <v>0</v>
      </c>
      <c r="N90" s="265">
        <v>8</v>
      </c>
      <c r="O90" s="265">
        <v>14</v>
      </c>
      <c r="P90" s="265">
        <v>16</v>
      </c>
      <c r="Q90" s="265">
        <v>16</v>
      </c>
      <c r="R90" s="265">
        <v>2528</v>
      </c>
      <c r="S90" s="265">
        <v>2484</v>
      </c>
      <c r="T90" s="265">
        <v>1688</v>
      </c>
      <c r="U90" s="265">
        <v>2062</v>
      </c>
      <c r="V90" s="265">
        <v>2059</v>
      </c>
      <c r="W90" s="265">
        <v>2059</v>
      </c>
      <c r="X90" s="265">
        <v>6</v>
      </c>
      <c r="Y90" s="265">
        <v>18</v>
      </c>
      <c r="Z90" s="265">
        <v>2528</v>
      </c>
    </row>
    <row r="91" spans="1:26" x14ac:dyDescent="0.35">
      <c r="A91" s="267">
        <v>45630.493391805554</v>
      </c>
      <c r="B91" s="265" t="s">
        <v>167</v>
      </c>
      <c r="C91" s="265" t="s">
        <v>307</v>
      </c>
      <c r="D91" s="265" t="s">
        <v>49</v>
      </c>
      <c r="E91" s="265" t="s">
        <v>50</v>
      </c>
      <c r="F91" s="265">
        <v>2</v>
      </c>
      <c r="G91" s="265">
        <v>0</v>
      </c>
      <c r="H91" s="265">
        <v>1</v>
      </c>
      <c r="I91" s="265">
        <v>1</v>
      </c>
      <c r="J91" s="265">
        <v>1</v>
      </c>
      <c r="K91" s="265">
        <v>1</v>
      </c>
      <c r="L91" s="265">
        <v>6</v>
      </c>
      <c r="M91" s="265">
        <v>0</v>
      </c>
      <c r="N91" s="265">
        <v>3</v>
      </c>
      <c r="O91" s="265">
        <v>4</v>
      </c>
      <c r="P91" s="265">
        <v>4</v>
      </c>
      <c r="Q91" s="265">
        <v>4</v>
      </c>
      <c r="R91" s="265">
        <v>376</v>
      </c>
      <c r="S91" s="265">
        <v>371</v>
      </c>
      <c r="T91" s="265">
        <v>152</v>
      </c>
      <c r="U91" s="265">
        <v>247</v>
      </c>
      <c r="V91" s="265">
        <v>312</v>
      </c>
      <c r="W91" s="265">
        <v>312</v>
      </c>
      <c r="X91" s="265">
        <v>2</v>
      </c>
      <c r="Y91" s="265">
        <v>6</v>
      </c>
      <c r="Z91" s="265">
        <v>376</v>
      </c>
    </row>
    <row r="92" spans="1:26" x14ac:dyDescent="0.35">
      <c r="A92" s="267">
        <v>45630.493391805554</v>
      </c>
      <c r="B92" s="265" t="s">
        <v>168</v>
      </c>
      <c r="C92" s="265" t="s">
        <v>262</v>
      </c>
      <c r="D92" s="265" t="s">
        <v>49</v>
      </c>
      <c r="E92" s="265" t="s">
        <v>50</v>
      </c>
      <c r="F92" s="265">
        <v>2</v>
      </c>
      <c r="G92" s="265">
        <v>0</v>
      </c>
      <c r="H92" s="265">
        <v>2</v>
      </c>
      <c r="I92" s="265">
        <v>2</v>
      </c>
      <c r="J92" s="265">
        <v>2</v>
      </c>
      <c r="K92" s="265">
        <v>2</v>
      </c>
      <c r="L92" s="265">
        <v>6</v>
      </c>
      <c r="M92" s="265">
        <v>0</v>
      </c>
      <c r="N92" s="265">
        <v>4</v>
      </c>
      <c r="O92" s="265">
        <v>4</v>
      </c>
      <c r="P92" s="265">
        <v>4</v>
      </c>
      <c r="Q92" s="265">
        <v>4</v>
      </c>
      <c r="R92" s="265">
        <v>675</v>
      </c>
      <c r="S92" s="265">
        <v>668</v>
      </c>
      <c r="T92" s="265">
        <v>456</v>
      </c>
      <c r="U92" s="265">
        <v>536</v>
      </c>
      <c r="V92" s="265">
        <v>503</v>
      </c>
      <c r="W92" s="265">
        <v>503</v>
      </c>
      <c r="X92" s="265">
        <v>2</v>
      </c>
      <c r="Y92" s="265">
        <v>6</v>
      </c>
      <c r="Z92" s="265">
        <v>675</v>
      </c>
    </row>
    <row r="93" spans="1:26" x14ac:dyDescent="0.35">
      <c r="A93" s="267">
        <v>45630.493391805554</v>
      </c>
      <c r="B93" s="265" t="s">
        <v>168</v>
      </c>
      <c r="C93" s="265" t="s">
        <v>336</v>
      </c>
      <c r="D93" s="265" t="s">
        <v>49</v>
      </c>
      <c r="E93" s="265" t="s">
        <v>50</v>
      </c>
      <c r="F93" s="265">
        <v>1</v>
      </c>
      <c r="G93" s="265">
        <v>0</v>
      </c>
      <c r="H93" s="265">
        <v>1</v>
      </c>
      <c r="I93" s="265">
        <v>1</v>
      </c>
      <c r="J93" s="265">
        <v>1</v>
      </c>
      <c r="K93" s="265">
        <v>1</v>
      </c>
      <c r="L93" s="265">
        <v>5</v>
      </c>
      <c r="M93" s="265">
        <v>0</v>
      </c>
      <c r="N93" s="265">
        <v>3</v>
      </c>
      <c r="O93" s="265">
        <v>5</v>
      </c>
      <c r="P93" s="265">
        <v>5</v>
      </c>
      <c r="Q93" s="265">
        <v>5</v>
      </c>
      <c r="R93" s="265">
        <v>580</v>
      </c>
      <c r="S93" s="265">
        <v>556</v>
      </c>
      <c r="T93" s="265">
        <v>394</v>
      </c>
      <c r="U93" s="265">
        <v>454</v>
      </c>
      <c r="V93" s="265">
        <v>445</v>
      </c>
      <c r="W93" s="265">
        <v>446</v>
      </c>
      <c r="X93" s="265">
        <v>1</v>
      </c>
      <c r="Y93" s="265">
        <v>5</v>
      </c>
      <c r="Z93" s="265">
        <v>579</v>
      </c>
    </row>
    <row r="94" spans="1:26" x14ac:dyDescent="0.35">
      <c r="A94" s="267">
        <v>45630.493391805554</v>
      </c>
      <c r="B94" s="265" t="s">
        <v>168</v>
      </c>
      <c r="C94" s="265" t="s">
        <v>397</v>
      </c>
      <c r="D94" s="265" t="s">
        <v>49</v>
      </c>
      <c r="E94" s="265" t="s">
        <v>50</v>
      </c>
      <c r="F94" s="265">
        <v>5</v>
      </c>
      <c r="G94" s="265">
        <v>0</v>
      </c>
      <c r="H94" s="265">
        <v>3</v>
      </c>
      <c r="I94" s="265">
        <v>4</v>
      </c>
      <c r="J94" s="265">
        <v>4</v>
      </c>
      <c r="K94" s="265">
        <v>4</v>
      </c>
      <c r="L94" s="265">
        <v>15</v>
      </c>
      <c r="M94" s="265">
        <v>0</v>
      </c>
      <c r="N94" s="265">
        <v>6</v>
      </c>
      <c r="O94" s="265">
        <v>10</v>
      </c>
      <c r="P94" s="265">
        <v>9</v>
      </c>
      <c r="Q94" s="265">
        <v>9</v>
      </c>
      <c r="R94" s="265">
        <v>1527</v>
      </c>
      <c r="S94" s="265">
        <v>1492</v>
      </c>
      <c r="T94" s="265">
        <v>799</v>
      </c>
      <c r="U94" s="265">
        <v>1055</v>
      </c>
      <c r="V94" s="265">
        <v>1071</v>
      </c>
      <c r="W94" s="265">
        <v>1071</v>
      </c>
      <c r="X94" s="265">
        <v>5</v>
      </c>
      <c r="Y94" s="265">
        <v>15</v>
      </c>
      <c r="Z94" s="265">
        <v>1527</v>
      </c>
    </row>
    <row r="95" spans="1:26" x14ac:dyDescent="0.35">
      <c r="A95" s="267">
        <v>45630.493391805554</v>
      </c>
      <c r="B95" s="265" t="s">
        <v>168</v>
      </c>
      <c r="C95" s="265" t="s">
        <v>320</v>
      </c>
      <c r="D95" s="265" t="s">
        <v>49</v>
      </c>
      <c r="E95" s="265" t="s">
        <v>50</v>
      </c>
      <c r="F95" s="265">
        <v>4</v>
      </c>
      <c r="G95" s="265">
        <v>0</v>
      </c>
      <c r="H95" s="265">
        <v>3</v>
      </c>
      <c r="I95" s="265">
        <v>3</v>
      </c>
      <c r="J95" s="265">
        <v>3</v>
      </c>
      <c r="K95" s="265">
        <v>3</v>
      </c>
      <c r="L95" s="265">
        <v>15</v>
      </c>
      <c r="M95" s="265">
        <v>0</v>
      </c>
      <c r="N95" s="265">
        <v>11</v>
      </c>
      <c r="O95" s="265">
        <v>13</v>
      </c>
      <c r="P95" s="265">
        <v>10</v>
      </c>
      <c r="Q95" s="265">
        <v>10</v>
      </c>
      <c r="R95" s="265">
        <v>1632</v>
      </c>
      <c r="S95" s="265">
        <v>1607</v>
      </c>
      <c r="T95" s="265">
        <v>1039</v>
      </c>
      <c r="U95" s="265">
        <v>1273</v>
      </c>
      <c r="V95" s="265">
        <v>1144</v>
      </c>
      <c r="W95" s="265">
        <v>1144</v>
      </c>
      <c r="X95" s="265">
        <v>4</v>
      </c>
      <c r="Y95" s="265">
        <v>15</v>
      </c>
      <c r="Z95" s="265">
        <v>1633</v>
      </c>
    </row>
    <row r="96" spans="1:26" x14ac:dyDescent="0.35">
      <c r="A96" s="267">
        <v>45630.493391805554</v>
      </c>
      <c r="B96" s="265" t="s">
        <v>168</v>
      </c>
      <c r="C96" s="265" t="s">
        <v>249</v>
      </c>
      <c r="D96" s="265" t="s">
        <v>49</v>
      </c>
      <c r="E96" s="265" t="s">
        <v>50</v>
      </c>
      <c r="F96" s="265">
        <v>5</v>
      </c>
      <c r="G96" s="265">
        <v>0</v>
      </c>
      <c r="H96" s="265">
        <v>3</v>
      </c>
      <c r="I96" s="265">
        <v>6</v>
      </c>
      <c r="J96" s="265">
        <v>5</v>
      </c>
      <c r="K96" s="265">
        <v>5</v>
      </c>
      <c r="L96" s="265">
        <v>17</v>
      </c>
      <c r="M96" s="265">
        <v>0</v>
      </c>
      <c r="N96" s="265">
        <v>6</v>
      </c>
      <c r="O96" s="265">
        <v>13</v>
      </c>
      <c r="P96" s="265">
        <v>11</v>
      </c>
      <c r="Q96" s="265">
        <v>11</v>
      </c>
      <c r="R96" s="265">
        <v>1829</v>
      </c>
      <c r="S96" s="265">
        <v>1776</v>
      </c>
      <c r="T96" s="265">
        <v>1032</v>
      </c>
      <c r="U96" s="265">
        <v>1292</v>
      </c>
      <c r="V96" s="265">
        <v>1222</v>
      </c>
      <c r="W96" s="265">
        <v>1222</v>
      </c>
      <c r="X96" s="265">
        <v>6</v>
      </c>
      <c r="Y96" s="265">
        <v>18</v>
      </c>
      <c r="Z96" s="265">
        <v>1831</v>
      </c>
    </row>
    <row r="97" spans="1:26" x14ac:dyDescent="0.35">
      <c r="A97" s="267">
        <v>45630.493391805554</v>
      </c>
      <c r="B97" s="265" t="s">
        <v>167</v>
      </c>
      <c r="C97" s="265" t="s">
        <v>261</v>
      </c>
      <c r="D97" s="265" t="s">
        <v>49</v>
      </c>
      <c r="E97" s="265" t="s">
        <v>50</v>
      </c>
      <c r="F97" s="265">
        <v>14</v>
      </c>
      <c r="G97" s="265">
        <v>0</v>
      </c>
      <c r="H97" s="265">
        <v>10</v>
      </c>
      <c r="I97" s="265">
        <v>11</v>
      </c>
      <c r="J97" s="265">
        <v>11</v>
      </c>
      <c r="K97" s="265">
        <v>11</v>
      </c>
      <c r="L97" s="265">
        <v>42</v>
      </c>
      <c r="M97" s="265">
        <v>0</v>
      </c>
      <c r="N97" s="265">
        <v>26</v>
      </c>
      <c r="O97" s="265">
        <v>28</v>
      </c>
      <c r="P97" s="265">
        <v>34</v>
      </c>
      <c r="Q97" s="265">
        <v>34</v>
      </c>
      <c r="R97" s="265">
        <v>4903</v>
      </c>
      <c r="S97" s="265">
        <v>4775</v>
      </c>
      <c r="T97" s="265">
        <v>3369</v>
      </c>
      <c r="U97" s="265">
        <v>4032</v>
      </c>
      <c r="V97" s="265">
        <v>4038</v>
      </c>
      <c r="W97" s="265">
        <v>4038</v>
      </c>
      <c r="X97" s="265">
        <v>14</v>
      </c>
      <c r="Y97" s="265">
        <v>42</v>
      </c>
      <c r="Z97" s="265">
        <v>4904</v>
      </c>
    </row>
    <row r="98" spans="1:26" x14ac:dyDescent="0.35">
      <c r="A98" s="267">
        <v>45630.493391805554</v>
      </c>
      <c r="B98" s="265" t="s">
        <v>167</v>
      </c>
      <c r="C98" s="265" t="s">
        <v>513</v>
      </c>
      <c r="D98" s="265" t="s">
        <v>49</v>
      </c>
      <c r="E98" s="265" t="s">
        <v>50</v>
      </c>
      <c r="F98" s="265">
        <v>0</v>
      </c>
      <c r="G98" s="265">
        <v>0</v>
      </c>
      <c r="H98" s="265">
        <v>0</v>
      </c>
      <c r="I98" s="265">
        <v>0</v>
      </c>
      <c r="J98" s="265">
        <v>0</v>
      </c>
      <c r="K98" s="265">
        <v>0</v>
      </c>
      <c r="L98" s="265">
        <v>0</v>
      </c>
      <c r="M98" s="265">
        <v>0</v>
      </c>
      <c r="N98" s="265">
        <v>0</v>
      </c>
      <c r="O98" s="265">
        <v>0</v>
      </c>
      <c r="P98" s="265">
        <v>0</v>
      </c>
      <c r="Q98" s="265">
        <v>0</v>
      </c>
      <c r="R98" s="265">
        <v>28</v>
      </c>
      <c r="S98" s="265">
        <v>26</v>
      </c>
      <c r="T98" s="265">
        <v>8</v>
      </c>
      <c r="U98" s="265">
        <v>16</v>
      </c>
      <c r="V98" s="265">
        <v>17</v>
      </c>
      <c r="W98" s="265">
        <v>17</v>
      </c>
      <c r="X98" s="265">
        <v>0</v>
      </c>
      <c r="Y98" s="265">
        <v>0</v>
      </c>
      <c r="Z98" s="265">
        <v>28</v>
      </c>
    </row>
    <row r="99" spans="1:26" x14ac:dyDescent="0.35">
      <c r="A99" s="267">
        <v>45630.493391805554</v>
      </c>
      <c r="B99" s="265" t="s">
        <v>168</v>
      </c>
      <c r="C99" s="265" t="s">
        <v>406</v>
      </c>
      <c r="D99" s="265" t="s">
        <v>49</v>
      </c>
      <c r="E99" s="265" t="s">
        <v>50</v>
      </c>
      <c r="F99" s="265">
        <v>11</v>
      </c>
      <c r="G99" s="265">
        <v>0</v>
      </c>
      <c r="H99" s="265">
        <v>9</v>
      </c>
      <c r="I99" s="265">
        <v>10</v>
      </c>
      <c r="J99" s="265">
        <v>9</v>
      </c>
      <c r="K99" s="265">
        <v>9</v>
      </c>
      <c r="L99" s="265">
        <v>39</v>
      </c>
      <c r="M99" s="265">
        <v>0</v>
      </c>
      <c r="N99" s="265">
        <v>33</v>
      </c>
      <c r="O99" s="265">
        <v>38</v>
      </c>
      <c r="P99" s="265">
        <v>32</v>
      </c>
      <c r="Q99" s="265">
        <v>32</v>
      </c>
      <c r="R99" s="265">
        <v>4147</v>
      </c>
      <c r="S99" s="265">
        <v>4098</v>
      </c>
      <c r="T99" s="265">
        <v>2846</v>
      </c>
      <c r="U99" s="265">
        <v>3349</v>
      </c>
      <c r="V99" s="265">
        <v>3318</v>
      </c>
      <c r="W99" s="265">
        <v>3318</v>
      </c>
      <c r="X99" s="265">
        <v>11</v>
      </c>
      <c r="Y99" s="265">
        <v>39</v>
      </c>
      <c r="Z99" s="265">
        <v>4149</v>
      </c>
    </row>
    <row r="100" spans="1:26" x14ac:dyDescent="0.35">
      <c r="A100" s="267">
        <v>45630.493391805554</v>
      </c>
      <c r="B100" s="265" t="s">
        <v>168</v>
      </c>
      <c r="C100" s="265" t="s">
        <v>371</v>
      </c>
      <c r="D100" s="265" t="s">
        <v>49</v>
      </c>
      <c r="E100" s="265" t="s">
        <v>50</v>
      </c>
      <c r="F100" s="265">
        <v>15</v>
      </c>
      <c r="G100" s="265">
        <v>0</v>
      </c>
      <c r="H100" s="265">
        <v>14</v>
      </c>
      <c r="I100" s="265">
        <v>15</v>
      </c>
      <c r="J100" s="265">
        <v>15</v>
      </c>
      <c r="K100" s="265">
        <v>15</v>
      </c>
      <c r="L100" s="265">
        <v>54</v>
      </c>
      <c r="M100" s="265">
        <v>0</v>
      </c>
      <c r="N100" s="265">
        <v>40</v>
      </c>
      <c r="O100" s="265">
        <v>45</v>
      </c>
      <c r="P100" s="265">
        <v>49</v>
      </c>
      <c r="Q100" s="265">
        <v>49</v>
      </c>
      <c r="R100" s="265">
        <v>5372</v>
      </c>
      <c r="S100" s="265">
        <v>5287</v>
      </c>
      <c r="T100" s="265">
        <v>3912</v>
      </c>
      <c r="U100" s="265">
        <v>4506</v>
      </c>
      <c r="V100" s="265">
        <v>4360</v>
      </c>
      <c r="W100" s="265">
        <v>4365</v>
      </c>
      <c r="X100" s="265">
        <v>15</v>
      </c>
      <c r="Y100" s="265">
        <v>54</v>
      </c>
      <c r="Z100" s="265">
        <v>5374</v>
      </c>
    </row>
    <row r="101" spans="1:26" x14ac:dyDescent="0.35">
      <c r="A101" s="267">
        <v>45630.493391805554</v>
      </c>
      <c r="B101" s="265" t="s">
        <v>168</v>
      </c>
      <c r="C101" s="265" t="s">
        <v>345</v>
      </c>
      <c r="D101" s="265" t="s">
        <v>49</v>
      </c>
      <c r="E101" s="265" t="s">
        <v>50</v>
      </c>
      <c r="F101" s="265">
        <v>1</v>
      </c>
      <c r="G101" s="265">
        <v>0</v>
      </c>
      <c r="H101" s="265">
        <v>1</v>
      </c>
      <c r="I101" s="265">
        <v>1</v>
      </c>
      <c r="J101" s="265">
        <v>1</v>
      </c>
      <c r="K101" s="265">
        <v>1</v>
      </c>
      <c r="L101" s="265">
        <v>5</v>
      </c>
      <c r="M101" s="265">
        <v>0</v>
      </c>
      <c r="N101" s="265">
        <v>3</v>
      </c>
      <c r="O101" s="265">
        <v>4</v>
      </c>
      <c r="P101" s="265">
        <v>1</v>
      </c>
      <c r="Q101" s="265">
        <v>1</v>
      </c>
      <c r="R101" s="265">
        <v>626</v>
      </c>
      <c r="S101" s="265">
        <v>599</v>
      </c>
      <c r="T101" s="265">
        <v>450</v>
      </c>
      <c r="U101" s="265">
        <v>510</v>
      </c>
      <c r="V101" s="265">
        <v>476</v>
      </c>
      <c r="W101" s="265">
        <v>476</v>
      </c>
      <c r="X101" s="265">
        <v>1</v>
      </c>
      <c r="Y101" s="265">
        <v>5</v>
      </c>
      <c r="Z101" s="265">
        <v>626</v>
      </c>
    </row>
    <row r="102" spans="1:26" x14ac:dyDescent="0.35">
      <c r="A102" s="267">
        <v>45630.493391805554</v>
      </c>
      <c r="B102" s="265" t="s">
        <v>168</v>
      </c>
      <c r="C102" s="265" t="s">
        <v>372</v>
      </c>
      <c r="D102" s="265" t="s">
        <v>49</v>
      </c>
      <c r="E102" s="265" t="s">
        <v>50</v>
      </c>
      <c r="F102" s="265">
        <v>1</v>
      </c>
      <c r="G102" s="265">
        <v>0</v>
      </c>
      <c r="H102" s="265">
        <v>0</v>
      </c>
      <c r="I102" s="265">
        <v>1</v>
      </c>
      <c r="J102" s="265">
        <v>1</v>
      </c>
      <c r="K102" s="265">
        <v>1</v>
      </c>
      <c r="L102" s="265">
        <v>1</v>
      </c>
      <c r="M102" s="265">
        <v>0</v>
      </c>
      <c r="N102" s="265">
        <v>0</v>
      </c>
      <c r="O102" s="265">
        <v>1</v>
      </c>
      <c r="P102" s="265">
        <v>1</v>
      </c>
      <c r="Q102" s="265">
        <v>1</v>
      </c>
      <c r="R102" s="265">
        <v>600</v>
      </c>
      <c r="S102" s="265">
        <v>593</v>
      </c>
      <c r="T102" s="265">
        <v>389</v>
      </c>
      <c r="U102" s="265">
        <v>499</v>
      </c>
      <c r="V102" s="265">
        <v>425</v>
      </c>
      <c r="W102" s="265">
        <v>425</v>
      </c>
      <c r="X102" s="265">
        <v>1</v>
      </c>
      <c r="Y102" s="265">
        <v>1</v>
      </c>
      <c r="Z102" s="265">
        <v>600</v>
      </c>
    </row>
    <row r="103" spans="1:26" x14ac:dyDescent="0.35">
      <c r="A103" s="267">
        <v>45630.493391805554</v>
      </c>
      <c r="B103" s="265" t="s">
        <v>168</v>
      </c>
      <c r="C103" s="265" t="s">
        <v>499</v>
      </c>
      <c r="D103" s="265" t="s">
        <v>49</v>
      </c>
      <c r="E103" s="265" t="s">
        <v>50</v>
      </c>
      <c r="F103" s="265">
        <v>2</v>
      </c>
      <c r="G103" s="265">
        <v>0</v>
      </c>
      <c r="H103" s="265">
        <v>2</v>
      </c>
      <c r="I103" s="265">
        <v>2</v>
      </c>
      <c r="J103" s="265">
        <v>2</v>
      </c>
      <c r="K103" s="265">
        <v>2</v>
      </c>
      <c r="L103" s="265">
        <v>8</v>
      </c>
      <c r="M103" s="265">
        <v>0</v>
      </c>
      <c r="N103" s="265">
        <v>6</v>
      </c>
      <c r="O103" s="265">
        <v>8</v>
      </c>
      <c r="P103" s="265">
        <v>8</v>
      </c>
      <c r="Q103" s="265">
        <v>8</v>
      </c>
      <c r="R103" s="265">
        <v>1449</v>
      </c>
      <c r="S103" s="265">
        <v>1424</v>
      </c>
      <c r="T103" s="265">
        <v>1014</v>
      </c>
      <c r="U103" s="265">
        <v>1172</v>
      </c>
      <c r="V103" s="265">
        <v>1101</v>
      </c>
      <c r="W103" s="265">
        <v>1101</v>
      </c>
      <c r="X103" s="265">
        <v>2</v>
      </c>
      <c r="Y103" s="265">
        <v>8</v>
      </c>
      <c r="Z103" s="265">
        <v>1449</v>
      </c>
    </row>
    <row r="104" spans="1:26" x14ac:dyDescent="0.35">
      <c r="A104" s="267">
        <v>45630.493391805554</v>
      </c>
      <c r="B104" s="265" t="s">
        <v>168</v>
      </c>
      <c r="C104" s="265" t="s">
        <v>281</v>
      </c>
      <c r="D104" s="265" t="s">
        <v>49</v>
      </c>
      <c r="E104" s="265" t="s">
        <v>50</v>
      </c>
      <c r="F104" s="265">
        <v>4</v>
      </c>
      <c r="G104" s="265">
        <v>0</v>
      </c>
      <c r="H104" s="265">
        <v>4</v>
      </c>
      <c r="I104" s="265">
        <v>4</v>
      </c>
      <c r="J104" s="265">
        <v>4</v>
      </c>
      <c r="K104" s="265">
        <v>4</v>
      </c>
      <c r="L104" s="265">
        <v>14</v>
      </c>
      <c r="M104" s="265">
        <v>0</v>
      </c>
      <c r="N104" s="265">
        <v>12</v>
      </c>
      <c r="O104" s="265">
        <v>12</v>
      </c>
      <c r="P104" s="265">
        <v>12</v>
      </c>
      <c r="Q104" s="265">
        <v>12</v>
      </c>
      <c r="R104" s="265">
        <v>1108</v>
      </c>
      <c r="S104" s="265">
        <v>1081</v>
      </c>
      <c r="T104" s="265">
        <v>752</v>
      </c>
      <c r="U104" s="265">
        <v>874</v>
      </c>
      <c r="V104" s="265">
        <v>851</v>
      </c>
      <c r="W104" s="265">
        <v>851</v>
      </c>
      <c r="X104" s="265">
        <v>4</v>
      </c>
      <c r="Y104" s="265">
        <v>14</v>
      </c>
      <c r="Z104" s="265">
        <v>1108</v>
      </c>
    </row>
    <row r="105" spans="1:26" x14ac:dyDescent="0.35">
      <c r="A105" s="267">
        <v>45630.493391805554</v>
      </c>
      <c r="B105" s="265" t="s">
        <v>168</v>
      </c>
      <c r="C105" s="265" t="s">
        <v>399</v>
      </c>
      <c r="D105" s="265" t="s">
        <v>49</v>
      </c>
      <c r="E105" s="265" t="s">
        <v>50</v>
      </c>
      <c r="F105" s="265">
        <v>2</v>
      </c>
      <c r="G105" s="265">
        <v>0</v>
      </c>
      <c r="H105" s="265">
        <v>1</v>
      </c>
      <c r="I105" s="265">
        <v>1</v>
      </c>
      <c r="J105" s="265">
        <v>0</v>
      </c>
      <c r="K105" s="265">
        <v>0</v>
      </c>
      <c r="L105" s="265">
        <v>8</v>
      </c>
      <c r="M105" s="265">
        <v>0</v>
      </c>
      <c r="N105" s="265">
        <v>5</v>
      </c>
      <c r="O105" s="265">
        <v>5</v>
      </c>
      <c r="P105" s="265">
        <v>5</v>
      </c>
      <c r="Q105" s="265">
        <v>5</v>
      </c>
      <c r="R105" s="265">
        <v>985</v>
      </c>
      <c r="S105" s="265">
        <v>976</v>
      </c>
      <c r="T105" s="265">
        <v>664</v>
      </c>
      <c r="U105" s="265">
        <v>780</v>
      </c>
      <c r="V105" s="265">
        <v>741</v>
      </c>
      <c r="W105" s="265">
        <v>741</v>
      </c>
      <c r="X105" s="265">
        <v>2</v>
      </c>
      <c r="Y105" s="265">
        <v>8</v>
      </c>
      <c r="Z105" s="265">
        <v>985</v>
      </c>
    </row>
    <row r="106" spans="1:26" x14ac:dyDescent="0.35">
      <c r="A106" s="267">
        <v>45630.493391805554</v>
      </c>
      <c r="B106" s="265" t="s">
        <v>168</v>
      </c>
      <c r="C106" s="265" t="s">
        <v>341</v>
      </c>
      <c r="D106" s="265" t="s">
        <v>49</v>
      </c>
      <c r="E106" s="265" t="s">
        <v>50</v>
      </c>
      <c r="F106" s="265">
        <v>4</v>
      </c>
      <c r="G106" s="265">
        <v>0</v>
      </c>
      <c r="H106" s="265">
        <v>4</v>
      </c>
      <c r="I106" s="265">
        <v>4</v>
      </c>
      <c r="J106" s="265">
        <v>4</v>
      </c>
      <c r="K106" s="265">
        <v>4</v>
      </c>
      <c r="L106" s="265">
        <v>13</v>
      </c>
      <c r="M106" s="265">
        <v>0</v>
      </c>
      <c r="N106" s="265">
        <v>10</v>
      </c>
      <c r="O106" s="265">
        <v>11</v>
      </c>
      <c r="P106" s="265">
        <v>11</v>
      </c>
      <c r="Q106" s="265">
        <v>11</v>
      </c>
      <c r="R106" s="265">
        <v>1180</v>
      </c>
      <c r="S106" s="265">
        <v>1164</v>
      </c>
      <c r="T106" s="265">
        <v>811</v>
      </c>
      <c r="U106" s="265">
        <v>955</v>
      </c>
      <c r="V106" s="265">
        <v>876</v>
      </c>
      <c r="W106" s="265">
        <v>876</v>
      </c>
      <c r="X106" s="265">
        <v>4</v>
      </c>
      <c r="Y106" s="265">
        <v>14</v>
      </c>
      <c r="Z106" s="265">
        <v>1180</v>
      </c>
    </row>
    <row r="107" spans="1:26" x14ac:dyDescent="0.35">
      <c r="A107" s="267">
        <v>45630.493391805554</v>
      </c>
      <c r="B107" s="265" t="s">
        <v>168</v>
      </c>
      <c r="C107" s="265" t="s">
        <v>353</v>
      </c>
      <c r="D107" s="265" t="s">
        <v>49</v>
      </c>
      <c r="E107" s="265" t="s">
        <v>50</v>
      </c>
      <c r="F107" s="265">
        <v>1</v>
      </c>
      <c r="G107" s="265">
        <v>0</v>
      </c>
      <c r="H107" s="265">
        <v>1</v>
      </c>
      <c r="I107" s="265">
        <v>1</v>
      </c>
      <c r="J107" s="265">
        <v>1</v>
      </c>
      <c r="K107" s="265">
        <v>1</v>
      </c>
      <c r="L107" s="265">
        <v>1</v>
      </c>
      <c r="M107" s="265">
        <v>0</v>
      </c>
      <c r="N107" s="265">
        <v>1</v>
      </c>
      <c r="O107" s="265">
        <v>1</v>
      </c>
      <c r="P107" s="265">
        <v>1</v>
      </c>
      <c r="Q107" s="265">
        <v>1</v>
      </c>
      <c r="R107" s="265">
        <v>494</v>
      </c>
      <c r="S107" s="265">
        <v>470</v>
      </c>
      <c r="T107" s="265">
        <v>368</v>
      </c>
      <c r="U107" s="265">
        <v>422</v>
      </c>
      <c r="V107" s="265">
        <v>364</v>
      </c>
      <c r="W107" s="265">
        <v>364</v>
      </c>
      <c r="X107" s="265">
        <v>1</v>
      </c>
      <c r="Y107" s="265">
        <v>1</v>
      </c>
      <c r="Z107" s="265">
        <v>494</v>
      </c>
    </row>
    <row r="108" spans="1:26" x14ac:dyDescent="0.35">
      <c r="A108" s="267">
        <v>45630.493391805554</v>
      </c>
      <c r="B108" s="265" t="s">
        <v>168</v>
      </c>
      <c r="C108" s="265" t="s">
        <v>325</v>
      </c>
      <c r="D108" s="265" t="s">
        <v>49</v>
      </c>
      <c r="E108" s="265" t="s">
        <v>50</v>
      </c>
      <c r="F108" s="265">
        <v>9</v>
      </c>
      <c r="G108" s="265">
        <v>0</v>
      </c>
      <c r="H108" s="265">
        <v>6</v>
      </c>
      <c r="I108" s="265">
        <v>8</v>
      </c>
      <c r="J108" s="265">
        <v>7</v>
      </c>
      <c r="K108" s="265">
        <v>7</v>
      </c>
      <c r="L108" s="265">
        <v>39</v>
      </c>
      <c r="M108" s="265">
        <v>0</v>
      </c>
      <c r="N108" s="265">
        <v>27</v>
      </c>
      <c r="O108" s="265">
        <v>30</v>
      </c>
      <c r="P108" s="265">
        <v>28</v>
      </c>
      <c r="Q108" s="265">
        <v>28</v>
      </c>
      <c r="R108" s="265">
        <v>3874</v>
      </c>
      <c r="S108" s="265">
        <v>3807</v>
      </c>
      <c r="T108" s="265">
        <v>2879</v>
      </c>
      <c r="U108" s="265">
        <v>3304</v>
      </c>
      <c r="V108" s="265">
        <v>3130</v>
      </c>
      <c r="W108" s="265">
        <v>3131</v>
      </c>
      <c r="X108" s="265">
        <v>9</v>
      </c>
      <c r="Y108" s="265">
        <v>36</v>
      </c>
      <c r="Z108" s="265">
        <v>3875</v>
      </c>
    </row>
    <row r="109" spans="1:26" x14ac:dyDescent="0.35">
      <c r="A109" s="267">
        <v>45630.493391805554</v>
      </c>
      <c r="B109" s="265" t="s">
        <v>168</v>
      </c>
      <c r="C109" s="265" t="s">
        <v>409</v>
      </c>
      <c r="D109" s="265" t="s">
        <v>49</v>
      </c>
      <c r="E109" s="265" t="s">
        <v>50</v>
      </c>
      <c r="F109" s="265">
        <v>0</v>
      </c>
      <c r="G109" s="265">
        <v>0</v>
      </c>
      <c r="H109" s="265">
        <v>0</v>
      </c>
      <c r="I109" s="265">
        <v>0</v>
      </c>
      <c r="J109" s="265">
        <v>0</v>
      </c>
      <c r="K109" s="265">
        <v>0</v>
      </c>
      <c r="L109" s="265">
        <v>0</v>
      </c>
      <c r="M109" s="265">
        <v>0</v>
      </c>
      <c r="N109" s="265">
        <v>0</v>
      </c>
      <c r="O109" s="265">
        <v>0</v>
      </c>
      <c r="P109" s="265">
        <v>0</v>
      </c>
      <c r="Q109" s="265">
        <v>0</v>
      </c>
      <c r="R109" s="265">
        <v>31</v>
      </c>
      <c r="S109" s="265">
        <v>29</v>
      </c>
      <c r="T109" s="265">
        <v>20</v>
      </c>
      <c r="U109" s="265">
        <v>23</v>
      </c>
      <c r="V109" s="265">
        <v>26</v>
      </c>
      <c r="W109" s="265">
        <v>26</v>
      </c>
      <c r="X109" s="265">
        <v>0</v>
      </c>
      <c r="Y109" s="265">
        <v>0</v>
      </c>
      <c r="Z109" s="265">
        <v>31</v>
      </c>
    </row>
    <row r="110" spans="1:26" x14ac:dyDescent="0.35">
      <c r="A110" s="267">
        <v>45630.493391805554</v>
      </c>
      <c r="B110" s="265" t="s">
        <v>168</v>
      </c>
      <c r="C110" s="265" t="s">
        <v>408</v>
      </c>
      <c r="D110" s="265" t="s">
        <v>49</v>
      </c>
      <c r="E110" s="265" t="s">
        <v>50</v>
      </c>
      <c r="F110" s="265">
        <v>2</v>
      </c>
      <c r="G110" s="265">
        <v>0</v>
      </c>
      <c r="H110" s="265">
        <v>1</v>
      </c>
      <c r="I110" s="265">
        <v>2</v>
      </c>
      <c r="J110" s="265">
        <v>2</v>
      </c>
      <c r="K110" s="265">
        <v>2</v>
      </c>
      <c r="L110" s="265">
        <v>6</v>
      </c>
      <c r="M110" s="265">
        <v>0</v>
      </c>
      <c r="N110" s="265">
        <v>4</v>
      </c>
      <c r="O110" s="265">
        <v>5</v>
      </c>
      <c r="P110" s="265">
        <v>6</v>
      </c>
      <c r="Q110" s="265">
        <v>6</v>
      </c>
      <c r="R110" s="265">
        <v>674</v>
      </c>
      <c r="S110" s="265">
        <v>660</v>
      </c>
      <c r="T110" s="265">
        <v>492</v>
      </c>
      <c r="U110" s="265">
        <v>556</v>
      </c>
      <c r="V110" s="265">
        <v>567</v>
      </c>
      <c r="W110" s="265">
        <v>567</v>
      </c>
      <c r="X110" s="265">
        <v>2</v>
      </c>
      <c r="Y110" s="265">
        <v>6</v>
      </c>
      <c r="Z110" s="265">
        <v>674</v>
      </c>
    </row>
    <row r="111" spans="1:26" x14ac:dyDescent="0.35">
      <c r="A111" s="267">
        <v>45630.493391805554</v>
      </c>
      <c r="B111" s="265" t="s">
        <v>168</v>
      </c>
      <c r="C111" s="265" t="s">
        <v>332</v>
      </c>
      <c r="D111" s="265" t="s">
        <v>49</v>
      </c>
      <c r="E111" s="265" t="s">
        <v>50</v>
      </c>
      <c r="F111" s="265">
        <v>13</v>
      </c>
      <c r="G111" s="265">
        <v>0</v>
      </c>
      <c r="H111" s="265">
        <v>12</v>
      </c>
      <c r="I111" s="265">
        <v>13</v>
      </c>
      <c r="J111" s="265">
        <v>12</v>
      </c>
      <c r="K111" s="265">
        <v>12</v>
      </c>
      <c r="L111" s="265">
        <v>47</v>
      </c>
      <c r="M111" s="265">
        <v>0</v>
      </c>
      <c r="N111" s="265">
        <v>32</v>
      </c>
      <c r="O111" s="265">
        <v>39</v>
      </c>
      <c r="P111" s="265">
        <v>41</v>
      </c>
      <c r="Q111" s="265">
        <v>41</v>
      </c>
      <c r="R111" s="265">
        <v>4571</v>
      </c>
      <c r="S111" s="265">
        <v>4506</v>
      </c>
      <c r="T111" s="265">
        <v>2882</v>
      </c>
      <c r="U111" s="265">
        <v>3480</v>
      </c>
      <c r="V111" s="265">
        <v>3316</v>
      </c>
      <c r="W111" s="265">
        <v>3316</v>
      </c>
      <c r="X111" s="265">
        <v>13</v>
      </c>
      <c r="Y111" s="265">
        <v>47</v>
      </c>
      <c r="Z111" s="265">
        <v>4573</v>
      </c>
    </row>
    <row r="112" spans="1:26" x14ac:dyDescent="0.35">
      <c r="A112" s="267">
        <v>45630.493391805554</v>
      </c>
      <c r="B112" s="265" t="s">
        <v>168</v>
      </c>
      <c r="C112" s="265" t="s">
        <v>405</v>
      </c>
      <c r="D112" s="265" t="s">
        <v>49</v>
      </c>
      <c r="E112" s="265" t="s">
        <v>50</v>
      </c>
      <c r="F112" s="265">
        <v>2</v>
      </c>
      <c r="G112" s="265">
        <v>0</v>
      </c>
      <c r="H112" s="265">
        <v>0</v>
      </c>
      <c r="I112" s="265">
        <v>1</v>
      </c>
      <c r="J112" s="265">
        <v>2</v>
      </c>
      <c r="K112" s="265">
        <v>2</v>
      </c>
      <c r="L112" s="265">
        <v>8</v>
      </c>
      <c r="M112" s="265">
        <v>0</v>
      </c>
      <c r="N112" s="265">
        <v>5</v>
      </c>
      <c r="O112" s="265">
        <v>6</v>
      </c>
      <c r="P112" s="265">
        <v>7</v>
      </c>
      <c r="Q112" s="265">
        <v>7</v>
      </c>
      <c r="R112" s="265">
        <v>817</v>
      </c>
      <c r="S112" s="265">
        <v>809</v>
      </c>
      <c r="T112" s="265">
        <v>551</v>
      </c>
      <c r="U112" s="265">
        <v>657</v>
      </c>
      <c r="V112" s="265">
        <v>604</v>
      </c>
      <c r="W112" s="265">
        <v>604</v>
      </c>
      <c r="X112" s="265">
        <v>1</v>
      </c>
      <c r="Y112" s="265">
        <v>7</v>
      </c>
      <c r="Z112" s="265">
        <v>817</v>
      </c>
    </row>
    <row r="113" spans="1:26" x14ac:dyDescent="0.35">
      <c r="A113" s="267">
        <v>45630.493391805554</v>
      </c>
      <c r="B113" s="265" t="s">
        <v>168</v>
      </c>
      <c r="C113" s="265" t="s">
        <v>354</v>
      </c>
      <c r="D113" s="265" t="s">
        <v>49</v>
      </c>
      <c r="E113" s="265" t="s">
        <v>50</v>
      </c>
      <c r="F113" s="265">
        <v>9</v>
      </c>
      <c r="G113" s="265">
        <v>0</v>
      </c>
      <c r="H113" s="265">
        <v>7</v>
      </c>
      <c r="I113" s="265">
        <v>8</v>
      </c>
      <c r="J113" s="265">
        <v>9</v>
      </c>
      <c r="K113" s="265">
        <v>9</v>
      </c>
      <c r="L113" s="265">
        <v>37</v>
      </c>
      <c r="M113" s="265">
        <v>0</v>
      </c>
      <c r="N113" s="265">
        <v>23</v>
      </c>
      <c r="O113" s="265">
        <v>31</v>
      </c>
      <c r="P113" s="265">
        <v>34</v>
      </c>
      <c r="Q113" s="265">
        <v>34</v>
      </c>
      <c r="R113" s="265">
        <v>2482</v>
      </c>
      <c r="S113" s="265">
        <v>2436</v>
      </c>
      <c r="T113" s="265">
        <v>1735</v>
      </c>
      <c r="U113" s="265">
        <v>2036</v>
      </c>
      <c r="V113" s="265">
        <v>1979</v>
      </c>
      <c r="W113" s="265">
        <v>1979</v>
      </c>
      <c r="X113" s="265">
        <v>9</v>
      </c>
      <c r="Y113" s="265">
        <v>36</v>
      </c>
      <c r="Z113" s="265">
        <v>2484</v>
      </c>
    </row>
    <row r="114" spans="1:26" x14ac:dyDescent="0.35">
      <c r="A114" s="267">
        <v>45630.493391805554</v>
      </c>
      <c r="B114" s="265" t="s">
        <v>167</v>
      </c>
      <c r="C114" s="265" t="s">
        <v>257</v>
      </c>
      <c r="D114" s="265" t="s">
        <v>49</v>
      </c>
      <c r="E114" s="265" t="s">
        <v>50</v>
      </c>
      <c r="F114" s="265">
        <v>1</v>
      </c>
      <c r="G114" s="265">
        <v>0</v>
      </c>
      <c r="H114" s="265">
        <v>0</v>
      </c>
      <c r="I114" s="265">
        <v>1</v>
      </c>
      <c r="J114" s="265">
        <v>1</v>
      </c>
      <c r="K114" s="265">
        <v>1</v>
      </c>
      <c r="L114" s="265">
        <v>3</v>
      </c>
      <c r="M114" s="265">
        <v>0</v>
      </c>
      <c r="N114" s="265">
        <v>2</v>
      </c>
      <c r="O114" s="265">
        <v>3</v>
      </c>
      <c r="P114" s="265">
        <v>3</v>
      </c>
      <c r="Q114" s="265">
        <v>3</v>
      </c>
      <c r="R114" s="265">
        <v>314</v>
      </c>
      <c r="S114" s="265">
        <v>234</v>
      </c>
      <c r="T114" s="265">
        <v>101</v>
      </c>
      <c r="U114" s="265">
        <v>153</v>
      </c>
      <c r="V114" s="265">
        <v>175</v>
      </c>
      <c r="W114" s="265">
        <v>175</v>
      </c>
      <c r="X114" s="265">
        <v>1</v>
      </c>
      <c r="Y114" s="265">
        <v>3</v>
      </c>
      <c r="Z114" s="265">
        <v>313</v>
      </c>
    </row>
    <row r="115" spans="1:26" x14ac:dyDescent="0.35">
      <c r="A115" s="267">
        <v>45630.493391805554</v>
      </c>
      <c r="B115" s="265" t="s">
        <v>168</v>
      </c>
      <c r="C115" s="265" t="s">
        <v>347</v>
      </c>
      <c r="D115" s="265" t="s">
        <v>49</v>
      </c>
      <c r="E115" s="265" t="s">
        <v>50</v>
      </c>
      <c r="F115" s="265">
        <v>1</v>
      </c>
      <c r="G115" s="265">
        <v>0</v>
      </c>
      <c r="H115" s="265">
        <v>1</v>
      </c>
      <c r="I115" s="265">
        <v>1</v>
      </c>
      <c r="J115" s="265">
        <v>1</v>
      </c>
      <c r="K115" s="265">
        <v>1</v>
      </c>
      <c r="L115" s="265">
        <v>5</v>
      </c>
      <c r="M115" s="265">
        <v>0</v>
      </c>
      <c r="N115" s="265">
        <v>4</v>
      </c>
      <c r="O115" s="265">
        <v>4</v>
      </c>
      <c r="P115" s="265">
        <v>4</v>
      </c>
      <c r="Q115" s="265">
        <v>4</v>
      </c>
      <c r="R115" s="265">
        <v>182</v>
      </c>
      <c r="S115" s="265">
        <v>177</v>
      </c>
      <c r="T115" s="265">
        <v>115</v>
      </c>
      <c r="U115" s="265">
        <v>143</v>
      </c>
      <c r="V115" s="265">
        <v>121</v>
      </c>
      <c r="W115" s="265">
        <v>121</v>
      </c>
      <c r="X115" s="265">
        <v>1</v>
      </c>
      <c r="Y115" s="265">
        <v>5</v>
      </c>
      <c r="Z115" s="265">
        <v>182</v>
      </c>
    </row>
    <row r="116" spans="1:26" x14ac:dyDescent="0.35">
      <c r="A116" s="267">
        <v>45630.493391805554</v>
      </c>
      <c r="B116" s="265" t="s">
        <v>168</v>
      </c>
      <c r="C116" s="265" t="s">
        <v>286</v>
      </c>
      <c r="D116" s="265" t="s">
        <v>49</v>
      </c>
      <c r="E116" s="265" t="s">
        <v>50</v>
      </c>
      <c r="F116" s="265">
        <v>4</v>
      </c>
      <c r="G116" s="265">
        <v>0</v>
      </c>
      <c r="H116" s="265">
        <v>5</v>
      </c>
      <c r="I116" s="265">
        <v>5</v>
      </c>
      <c r="J116" s="265">
        <v>2</v>
      </c>
      <c r="K116" s="265">
        <v>2</v>
      </c>
      <c r="L116" s="265">
        <v>14</v>
      </c>
      <c r="M116" s="265">
        <v>0</v>
      </c>
      <c r="N116" s="265">
        <v>11</v>
      </c>
      <c r="O116" s="265">
        <v>12</v>
      </c>
      <c r="P116" s="265">
        <v>9</v>
      </c>
      <c r="Q116" s="265">
        <v>9</v>
      </c>
      <c r="R116" s="265">
        <v>1736</v>
      </c>
      <c r="S116" s="265">
        <v>1717</v>
      </c>
      <c r="T116" s="265">
        <v>1244</v>
      </c>
      <c r="U116" s="265">
        <v>1454</v>
      </c>
      <c r="V116" s="265">
        <v>1393</v>
      </c>
      <c r="W116" s="265">
        <v>1393</v>
      </c>
      <c r="X116" s="265">
        <v>6</v>
      </c>
      <c r="Y116" s="265">
        <v>16</v>
      </c>
      <c r="Z116" s="265">
        <v>1735</v>
      </c>
    </row>
    <row r="117" spans="1:26" x14ac:dyDescent="0.35">
      <c r="A117" s="267">
        <v>45630.493391805554</v>
      </c>
      <c r="B117" s="265" t="s">
        <v>168</v>
      </c>
      <c r="C117" s="265" t="s">
        <v>239</v>
      </c>
      <c r="D117" s="265" t="s">
        <v>49</v>
      </c>
      <c r="E117" s="265" t="s">
        <v>50</v>
      </c>
      <c r="F117" s="265">
        <v>7</v>
      </c>
      <c r="G117" s="265">
        <v>0</v>
      </c>
      <c r="H117" s="265">
        <v>6</v>
      </c>
      <c r="I117" s="265">
        <v>7</v>
      </c>
      <c r="J117" s="265">
        <v>5</v>
      </c>
      <c r="K117" s="265">
        <v>5</v>
      </c>
      <c r="L117" s="265">
        <v>26</v>
      </c>
      <c r="M117" s="265">
        <v>0</v>
      </c>
      <c r="N117" s="265">
        <v>20</v>
      </c>
      <c r="O117" s="265">
        <v>23</v>
      </c>
      <c r="P117" s="265">
        <v>19</v>
      </c>
      <c r="Q117" s="265">
        <v>19</v>
      </c>
      <c r="R117" s="265">
        <v>2502</v>
      </c>
      <c r="S117" s="265">
        <v>2469</v>
      </c>
      <c r="T117" s="265">
        <v>1798</v>
      </c>
      <c r="U117" s="265">
        <v>2071</v>
      </c>
      <c r="V117" s="265">
        <v>1999</v>
      </c>
      <c r="W117" s="265">
        <v>1999</v>
      </c>
      <c r="X117" s="265">
        <v>7</v>
      </c>
      <c r="Y117" s="265">
        <v>27</v>
      </c>
      <c r="Z117" s="265">
        <v>2503</v>
      </c>
    </row>
    <row r="118" spans="1:26" x14ac:dyDescent="0.35">
      <c r="A118" s="267">
        <v>45630.493391805554</v>
      </c>
      <c r="B118" s="265" t="s">
        <v>168</v>
      </c>
      <c r="C118" s="265" t="s">
        <v>316</v>
      </c>
      <c r="D118" s="265" t="s">
        <v>49</v>
      </c>
      <c r="E118" s="265" t="s">
        <v>50</v>
      </c>
      <c r="F118" s="265">
        <v>1</v>
      </c>
      <c r="G118" s="265">
        <v>0</v>
      </c>
      <c r="H118" s="265">
        <v>0</v>
      </c>
      <c r="I118" s="265">
        <v>0</v>
      </c>
      <c r="J118" s="265">
        <v>0</v>
      </c>
      <c r="K118" s="265">
        <v>0</v>
      </c>
      <c r="L118" s="265">
        <v>5</v>
      </c>
      <c r="M118" s="265">
        <v>0</v>
      </c>
      <c r="N118" s="265">
        <v>2</v>
      </c>
      <c r="O118" s="265">
        <v>2</v>
      </c>
      <c r="P118" s="265">
        <v>3</v>
      </c>
      <c r="Q118" s="265">
        <v>3</v>
      </c>
      <c r="R118" s="265">
        <v>579</v>
      </c>
      <c r="S118" s="265">
        <v>562</v>
      </c>
      <c r="T118" s="265">
        <v>373</v>
      </c>
      <c r="U118" s="265">
        <v>434</v>
      </c>
      <c r="V118" s="265">
        <v>407</v>
      </c>
      <c r="W118" s="265">
        <v>407</v>
      </c>
      <c r="X118" s="265">
        <v>1</v>
      </c>
      <c r="Y118" s="265">
        <v>5</v>
      </c>
      <c r="Z118" s="265">
        <v>579</v>
      </c>
    </row>
    <row r="119" spans="1:26" x14ac:dyDescent="0.35">
      <c r="A119" s="267">
        <v>45630.493391805554</v>
      </c>
      <c r="B119" s="265" t="s">
        <v>168</v>
      </c>
      <c r="C119" s="265" t="s">
        <v>431</v>
      </c>
      <c r="D119" s="265" t="s">
        <v>49</v>
      </c>
      <c r="E119" s="265" t="s">
        <v>50</v>
      </c>
      <c r="F119" s="265">
        <v>2</v>
      </c>
      <c r="G119" s="265">
        <v>0</v>
      </c>
      <c r="H119" s="265">
        <v>2</v>
      </c>
      <c r="I119" s="265">
        <v>2</v>
      </c>
      <c r="J119" s="265">
        <v>2</v>
      </c>
      <c r="K119" s="265">
        <v>2</v>
      </c>
      <c r="L119" s="265">
        <v>5</v>
      </c>
      <c r="M119" s="265">
        <v>0</v>
      </c>
      <c r="N119" s="265">
        <v>5</v>
      </c>
      <c r="O119" s="265">
        <v>5</v>
      </c>
      <c r="P119" s="265">
        <v>4</v>
      </c>
      <c r="Q119" s="265">
        <v>4</v>
      </c>
      <c r="R119" s="265">
        <v>947</v>
      </c>
      <c r="S119" s="265">
        <v>925</v>
      </c>
      <c r="T119" s="265">
        <v>573</v>
      </c>
      <c r="U119" s="265">
        <v>719</v>
      </c>
      <c r="V119" s="265">
        <v>630</v>
      </c>
      <c r="W119" s="265">
        <v>630</v>
      </c>
      <c r="X119" s="265">
        <v>2</v>
      </c>
      <c r="Y119" s="265">
        <v>6</v>
      </c>
      <c r="Z119" s="265">
        <v>948</v>
      </c>
    </row>
    <row r="120" spans="1:26" x14ac:dyDescent="0.35">
      <c r="A120" s="267">
        <v>45630.493391805554</v>
      </c>
      <c r="B120" s="265" t="s">
        <v>168</v>
      </c>
      <c r="C120" s="265" t="s">
        <v>506</v>
      </c>
      <c r="D120" s="265" t="s">
        <v>49</v>
      </c>
      <c r="E120" s="265" t="s">
        <v>50</v>
      </c>
      <c r="F120" s="265">
        <v>0</v>
      </c>
      <c r="G120" s="265">
        <v>0</v>
      </c>
      <c r="H120" s="265">
        <v>0</v>
      </c>
      <c r="I120" s="265">
        <v>0</v>
      </c>
      <c r="J120" s="265">
        <v>0</v>
      </c>
      <c r="K120" s="265">
        <v>0</v>
      </c>
      <c r="L120" s="265">
        <v>0</v>
      </c>
      <c r="M120" s="265">
        <v>0</v>
      </c>
      <c r="N120" s="265">
        <v>0</v>
      </c>
      <c r="O120" s="265">
        <v>0</v>
      </c>
      <c r="P120" s="265">
        <v>0</v>
      </c>
      <c r="Q120" s="265">
        <v>0</v>
      </c>
      <c r="R120" s="265">
        <v>56</v>
      </c>
      <c r="S120" s="265">
        <v>54</v>
      </c>
      <c r="T120" s="265">
        <v>37</v>
      </c>
      <c r="U120" s="265">
        <v>42</v>
      </c>
      <c r="V120" s="265">
        <v>37</v>
      </c>
      <c r="W120" s="265">
        <v>37</v>
      </c>
      <c r="X120" s="265">
        <v>0</v>
      </c>
      <c r="Y120" s="265">
        <v>0</v>
      </c>
      <c r="Z120" s="265">
        <v>56</v>
      </c>
    </row>
    <row r="121" spans="1:26" x14ac:dyDescent="0.35">
      <c r="A121" s="267">
        <v>45630.493391805554</v>
      </c>
      <c r="B121" s="265" t="s">
        <v>168</v>
      </c>
      <c r="C121" s="265" t="s">
        <v>356</v>
      </c>
      <c r="D121" s="265" t="s">
        <v>49</v>
      </c>
      <c r="E121" s="265" t="s">
        <v>50</v>
      </c>
      <c r="F121" s="265">
        <v>4</v>
      </c>
      <c r="G121" s="265">
        <v>0</v>
      </c>
      <c r="H121" s="265">
        <v>4</v>
      </c>
      <c r="I121" s="265">
        <v>4</v>
      </c>
      <c r="J121" s="265">
        <v>4</v>
      </c>
      <c r="K121" s="265">
        <v>4</v>
      </c>
      <c r="L121" s="265">
        <v>14</v>
      </c>
      <c r="M121" s="265">
        <v>0</v>
      </c>
      <c r="N121" s="265">
        <v>14</v>
      </c>
      <c r="O121" s="265">
        <v>14</v>
      </c>
      <c r="P121" s="265">
        <v>14</v>
      </c>
      <c r="Q121" s="265">
        <v>14</v>
      </c>
      <c r="R121" s="265">
        <v>2042</v>
      </c>
      <c r="S121" s="265">
        <v>1975</v>
      </c>
      <c r="T121" s="265">
        <v>1054</v>
      </c>
      <c r="U121" s="265">
        <v>1371</v>
      </c>
      <c r="V121" s="265">
        <v>1349</v>
      </c>
      <c r="W121" s="265">
        <v>1349</v>
      </c>
      <c r="X121" s="265">
        <v>4</v>
      </c>
      <c r="Y121" s="265">
        <v>14</v>
      </c>
      <c r="Z121" s="265">
        <v>2041</v>
      </c>
    </row>
    <row r="122" spans="1:26" x14ac:dyDescent="0.35">
      <c r="A122" s="267">
        <v>45630.493391805554</v>
      </c>
      <c r="B122" s="265" t="s">
        <v>168</v>
      </c>
      <c r="C122" s="265" t="s">
        <v>333</v>
      </c>
      <c r="D122" s="265" t="s">
        <v>49</v>
      </c>
      <c r="E122" s="265" t="s">
        <v>50</v>
      </c>
      <c r="F122" s="265">
        <v>7</v>
      </c>
      <c r="G122" s="265">
        <v>0</v>
      </c>
      <c r="H122" s="265">
        <v>5</v>
      </c>
      <c r="I122" s="265">
        <v>6</v>
      </c>
      <c r="J122" s="265">
        <v>5</v>
      </c>
      <c r="K122" s="265">
        <v>5</v>
      </c>
      <c r="L122" s="265">
        <v>24</v>
      </c>
      <c r="M122" s="265">
        <v>0</v>
      </c>
      <c r="N122" s="265">
        <v>11</v>
      </c>
      <c r="O122" s="265">
        <v>15</v>
      </c>
      <c r="P122" s="265">
        <v>17</v>
      </c>
      <c r="Q122" s="265">
        <v>17</v>
      </c>
      <c r="R122" s="265">
        <v>2155</v>
      </c>
      <c r="S122" s="265">
        <v>2135</v>
      </c>
      <c r="T122" s="265">
        <v>1522</v>
      </c>
      <c r="U122" s="265">
        <v>1782</v>
      </c>
      <c r="V122" s="265">
        <v>1698</v>
      </c>
      <c r="W122" s="265">
        <v>1698</v>
      </c>
      <c r="X122" s="265">
        <v>7</v>
      </c>
      <c r="Y122" s="265">
        <v>24</v>
      </c>
      <c r="Z122" s="265">
        <v>2155</v>
      </c>
    </row>
    <row r="123" spans="1:26" x14ac:dyDescent="0.35">
      <c r="A123" s="267">
        <v>45630.493391805554</v>
      </c>
      <c r="B123" s="265" t="s">
        <v>168</v>
      </c>
      <c r="C123" s="265" t="s">
        <v>352</v>
      </c>
      <c r="D123" s="265" t="s">
        <v>49</v>
      </c>
      <c r="E123" s="265" t="s">
        <v>50</v>
      </c>
      <c r="F123" s="265">
        <v>4</v>
      </c>
      <c r="G123" s="265">
        <v>0</v>
      </c>
      <c r="H123" s="265">
        <v>3</v>
      </c>
      <c r="I123" s="265">
        <v>4</v>
      </c>
      <c r="J123" s="265">
        <v>4</v>
      </c>
      <c r="K123" s="265">
        <v>4</v>
      </c>
      <c r="L123" s="265">
        <v>15</v>
      </c>
      <c r="M123" s="265">
        <v>0</v>
      </c>
      <c r="N123" s="265">
        <v>11</v>
      </c>
      <c r="O123" s="265">
        <v>14</v>
      </c>
      <c r="P123" s="265">
        <v>11</v>
      </c>
      <c r="Q123" s="265">
        <v>11</v>
      </c>
      <c r="R123" s="265">
        <v>1281</v>
      </c>
      <c r="S123" s="265">
        <v>1266</v>
      </c>
      <c r="T123" s="265">
        <v>911</v>
      </c>
      <c r="U123" s="265">
        <v>1082</v>
      </c>
      <c r="V123" s="265">
        <v>945</v>
      </c>
      <c r="W123" s="265">
        <v>947</v>
      </c>
      <c r="X123" s="265">
        <v>4</v>
      </c>
      <c r="Y123" s="265">
        <v>16</v>
      </c>
      <c r="Z123" s="265">
        <v>1282</v>
      </c>
    </row>
    <row r="124" spans="1:26" x14ac:dyDescent="0.35">
      <c r="A124" s="267">
        <v>45630.493391805554</v>
      </c>
      <c r="B124" s="265" t="s">
        <v>168</v>
      </c>
      <c r="C124" s="265" t="s">
        <v>284</v>
      </c>
      <c r="D124" s="265" t="s">
        <v>49</v>
      </c>
      <c r="E124" s="265" t="s">
        <v>50</v>
      </c>
      <c r="F124" s="265">
        <v>9</v>
      </c>
      <c r="G124" s="265">
        <v>0</v>
      </c>
      <c r="H124" s="265">
        <v>3</v>
      </c>
      <c r="I124" s="265">
        <v>3</v>
      </c>
      <c r="J124" s="265">
        <v>8</v>
      </c>
      <c r="K124" s="265">
        <v>8</v>
      </c>
      <c r="L124" s="265">
        <v>28</v>
      </c>
      <c r="M124" s="265">
        <v>0</v>
      </c>
      <c r="N124" s="265">
        <v>15</v>
      </c>
      <c r="O124" s="265">
        <v>19</v>
      </c>
      <c r="P124" s="265">
        <v>21</v>
      </c>
      <c r="Q124" s="265">
        <v>21</v>
      </c>
      <c r="R124" s="265">
        <v>2447</v>
      </c>
      <c r="S124" s="265">
        <v>2438</v>
      </c>
      <c r="T124" s="265">
        <v>1668</v>
      </c>
      <c r="U124" s="265">
        <v>2033</v>
      </c>
      <c r="V124" s="265">
        <v>1917</v>
      </c>
      <c r="W124" s="265">
        <v>1917</v>
      </c>
      <c r="X124" s="265">
        <v>9</v>
      </c>
      <c r="Y124" s="265">
        <v>28</v>
      </c>
      <c r="Z124" s="265">
        <v>2450</v>
      </c>
    </row>
    <row r="125" spans="1:26" x14ac:dyDescent="0.35">
      <c r="A125" s="267">
        <v>45630.493391805554</v>
      </c>
      <c r="B125" s="265" t="s">
        <v>168</v>
      </c>
      <c r="C125" s="265" t="s">
        <v>403</v>
      </c>
      <c r="D125" s="265" t="s">
        <v>49</v>
      </c>
      <c r="E125" s="265" t="s">
        <v>50</v>
      </c>
      <c r="F125" s="265">
        <v>1</v>
      </c>
      <c r="G125" s="265">
        <v>0</v>
      </c>
      <c r="H125" s="265">
        <v>0</v>
      </c>
      <c r="I125" s="265">
        <v>0</v>
      </c>
      <c r="J125" s="265">
        <v>0</v>
      </c>
      <c r="K125" s="265">
        <v>0</v>
      </c>
      <c r="L125" s="265">
        <v>1</v>
      </c>
      <c r="M125" s="265">
        <v>0</v>
      </c>
      <c r="N125" s="265">
        <v>0</v>
      </c>
      <c r="O125" s="265">
        <v>0</v>
      </c>
      <c r="P125" s="265">
        <v>0</v>
      </c>
      <c r="Q125" s="265">
        <v>0</v>
      </c>
      <c r="R125" s="265">
        <v>677</v>
      </c>
      <c r="S125" s="265">
        <v>665</v>
      </c>
      <c r="T125" s="265">
        <v>367</v>
      </c>
      <c r="U125" s="265">
        <v>510</v>
      </c>
      <c r="V125" s="265">
        <v>487</v>
      </c>
      <c r="W125" s="265">
        <v>491</v>
      </c>
      <c r="X125" s="265">
        <v>1</v>
      </c>
      <c r="Y125" s="265">
        <v>1</v>
      </c>
      <c r="Z125" s="265">
        <v>677</v>
      </c>
    </row>
    <row r="126" spans="1:26" x14ac:dyDescent="0.35">
      <c r="A126" s="267">
        <v>45630.493391805554</v>
      </c>
      <c r="B126" s="265" t="s">
        <v>168</v>
      </c>
      <c r="C126" s="265" t="s">
        <v>259</v>
      </c>
      <c r="D126" s="265" t="s">
        <v>49</v>
      </c>
      <c r="E126" s="265" t="s">
        <v>50</v>
      </c>
      <c r="F126" s="265">
        <v>2</v>
      </c>
      <c r="G126" s="265">
        <v>0</v>
      </c>
      <c r="H126" s="265">
        <v>1</v>
      </c>
      <c r="I126" s="265">
        <v>1</v>
      </c>
      <c r="J126" s="265">
        <v>2</v>
      </c>
      <c r="K126" s="265">
        <v>2</v>
      </c>
      <c r="L126" s="265">
        <v>6</v>
      </c>
      <c r="M126" s="265">
        <v>0</v>
      </c>
      <c r="N126" s="265">
        <v>2</v>
      </c>
      <c r="O126" s="265">
        <v>2</v>
      </c>
      <c r="P126" s="265">
        <v>6</v>
      </c>
      <c r="Q126" s="265">
        <v>6</v>
      </c>
      <c r="R126" s="265">
        <v>674</v>
      </c>
      <c r="S126" s="265">
        <v>663</v>
      </c>
      <c r="T126" s="265">
        <v>402</v>
      </c>
      <c r="U126" s="265">
        <v>489</v>
      </c>
      <c r="V126" s="265">
        <v>473</v>
      </c>
      <c r="W126" s="265">
        <v>473</v>
      </c>
      <c r="X126" s="265">
        <v>2</v>
      </c>
      <c r="Y126" s="265">
        <v>6</v>
      </c>
      <c r="Z126" s="265">
        <v>674</v>
      </c>
    </row>
    <row r="127" spans="1:26" x14ac:dyDescent="0.35">
      <c r="A127" s="267">
        <v>45630.493391805554</v>
      </c>
      <c r="B127" s="265" t="s">
        <v>168</v>
      </c>
      <c r="C127" s="265" t="s">
        <v>330</v>
      </c>
      <c r="D127" s="265" t="s">
        <v>49</v>
      </c>
      <c r="E127" s="265" t="s">
        <v>50</v>
      </c>
      <c r="F127" s="265">
        <v>3</v>
      </c>
      <c r="G127" s="265">
        <v>2</v>
      </c>
      <c r="H127" s="265">
        <v>0</v>
      </c>
      <c r="I127" s="265">
        <v>0</v>
      </c>
      <c r="J127" s="265">
        <v>0</v>
      </c>
      <c r="K127" s="265">
        <v>0</v>
      </c>
      <c r="L127" s="265">
        <v>9</v>
      </c>
      <c r="M127" s="265">
        <v>5</v>
      </c>
      <c r="N127" s="265">
        <v>2</v>
      </c>
      <c r="O127" s="265">
        <v>2</v>
      </c>
      <c r="P127" s="265">
        <v>3</v>
      </c>
      <c r="Q127" s="265">
        <v>3</v>
      </c>
      <c r="R127" s="265">
        <v>905</v>
      </c>
      <c r="S127" s="265">
        <v>875</v>
      </c>
      <c r="T127" s="265">
        <v>589</v>
      </c>
      <c r="U127" s="265">
        <v>720</v>
      </c>
      <c r="V127" s="265">
        <v>641</v>
      </c>
      <c r="W127" s="265">
        <v>641</v>
      </c>
      <c r="X127" s="265">
        <v>3</v>
      </c>
      <c r="Y127" s="265">
        <v>9</v>
      </c>
      <c r="Z127" s="265">
        <v>905</v>
      </c>
    </row>
    <row r="128" spans="1:26" x14ac:dyDescent="0.35">
      <c r="A128" s="267">
        <v>45630.493391805554</v>
      </c>
      <c r="B128" s="265" t="s">
        <v>168</v>
      </c>
      <c r="C128" s="265" t="s">
        <v>380</v>
      </c>
      <c r="D128" s="265" t="s">
        <v>49</v>
      </c>
      <c r="E128" s="265" t="s">
        <v>50</v>
      </c>
      <c r="F128" s="265">
        <v>7</v>
      </c>
      <c r="G128" s="265">
        <v>0</v>
      </c>
      <c r="H128" s="265">
        <v>5</v>
      </c>
      <c r="I128" s="265">
        <v>6</v>
      </c>
      <c r="J128" s="265">
        <v>6</v>
      </c>
      <c r="K128" s="265">
        <v>6</v>
      </c>
      <c r="L128" s="265">
        <v>21</v>
      </c>
      <c r="M128" s="265">
        <v>0</v>
      </c>
      <c r="N128" s="265">
        <v>10</v>
      </c>
      <c r="O128" s="265">
        <v>16</v>
      </c>
      <c r="P128" s="265">
        <v>15</v>
      </c>
      <c r="Q128" s="265">
        <v>15</v>
      </c>
      <c r="R128" s="265">
        <v>2429</v>
      </c>
      <c r="S128" s="265">
        <v>2357</v>
      </c>
      <c r="T128" s="265">
        <v>1634</v>
      </c>
      <c r="U128" s="265">
        <v>1900</v>
      </c>
      <c r="V128" s="265">
        <v>1852</v>
      </c>
      <c r="W128" s="265">
        <v>1852</v>
      </c>
      <c r="X128" s="265">
        <v>7</v>
      </c>
      <c r="Y128" s="265">
        <v>21</v>
      </c>
      <c r="Z128" s="265">
        <v>2430</v>
      </c>
    </row>
    <row r="129" spans="1:26" x14ac:dyDescent="0.35">
      <c r="A129" s="267">
        <v>45630.493391805554</v>
      </c>
      <c r="B129" s="265" t="s">
        <v>168</v>
      </c>
      <c r="C129" s="265" t="s">
        <v>361</v>
      </c>
      <c r="D129" s="265" t="s">
        <v>49</v>
      </c>
      <c r="E129" s="265" t="s">
        <v>50</v>
      </c>
      <c r="F129" s="265">
        <v>2</v>
      </c>
      <c r="G129" s="265">
        <v>0</v>
      </c>
      <c r="H129" s="265">
        <v>1</v>
      </c>
      <c r="I129" s="265">
        <v>1</v>
      </c>
      <c r="J129" s="265">
        <v>0</v>
      </c>
      <c r="K129" s="265">
        <v>0</v>
      </c>
      <c r="L129" s="265">
        <v>6</v>
      </c>
      <c r="M129" s="265">
        <v>0</v>
      </c>
      <c r="N129" s="265">
        <v>2</v>
      </c>
      <c r="O129" s="265">
        <v>3</v>
      </c>
      <c r="P129" s="265">
        <v>1</v>
      </c>
      <c r="Q129" s="265">
        <v>1</v>
      </c>
      <c r="R129" s="265">
        <v>674</v>
      </c>
      <c r="S129" s="265">
        <v>648</v>
      </c>
      <c r="T129" s="265">
        <v>395</v>
      </c>
      <c r="U129" s="265">
        <v>464</v>
      </c>
      <c r="V129" s="265">
        <v>456</v>
      </c>
      <c r="W129" s="265">
        <v>456</v>
      </c>
      <c r="X129" s="265">
        <v>2</v>
      </c>
      <c r="Y129" s="265">
        <v>6</v>
      </c>
      <c r="Z129" s="265">
        <v>674</v>
      </c>
    </row>
    <row r="130" spans="1:26" x14ac:dyDescent="0.35">
      <c r="A130" s="267">
        <v>45630.493391805554</v>
      </c>
      <c r="B130" s="265" t="s">
        <v>168</v>
      </c>
      <c r="C130" s="265" t="s">
        <v>422</v>
      </c>
      <c r="D130" s="265" t="s">
        <v>49</v>
      </c>
      <c r="E130" s="265" t="s">
        <v>50</v>
      </c>
      <c r="F130" s="265">
        <v>5</v>
      </c>
      <c r="G130" s="265">
        <v>0</v>
      </c>
      <c r="H130" s="265">
        <v>6</v>
      </c>
      <c r="I130" s="265">
        <v>6</v>
      </c>
      <c r="J130" s="265">
        <v>4</v>
      </c>
      <c r="K130" s="265">
        <v>4</v>
      </c>
      <c r="L130" s="265">
        <v>19</v>
      </c>
      <c r="M130" s="265">
        <v>0</v>
      </c>
      <c r="N130" s="265">
        <v>12</v>
      </c>
      <c r="O130" s="265">
        <v>15</v>
      </c>
      <c r="P130" s="265">
        <v>14</v>
      </c>
      <c r="Q130" s="265">
        <v>14</v>
      </c>
      <c r="R130" s="265">
        <v>1590</v>
      </c>
      <c r="S130" s="265">
        <v>1571</v>
      </c>
      <c r="T130" s="265">
        <v>982</v>
      </c>
      <c r="U130" s="265">
        <v>1252</v>
      </c>
      <c r="V130" s="265">
        <v>1151</v>
      </c>
      <c r="W130" s="265">
        <v>1151</v>
      </c>
      <c r="X130" s="265">
        <v>6</v>
      </c>
      <c r="Y130" s="265">
        <v>19</v>
      </c>
      <c r="Z130" s="265">
        <v>1589</v>
      </c>
    </row>
    <row r="131" spans="1:26" x14ac:dyDescent="0.35">
      <c r="A131" s="267">
        <v>45630.493391805554</v>
      </c>
      <c r="B131" s="265" t="s">
        <v>168</v>
      </c>
      <c r="C131" s="265" t="s">
        <v>258</v>
      </c>
      <c r="D131" s="265" t="s">
        <v>49</v>
      </c>
      <c r="E131" s="265" t="s">
        <v>50</v>
      </c>
      <c r="F131" s="265">
        <v>1</v>
      </c>
      <c r="G131" s="265">
        <v>0</v>
      </c>
      <c r="H131" s="265">
        <v>1</v>
      </c>
      <c r="I131" s="265">
        <v>1</v>
      </c>
      <c r="J131" s="265">
        <v>1</v>
      </c>
      <c r="K131" s="265">
        <v>1</v>
      </c>
      <c r="L131" s="265">
        <v>5</v>
      </c>
      <c r="M131" s="265">
        <v>0</v>
      </c>
      <c r="N131" s="265">
        <v>3</v>
      </c>
      <c r="O131" s="265">
        <v>3</v>
      </c>
      <c r="P131" s="265">
        <v>3</v>
      </c>
      <c r="Q131" s="265">
        <v>3</v>
      </c>
      <c r="R131" s="265">
        <v>579</v>
      </c>
      <c r="S131" s="265">
        <v>566</v>
      </c>
      <c r="T131" s="265">
        <v>345</v>
      </c>
      <c r="U131" s="265">
        <v>409</v>
      </c>
      <c r="V131" s="265">
        <v>403</v>
      </c>
      <c r="W131" s="265">
        <v>403</v>
      </c>
      <c r="X131" s="265">
        <v>1</v>
      </c>
      <c r="Y131" s="265">
        <v>5</v>
      </c>
      <c r="Z131" s="265">
        <v>579</v>
      </c>
    </row>
    <row r="132" spans="1:26" x14ac:dyDescent="0.35">
      <c r="A132" s="267">
        <v>45630.493391805554</v>
      </c>
      <c r="B132" s="265" t="s">
        <v>168</v>
      </c>
      <c r="C132" s="265" t="s">
        <v>394</v>
      </c>
      <c r="D132" s="265" t="s">
        <v>49</v>
      </c>
      <c r="E132" s="265" t="s">
        <v>50</v>
      </c>
      <c r="F132" s="265">
        <v>10</v>
      </c>
      <c r="G132" s="265">
        <v>0</v>
      </c>
      <c r="H132" s="265">
        <v>9</v>
      </c>
      <c r="I132" s="265">
        <v>9</v>
      </c>
      <c r="J132" s="265">
        <v>10</v>
      </c>
      <c r="K132" s="265">
        <v>10</v>
      </c>
      <c r="L132" s="265">
        <v>29</v>
      </c>
      <c r="M132" s="265">
        <v>0</v>
      </c>
      <c r="N132" s="265">
        <v>21</v>
      </c>
      <c r="O132" s="265">
        <v>25</v>
      </c>
      <c r="P132" s="265">
        <v>26</v>
      </c>
      <c r="Q132" s="265">
        <v>26</v>
      </c>
      <c r="R132" s="265">
        <v>3071</v>
      </c>
      <c r="S132" s="265">
        <v>3007</v>
      </c>
      <c r="T132" s="265">
        <v>2073</v>
      </c>
      <c r="U132" s="265">
        <v>2439</v>
      </c>
      <c r="V132" s="265">
        <v>2366</v>
      </c>
      <c r="W132" s="265">
        <v>2366</v>
      </c>
      <c r="X132" s="265">
        <v>9</v>
      </c>
      <c r="Y132" s="265">
        <v>29</v>
      </c>
      <c r="Z132" s="265">
        <v>3071</v>
      </c>
    </row>
    <row r="133" spans="1:26" x14ac:dyDescent="0.35">
      <c r="A133" s="267">
        <v>45630.493391805554</v>
      </c>
      <c r="B133" s="265" t="s">
        <v>168</v>
      </c>
      <c r="C133" s="265" t="s">
        <v>412</v>
      </c>
      <c r="D133" s="265" t="s">
        <v>49</v>
      </c>
      <c r="E133" s="265" t="s">
        <v>50</v>
      </c>
      <c r="F133" s="265">
        <v>2</v>
      </c>
      <c r="G133" s="265">
        <v>0</v>
      </c>
      <c r="H133" s="265">
        <v>1</v>
      </c>
      <c r="I133" s="265">
        <v>1</v>
      </c>
      <c r="J133" s="265">
        <v>1</v>
      </c>
      <c r="K133" s="265">
        <v>1</v>
      </c>
      <c r="L133" s="265">
        <v>6</v>
      </c>
      <c r="M133" s="265">
        <v>0</v>
      </c>
      <c r="N133" s="265">
        <v>5</v>
      </c>
      <c r="O133" s="265">
        <v>5</v>
      </c>
      <c r="P133" s="265">
        <v>5</v>
      </c>
      <c r="Q133" s="265">
        <v>5</v>
      </c>
      <c r="R133" s="265">
        <v>656</v>
      </c>
      <c r="S133" s="265">
        <v>640</v>
      </c>
      <c r="T133" s="265">
        <v>451</v>
      </c>
      <c r="U133" s="265">
        <v>520</v>
      </c>
      <c r="V133" s="265">
        <v>495</v>
      </c>
      <c r="W133" s="265">
        <v>496</v>
      </c>
      <c r="X133" s="265">
        <v>2</v>
      </c>
      <c r="Y133" s="265">
        <v>6</v>
      </c>
      <c r="Z133" s="265">
        <v>657</v>
      </c>
    </row>
    <row r="134" spans="1:26" x14ac:dyDescent="0.35">
      <c r="A134" s="267">
        <v>45630.493391805554</v>
      </c>
      <c r="B134" s="265" t="s">
        <v>167</v>
      </c>
      <c r="C134" s="265" t="s">
        <v>494</v>
      </c>
      <c r="D134" s="265" t="s">
        <v>49</v>
      </c>
      <c r="E134" s="265" t="s">
        <v>50</v>
      </c>
      <c r="F134" s="265">
        <v>1</v>
      </c>
      <c r="G134" s="265">
        <v>0</v>
      </c>
      <c r="H134" s="265">
        <v>1</v>
      </c>
      <c r="I134" s="265">
        <v>1</v>
      </c>
      <c r="J134" s="265">
        <v>1</v>
      </c>
      <c r="K134" s="265">
        <v>1</v>
      </c>
      <c r="L134" s="265">
        <v>4</v>
      </c>
      <c r="M134" s="265">
        <v>0</v>
      </c>
      <c r="N134" s="265">
        <v>3</v>
      </c>
      <c r="O134" s="265">
        <v>3</v>
      </c>
      <c r="P134" s="265">
        <v>4</v>
      </c>
      <c r="Q134" s="265">
        <v>4</v>
      </c>
      <c r="R134" s="265">
        <v>387</v>
      </c>
      <c r="S134" s="265">
        <v>375</v>
      </c>
      <c r="T134" s="265">
        <v>152</v>
      </c>
      <c r="U134" s="265">
        <v>256</v>
      </c>
      <c r="V134" s="265">
        <v>298</v>
      </c>
      <c r="W134" s="265">
        <v>298</v>
      </c>
      <c r="X134" s="265">
        <v>1</v>
      </c>
      <c r="Y134" s="265">
        <v>4</v>
      </c>
      <c r="Z134" s="265">
        <v>387</v>
      </c>
    </row>
    <row r="135" spans="1:26" x14ac:dyDescent="0.35">
      <c r="A135" s="267">
        <v>45630.493391805554</v>
      </c>
      <c r="B135" s="265" t="s">
        <v>168</v>
      </c>
      <c r="C135" s="265" t="s">
        <v>318</v>
      </c>
      <c r="D135" s="265" t="s">
        <v>49</v>
      </c>
      <c r="E135" s="265" t="s">
        <v>50</v>
      </c>
      <c r="F135" s="265">
        <v>5</v>
      </c>
      <c r="G135" s="265">
        <v>0</v>
      </c>
      <c r="H135" s="265">
        <v>5</v>
      </c>
      <c r="I135" s="265">
        <v>5</v>
      </c>
      <c r="J135" s="265">
        <v>5</v>
      </c>
      <c r="K135" s="265">
        <v>5</v>
      </c>
      <c r="L135" s="265">
        <v>18</v>
      </c>
      <c r="M135" s="265">
        <v>0</v>
      </c>
      <c r="N135" s="265">
        <v>15</v>
      </c>
      <c r="O135" s="265">
        <v>16</v>
      </c>
      <c r="P135" s="265">
        <v>15</v>
      </c>
      <c r="Q135" s="265">
        <v>15</v>
      </c>
      <c r="R135" s="265">
        <v>1557</v>
      </c>
      <c r="S135" s="265">
        <v>1525</v>
      </c>
      <c r="T135" s="265">
        <v>1075</v>
      </c>
      <c r="U135" s="265">
        <v>1249</v>
      </c>
      <c r="V135" s="265">
        <v>1222</v>
      </c>
      <c r="W135" s="265">
        <v>1223</v>
      </c>
      <c r="X135" s="265">
        <v>5</v>
      </c>
      <c r="Y135" s="265">
        <v>17</v>
      </c>
      <c r="Z135" s="265">
        <v>1557</v>
      </c>
    </row>
    <row r="136" spans="1:26" x14ac:dyDescent="0.35">
      <c r="A136" s="267">
        <v>45630.493391805554</v>
      </c>
      <c r="B136" s="265" t="s">
        <v>167</v>
      </c>
      <c r="C136" s="265" t="s">
        <v>501</v>
      </c>
      <c r="D136" s="265" t="s">
        <v>49</v>
      </c>
      <c r="E136" s="265" t="s">
        <v>50</v>
      </c>
      <c r="F136" s="265">
        <v>0</v>
      </c>
      <c r="G136" s="265">
        <v>0</v>
      </c>
      <c r="H136" s="265">
        <v>0</v>
      </c>
      <c r="I136" s="265">
        <v>0</v>
      </c>
      <c r="J136" s="265">
        <v>0</v>
      </c>
      <c r="K136" s="265">
        <v>0</v>
      </c>
      <c r="L136" s="265">
        <v>0</v>
      </c>
      <c r="M136" s="265">
        <v>0</v>
      </c>
      <c r="N136" s="265">
        <v>0</v>
      </c>
      <c r="O136" s="265">
        <v>0</v>
      </c>
      <c r="P136" s="265">
        <v>0</v>
      </c>
      <c r="Q136" s="265">
        <v>0</v>
      </c>
      <c r="R136" s="265">
        <v>27</v>
      </c>
      <c r="S136" s="265">
        <v>27</v>
      </c>
      <c r="T136" s="265">
        <v>14</v>
      </c>
      <c r="U136" s="265">
        <v>24</v>
      </c>
      <c r="V136" s="265">
        <v>22</v>
      </c>
      <c r="W136" s="265">
        <v>22</v>
      </c>
      <c r="X136" s="265">
        <v>0</v>
      </c>
      <c r="Y136" s="265">
        <v>0</v>
      </c>
      <c r="Z136" s="265">
        <v>27</v>
      </c>
    </row>
    <row r="137" spans="1:26" x14ac:dyDescent="0.35">
      <c r="A137" s="267">
        <v>45630.493391805554</v>
      </c>
      <c r="B137" s="265" t="s">
        <v>168</v>
      </c>
      <c r="C137" s="265" t="s">
        <v>427</v>
      </c>
      <c r="D137" s="265" t="s">
        <v>49</v>
      </c>
      <c r="E137" s="265" t="s">
        <v>50</v>
      </c>
      <c r="F137" s="265">
        <v>2</v>
      </c>
      <c r="G137" s="265">
        <v>0</v>
      </c>
      <c r="H137" s="265">
        <v>2</v>
      </c>
      <c r="I137" s="265">
        <v>2</v>
      </c>
      <c r="J137" s="265">
        <v>2</v>
      </c>
      <c r="K137" s="265">
        <v>2</v>
      </c>
      <c r="L137" s="265">
        <v>6</v>
      </c>
      <c r="M137" s="265">
        <v>0</v>
      </c>
      <c r="N137" s="265">
        <v>5</v>
      </c>
      <c r="O137" s="265">
        <v>5</v>
      </c>
      <c r="P137" s="265">
        <v>3</v>
      </c>
      <c r="Q137" s="265">
        <v>3</v>
      </c>
      <c r="R137" s="265">
        <v>704</v>
      </c>
      <c r="S137" s="265">
        <v>690</v>
      </c>
      <c r="T137" s="265">
        <v>468</v>
      </c>
      <c r="U137" s="265">
        <v>553</v>
      </c>
      <c r="V137" s="265">
        <v>526</v>
      </c>
      <c r="W137" s="265">
        <v>526</v>
      </c>
      <c r="X137" s="265">
        <v>2</v>
      </c>
      <c r="Y137" s="265">
        <v>6</v>
      </c>
      <c r="Z137" s="265">
        <v>704</v>
      </c>
    </row>
    <row r="138" spans="1:26" x14ac:dyDescent="0.35">
      <c r="A138" s="267">
        <v>45630.493391805554</v>
      </c>
      <c r="B138" s="265" t="s">
        <v>168</v>
      </c>
      <c r="C138" s="265" t="s">
        <v>386</v>
      </c>
      <c r="D138" s="265" t="s">
        <v>49</v>
      </c>
      <c r="E138" s="265" t="s">
        <v>50</v>
      </c>
      <c r="F138" s="265">
        <v>2</v>
      </c>
      <c r="G138" s="265">
        <v>0</v>
      </c>
      <c r="H138" s="265">
        <v>1</v>
      </c>
      <c r="I138" s="265">
        <v>1</v>
      </c>
      <c r="J138" s="265">
        <v>1</v>
      </c>
      <c r="K138" s="265">
        <v>1</v>
      </c>
      <c r="L138" s="265">
        <v>9</v>
      </c>
      <c r="M138" s="265">
        <v>0</v>
      </c>
      <c r="N138" s="265">
        <v>6</v>
      </c>
      <c r="O138" s="265">
        <v>7</v>
      </c>
      <c r="P138" s="265">
        <v>7</v>
      </c>
      <c r="Q138" s="265">
        <v>7</v>
      </c>
      <c r="R138" s="265">
        <v>829</v>
      </c>
      <c r="S138" s="265">
        <v>819</v>
      </c>
      <c r="T138" s="265">
        <v>589</v>
      </c>
      <c r="U138" s="265">
        <v>691</v>
      </c>
      <c r="V138" s="265">
        <v>592</v>
      </c>
      <c r="W138" s="265">
        <v>592</v>
      </c>
      <c r="X138" s="265">
        <v>2</v>
      </c>
      <c r="Y138" s="265">
        <v>9</v>
      </c>
      <c r="Z138" s="265">
        <v>829</v>
      </c>
    </row>
    <row r="139" spans="1:26" x14ac:dyDescent="0.35">
      <c r="A139" s="267">
        <v>45630.493391805554</v>
      </c>
      <c r="B139" s="265" t="s">
        <v>168</v>
      </c>
      <c r="C139" s="265" t="s">
        <v>255</v>
      </c>
      <c r="D139" s="265" t="s">
        <v>49</v>
      </c>
      <c r="E139" s="265" t="s">
        <v>50</v>
      </c>
      <c r="F139" s="265">
        <v>2</v>
      </c>
      <c r="G139" s="265">
        <v>0</v>
      </c>
      <c r="H139" s="265">
        <v>2</v>
      </c>
      <c r="I139" s="265">
        <v>2</v>
      </c>
      <c r="J139" s="265">
        <v>1</v>
      </c>
      <c r="K139" s="265">
        <v>1</v>
      </c>
      <c r="L139" s="265">
        <v>6</v>
      </c>
      <c r="M139" s="265">
        <v>0</v>
      </c>
      <c r="N139" s="265">
        <v>6</v>
      </c>
      <c r="O139" s="265">
        <v>6</v>
      </c>
      <c r="P139" s="265">
        <v>4</v>
      </c>
      <c r="Q139" s="265">
        <v>4</v>
      </c>
      <c r="R139" s="265">
        <v>676</v>
      </c>
      <c r="S139" s="265">
        <v>667</v>
      </c>
      <c r="T139" s="265">
        <v>481</v>
      </c>
      <c r="U139" s="265">
        <v>560</v>
      </c>
      <c r="V139" s="265">
        <v>546</v>
      </c>
      <c r="W139" s="265">
        <v>546</v>
      </c>
      <c r="X139" s="265">
        <v>2</v>
      </c>
      <c r="Y139" s="265">
        <v>6</v>
      </c>
      <c r="Z139" s="265">
        <v>676</v>
      </c>
    </row>
    <row r="140" spans="1:26" x14ac:dyDescent="0.35">
      <c r="A140" s="267">
        <v>45630.493391805554</v>
      </c>
      <c r="B140" s="265" t="s">
        <v>168</v>
      </c>
      <c r="C140" s="265" t="s">
        <v>434</v>
      </c>
      <c r="D140" s="265" t="s">
        <v>49</v>
      </c>
      <c r="E140" s="265" t="s">
        <v>50</v>
      </c>
      <c r="F140" s="265">
        <v>2</v>
      </c>
      <c r="G140" s="265">
        <v>0</v>
      </c>
      <c r="H140" s="265">
        <v>1</v>
      </c>
      <c r="I140" s="265">
        <v>2</v>
      </c>
      <c r="J140" s="265">
        <v>2</v>
      </c>
      <c r="K140" s="265">
        <v>2</v>
      </c>
      <c r="L140" s="265">
        <v>9</v>
      </c>
      <c r="M140" s="265">
        <v>0</v>
      </c>
      <c r="N140" s="265">
        <v>6</v>
      </c>
      <c r="O140" s="265">
        <v>7</v>
      </c>
      <c r="P140" s="265">
        <v>9</v>
      </c>
      <c r="Q140" s="265">
        <v>9</v>
      </c>
      <c r="R140" s="265">
        <v>1185</v>
      </c>
      <c r="S140" s="265">
        <v>1165</v>
      </c>
      <c r="T140" s="265">
        <v>737</v>
      </c>
      <c r="U140" s="265">
        <v>915</v>
      </c>
      <c r="V140" s="265">
        <v>738</v>
      </c>
      <c r="W140" s="265">
        <v>738</v>
      </c>
      <c r="X140" s="265">
        <v>2</v>
      </c>
      <c r="Y140" s="265">
        <v>8</v>
      </c>
      <c r="Z140" s="265">
        <v>1186</v>
      </c>
    </row>
    <row r="141" spans="1:26" x14ac:dyDescent="0.35">
      <c r="A141" s="267">
        <v>45630.493391805554</v>
      </c>
      <c r="B141" s="265" t="s">
        <v>168</v>
      </c>
      <c r="C141" s="265" t="s">
        <v>263</v>
      </c>
      <c r="D141" s="265" t="s">
        <v>49</v>
      </c>
      <c r="E141" s="265" t="s">
        <v>50</v>
      </c>
      <c r="F141" s="265">
        <v>3</v>
      </c>
      <c r="G141" s="265">
        <v>0</v>
      </c>
      <c r="H141" s="265">
        <v>1</v>
      </c>
      <c r="I141" s="265">
        <v>2</v>
      </c>
      <c r="J141" s="265">
        <v>2</v>
      </c>
      <c r="K141" s="265">
        <v>2</v>
      </c>
      <c r="L141" s="265">
        <v>9</v>
      </c>
      <c r="M141" s="265">
        <v>0</v>
      </c>
      <c r="N141" s="265">
        <v>4</v>
      </c>
      <c r="O141" s="265">
        <v>7</v>
      </c>
      <c r="P141" s="265">
        <v>4</v>
      </c>
      <c r="Q141" s="265">
        <v>4</v>
      </c>
      <c r="R141" s="265">
        <v>976</v>
      </c>
      <c r="S141" s="265">
        <v>953</v>
      </c>
      <c r="T141" s="265">
        <v>585</v>
      </c>
      <c r="U141" s="265">
        <v>712</v>
      </c>
      <c r="V141" s="265">
        <v>646</v>
      </c>
      <c r="W141" s="265">
        <v>646</v>
      </c>
      <c r="X141" s="265">
        <v>3</v>
      </c>
      <c r="Y141" s="265">
        <v>9</v>
      </c>
      <c r="Z141" s="265">
        <v>976</v>
      </c>
    </row>
    <row r="142" spans="1:26" x14ac:dyDescent="0.35">
      <c r="A142" s="267">
        <v>45630.493391805554</v>
      </c>
      <c r="B142" s="265" t="s">
        <v>168</v>
      </c>
      <c r="C142" s="265" t="s">
        <v>411</v>
      </c>
      <c r="D142" s="265" t="s">
        <v>49</v>
      </c>
      <c r="E142" s="265" t="s">
        <v>50</v>
      </c>
      <c r="F142" s="265">
        <v>5</v>
      </c>
      <c r="G142" s="265">
        <v>0</v>
      </c>
      <c r="H142" s="265">
        <v>5</v>
      </c>
      <c r="I142" s="265">
        <v>5</v>
      </c>
      <c r="J142" s="265">
        <v>5</v>
      </c>
      <c r="K142" s="265">
        <v>5</v>
      </c>
      <c r="L142" s="265">
        <v>17</v>
      </c>
      <c r="M142" s="265">
        <v>0</v>
      </c>
      <c r="N142" s="265">
        <v>14</v>
      </c>
      <c r="O142" s="265">
        <v>16</v>
      </c>
      <c r="P142" s="265">
        <v>15</v>
      </c>
      <c r="Q142" s="265">
        <v>15</v>
      </c>
      <c r="R142" s="265">
        <v>1599</v>
      </c>
      <c r="S142" s="265">
        <v>1566</v>
      </c>
      <c r="T142" s="265">
        <v>908</v>
      </c>
      <c r="U142" s="265">
        <v>1192</v>
      </c>
      <c r="V142" s="265">
        <v>1070</v>
      </c>
      <c r="W142" s="265">
        <v>1072</v>
      </c>
      <c r="X142" s="265">
        <v>5</v>
      </c>
      <c r="Y142" s="265">
        <v>17</v>
      </c>
      <c r="Z142" s="265">
        <v>1599</v>
      </c>
    </row>
    <row r="143" spans="1:26" x14ac:dyDescent="0.35">
      <c r="A143" s="267">
        <v>45630.493391805554</v>
      </c>
      <c r="B143" s="265" t="s">
        <v>168</v>
      </c>
      <c r="C143" s="265" t="s">
        <v>378</v>
      </c>
      <c r="D143" s="265" t="s">
        <v>49</v>
      </c>
      <c r="E143" s="265" t="s">
        <v>50</v>
      </c>
      <c r="F143" s="265">
        <v>6</v>
      </c>
      <c r="G143" s="265">
        <v>0</v>
      </c>
      <c r="H143" s="265">
        <v>4</v>
      </c>
      <c r="I143" s="265">
        <v>6</v>
      </c>
      <c r="J143" s="265">
        <v>4</v>
      </c>
      <c r="K143" s="265">
        <v>4</v>
      </c>
      <c r="L143" s="265">
        <v>20</v>
      </c>
      <c r="M143" s="265">
        <v>0</v>
      </c>
      <c r="N143" s="265">
        <v>10</v>
      </c>
      <c r="O143" s="265">
        <v>15</v>
      </c>
      <c r="P143" s="265">
        <v>11</v>
      </c>
      <c r="Q143" s="265">
        <v>11</v>
      </c>
      <c r="R143" s="265">
        <v>2413</v>
      </c>
      <c r="S143" s="265">
        <v>2367</v>
      </c>
      <c r="T143" s="265">
        <v>1670</v>
      </c>
      <c r="U143" s="265">
        <v>1994</v>
      </c>
      <c r="V143" s="265">
        <v>1897</v>
      </c>
      <c r="W143" s="265">
        <v>1897</v>
      </c>
      <c r="X143" s="265">
        <v>7</v>
      </c>
      <c r="Y143" s="265">
        <v>22</v>
      </c>
      <c r="Z143" s="265">
        <v>2415</v>
      </c>
    </row>
    <row r="144" spans="1:26" x14ac:dyDescent="0.35">
      <c r="A144" s="267">
        <v>45630.493391805554</v>
      </c>
      <c r="B144" s="265" t="s">
        <v>168</v>
      </c>
      <c r="C144" s="265" t="s">
        <v>508</v>
      </c>
      <c r="D144" s="265" t="s">
        <v>49</v>
      </c>
      <c r="E144" s="265" t="s">
        <v>50</v>
      </c>
      <c r="F144" s="265">
        <v>0</v>
      </c>
      <c r="G144" s="265">
        <v>0</v>
      </c>
      <c r="H144" s="265">
        <v>0</v>
      </c>
      <c r="I144" s="265">
        <v>0</v>
      </c>
      <c r="J144" s="265">
        <v>0</v>
      </c>
      <c r="K144" s="265">
        <v>0</v>
      </c>
      <c r="L144" s="265">
        <v>0</v>
      </c>
      <c r="M144" s="265">
        <v>0</v>
      </c>
      <c r="N144" s="265">
        <v>0</v>
      </c>
      <c r="O144" s="265">
        <v>0</v>
      </c>
      <c r="P144" s="265">
        <v>0</v>
      </c>
      <c r="Q144" s="265">
        <v>0</v>
      </c>
      <c r="R144" s="265">
        <v>230</v>
      </c>
      <c r="S144" s="265">
        <v>223</v>
      </c>
      <c r="T144" s="265">
        <v>171</v>
      </c>
      <c r="U144" s="265">
        <v>196</v>
      </c>
      <c r="V144" s="265">
        <v>168</v>
      </c>
      <c r="W144" s="265">
        <v>168</v>
      </c>
      <c r="X144" s="265">
        <v>0</v>
      </c>
      <c r="Y144" s="265">
        <v>0</v>
      </c>
      <c r="Z144" s="265">
        <v>230</v>
      </c>
    </row>
    <row r="145" spans="1:26" x14ac:dyDescent="0.35">
      <c r="A145" s="267">
        <v>45630.493391805554</v>
      </c>
      <c r="B145" s="265" t="s">
        <v>168</v>
      </c>
      <c r="C145" s="265" t="s">
        <v>364</v>
      </c>
      <c r="D145" s="265" t="s">
        <v>49</v>
      </c>
      <c r="E145" s="265" t="s">
        <v>50</v>
      </c>
      <c r="F145" s="265">
        <v>1</v>
      </c>
      <c r="G145" s="265">
        <v>0</v>
      </c>
      <c r="H145" s="265">
        <v>1</v>
      </c>
      <c r="I145" s="265">
        <v>1</v>
      </c>
      <c r="J145" s="265">
        <v>1</v>
      </c>
      <c r="K145" s="265">
        <v>1</v>
      </c>
      <c r="L145" s="265">
        <v>5</v>
      </c>
      <c r="M145" s="265">
        <v>0</v>
      </c>
      <c r="N145" s="265">
        <v>5</v>
      </c>
      <c r="O145" s="265">
        <v>5</v>
      </c>
      <c r="P145" s="265">
        <v>5</v>
      </c>
      <c r="Q145" s="265">
        <v>5</v>
      </c>
      <c r="R145" s="265">
        <v>622</v>
      </c>
      <c r="S145" s="265">
        <v>610</v>
      </c>
      <c r="T145" s="265">
        <v>417</v>
      </c>
      <c r="U145" s="265">
        <v>479</v>
      </c>
      <c r="V145" s="265">
        <v>498</v>
      </c>
      <c r="W145" s="265">
        <v>498</v>
      </c>
      <c r="X145" s="265">
        <v>1</v>
      </c>
      <c r="Y145" s="265">
        <v>5</v>
      </c>
      <c r="Z145" s="265">
        <v>623</v>
      </c>
    </row>
    <row r="146" spans="1:26" x14ac:dyDescent="0.35">
      <c r="A146" s="267">
        <v>45630.493391805554</v>
      </c>
      <c r="B146" s="265" t="s">
        <v>168</v>
      </c>
      <c r="C146" s="265" t="s">
        <v>328</v>
      </c>
      <c r="D146" s="265" t="s">
        <v>49</v>
      </c>
      <c r="E146" s="265" t="s">
        <v>50</v>
      </c>
      <c r="F146" s="265">
        <v>11</v>
      </c>
      <c r="G146" s="265">
        <v>0</v>
      </c>
      <c r="H146" s="265">
        <v>8</v>
      </c>
      <c r="I146" s="265">
        <v>9</v>
      </c>
      <c r="J146" s="265">
        <v>9</v>
      </c>
      <c r="K146" s="265">
        <v>9</v>
      </c>
      <c r="L146" s="265">
        <v>39</v>
      </c>
      <c r="M146" s="265">
        <v>0</v>
      </c>
      <c r="N146" s="265">
        <v>18</v>
      </c>
      <c r="O146" s="265">
        <v>29</v>
      </c>
      <c r="P146" s="265">
        <v>24</v>
      </c>
      <c r="Q146" s="265">
        <v>24</v>
      </c>
      <c r="R146" s="265">
        <v>4220</v>
      </c>
      <c r="S146" s="265">
        <v>4124</v>
      </c>
      <c r="T146" s="265">
        <v>2495</v>
      </c>
      <c r="U146" s="265">
        <v>3155</v>
      </c>
      <c r="V146" s="265">
        <v>2870</v>
      </c>
      <c r="W146" s="265">
        <v>2871</v>
      </c>
      <c r="X146" s="265">
        <v>12</v>
      </c>
      <c r="Y146" s="265">
        <v>40</v>
      </c>
      <c r="Z146" s="265">
        <v>4221</v>
      </c>
    </row>
    <row r="147" spans="1:26" x14ac:dyDescent="0.35">
      <c r="A147" s="267">
        <v>45630.493391805554</v>
      </c>
      <c r="B147" s="265" t="s">
        <v>168</v>
      </c>
      <c r="C147" s="265" t="s">
        <v>339</v>
      </c>
      <c r="D147" s="265" t="s">
        <v>49</v>
      </c>
      <c r="E147" s="265" t="s">
        <v>50</v>
      </c>
      <c r="F147" s="265">
        <v>4</v>
      </c>
      <c r="G147" s="265">
        <v>0</v>
      </c>
      <c r="H147" s="265">
        <v>3</v>
      </c>
      <c r="I147" s="265">
        <v>3</v>
      </c>
      <c r="J147" s="265">
        <v>2</v>
      </c>
      <c r="K147" s="265">
        <v>2</v>
      </c>
      <c r="L147" s="265">
        <v>12</v>
      </c>
      <c r="M147" s="265">
        <v>0</v>
      </c>
      <c r="N147" s="265">
        <v>8</v>
      </c>
      <c r="O147" s="265">
        <v>9</v>
      </c>
      <c r="P147" s="265">
        <v>8</v>
      </c>
      <c r="Q147" s="265">
        <v>8</v>
      </c>
      <c r="R147" s="265">
        <v>1232</v>
      </c>
      <c r="S147" s="265">
        <v>1210</v>
      </c>
      <c r="T147" s="265">
        <v>817</v>
      </c>
      <c r="U147" s="265">
        <v>932</v>
      </c>
      <c r="V147" s="265">
        <v>926</v>
      </c>
      <c r="W147" s="265">
        <v>926</v>
      </c>
      <c r="X147" s="265">
        <v>4</v>
      </c>
      <c r="Y147" s="265">
        <v>12</v>
      </c>
      <c r="Z147" s="265">
        <v>1232</v>
      </c>
    </row>
    <row r="148" spans="1:26" x14ac:dyDescent="0.35">
      <c r="A148" s="267">
        <v>45630.493391805554</v>
      </c>
      <c r="B148" s="265" t="s">
        <v>168</v>
      </c>
      <c r="C148" s="265" t="s">
        <v>395</v>
      </c>
      <c r="D148" s="265" t="s">
        <v>49</v>
      </c>
      <c r="E148" s="265" t="s">
        <v>50</v>
      </c>
      <c r="F148" s="265">
        <v>7</v>
      </c>
      <c r="G148" s="265">
        <v>0</v>
      </c>
      <c r="H148" s="265">
        <v>6</v>
      </c>
      <c r="I148" s="265">
        <v>7</v>
      </c>
      <c r="J148" s="265">
        <v>5</v>
      </c>
      <c r="K148" s="265">
        <v>5</v>
      </c>
      <c r="L148" s="265">
        <v>24</v>
      </c>
      <c r="M148" s="265">
        <v>0</v>
      </c>
      <c r="N148" s="265">
        <v>16</v>
      </c>
      <c r="O148" s="265">
        <v>20</v>
      </c>
      <c r="P148" s="265">
        <v>16</v>
      </c>
      <c r="Q148" s="265">
        <v>16</v>
      </c>
      <c r="R148" s="265">
        <v>2017</v>
      </c>
      <c r="S148" s="265">
        <v>1984</v>
      </c>
      <c r="T148" s="265">
        <v>1258</v>
      </c>
      <c r="U148" s="265">
        <v>1581</v>
      </c>
      <c r="V148" s="265">
        <v>1573</v>
      </c>
      <c r="W148" s="265">
        <v>1573</v>
      </c>
      <c r="X148" s="265">
        <v>7</v>
      </c>
      <c r="Y148" s="265">
        <v>24</v>
      </c>
      <c r="Z148" s="265">
        <v>2018</v>
      </c>
    </row>
    <row r="149" spans="1:26" x14ac:dyDescent="0.35">
      <c r="A149" s="267">
        <v>45630.493391805554</v>
      </c>
      <c r="B149" s="265" t="s">
        <v>168</v>
      </c>
      <c r="C149" s="265" t="s">
        <v>390</v>
      </c>
      <c r="D149" s="265" t="s">
        <v>49</v>
      </c>
      <c r="E149" s="265" t="s">
        <v>50</v>
      </c>
      <c r="F149" s="265">
        <v>3</v>
      </c>
      <c r="G149" s="265">
        <v>0</v>
      </c>
      <c r="H149" s="265">
        <v>3</v>
      </c>
      <c r="I149" s="265">
        <v>3</v>
      </c>
      <c r="J149" s="265">
        <v>3</v>
      </c>
      <c r="K149" s="265">
        <v>3</v>
      </c>
      <c r="L149" s="265">
        <v>11</v>
      </c>
      <c r="M149" s="265">
        <v>0</v>
      </c>
      <c r="N149" s="265">
        <v>10</v>
      </c>
      <c r="O149" s="265">
        <v>10</v>
      </c>
      <c r="P149" s="265">
        <v>10</v>
      </c>
      <c r="Q149" s="265">
        <v>10</v>
      </c>
      <c r="R149" s="265">
        <v>718</v>
      </c>
      <c r="S149" s="265">
        <v>711</v>
      </c>
      <c r="T149" s="265">
        <v>489</v>
      </c>
      <c r="U149" s="265">
        <v>571</v>
      </c>
      <c r="V149" s="265">
        <v>583</v>
      </c>
      <c r="W149" s="265">
        <v>583</v>
      </c>
      <c r="X149" s="265">
        <v>3</v>
      </c>
      <c r="Y149" s="265">
        <v>11</v>
      </c>
      <c r="Z149" s="265">
        <v>718</v>
      </c>
    </row>
    <row r="150" spans="1:26" x14ac:dyDescent="0.35">
      <c r="A150" s="267">
        <v>45630.493391805554</v>
      </c>
      <c r="B150" s="265" t="s">
        <v>168</v>
      </c>
      <c r="C150" s="265" t="s">
        <v>298</v>
      </c>
      <c r="D150" s="265" t="s">
        <v>49</v>
      </c>
      <c r="E150" s="265" t="s">
        <v>50</v>
      </c>
      <c r="F150" s="265">
        <v>7</v>
      </c>
      <c r="G150" s="265">
        <v>0</v>
      </c>
      <c r="H150" s="265">
        <v>4</v>
      </c>
      <c r="I150" s="265">
        <v>7</v>
      </c>
      <c r="J150" s="265">
        <v>6</v>
      </c>
      <c r="K150" s="265">
        <v>6</v>
      </c>
      <c r="L150" s="265">
        <v>20</v>
      </c>
      <c r="M150" s="265">
        <v>0</v>
      </c>
      <c r="N150" s="265">
        <v>12</v>
      </c>
      <c r="O150" s="265">
        <v>18</v>
      </c>
      <c r="P150" s="265">
        <v>17</v>
      </c>
      <c r="Q150" s="265">
        <v>17</v>
      </c>
      <c r="R150" s="265">
        <v>1558</v>
      </c>
      <c r="S150" s="265">
        <v>1544</v>
      </c>
      <c r="T150" s="265">
        <v>1018</v>
      </c>
      <c r="U150" s="265">
        <v>1284</v>
      </c>
      <c r="V150" s="265">
        <v>1160</v>
      </c>
      <c r="W150" s="265">
        <v>1161</v>
      </c>
      <c r="X150" s="265">
        <v>7</v>
      </c>
      <c r="Y150" s="265">
        <v>21</v>
      </c>
      <c r="Z150" s="265">
        <v>1559</v>
      </c>
    </row>
    <row r="151" spans="1:26" x14ac:dyDescent="0.35">
      <c r="A151" s="267">
        <v>45630.493391805554</v>
      </c>
      <c r="B151" s="265" t="s">
        <v>168</v>
      </c>
      <c r="C151" s="265" t="s">
        <v>264</v>
      </c>
      <c r="D151" s="265" t="s">
        <v>49</v>
      </c>
      <c r="E151" s="265" t="s">
        <v>50</v>
      </c>
      <c r="F151" s="265">
        <v>7</v>
      </c>
      <c r="G151" s="265">
        <v>0</v>
      </c>
      <c r="H151" s="265">
        <v>5</v>
      </c>
      <c r="I151" s="265">
        <v>6</v>
      </c>
      <c r="J151" s="265">
        <v>6</v>
      </c>
      <c r="K151" s="265">
        <v>6</v>
      </c>
      <c r="L151" s="265">
        <v>21</v>
      </c>
      <c r="M151" s="265">
        <v>1</v>
      </c>
      <c r="N151" s="265">
        <v>16</v>
      </c>
      <c r="O151" s="265">
        <v>18</v>
      </c>
      <c r="P151" s="265">
        <v>17</v>
      </c>
      <c r="Q151" s="265">
        <v>17</v>
      </c>
      <c r="R151" s="265">
        <v>2587</v>
      </c>
      <c r="S151" s="265">
        <v>2536</v>
      </c>
      <c r="T151" s="265">
        <v>1499</v>
      </c>
      <c r="U151" s="265">
        <v>1923</v>
      </c>
      <c r="V151" s="265">
        <v>1925</v>
      </c>
      <c r="W151" s="265">
        <v>1925</v>
      </c>
      <c r="X151" s="265">
        <v>7</v>
      </c>
      <c r="Y151" s="265">
        <v>21</v>
      </c>
      <c r="Z151" s="265">
        <v>2587</v>
      </c>
    </row>
    <row r="152" spans="1:26" x14ac:dyDescent="0.35">
      <c r="A152" s="267">
        <v>45630.493391805554</v>
      </c>
      <c r="B152" s="265" t="s">
        <v>167</v>
      </c>
      <c r="C152" s="265" t="s">
        <v>515</v>
      </c>
      <c r="D152" s="265" t="s">
        <v>49</v>
      </c>
      <c r="E152" s="265" t="s">
        <v>50</v>
      </c>
      <c r="F152" s="265">
        <v>0</v>
      </c>
      <c r="G152" s="265">
        <v>0</v>
      </c>
      <c r="H152" s="265">
        <v>0</v>
      </c>
      <c r="I152" s="265">
        <v>0</v>
      </c>
      <c r="J152" s="265">
        <v>0</v>
      </c>
      <c r="K152" s="265">
        <v>0</v>
      </c>
      <c r="L152" s="265">
        <v>0</v>
      </c>
      <c r="M152" s="265">
        <v>0</v>
      </c>
      <c r="N152" s="265">
        <v>0</v>
      </c>
      <c r="O152" s="265">
        <v>0</v>
      </c>
      <c r="P152" s="265">
        <v>0</v>
      </c>
      <c r="Q152" s="265">
        <v>0</v>
      </c>
      <c r="R152" s="265">
        <v>40</v>
      </c>
      <c r="S152" s="265">
        <v>40</v>
      </c>
      <c r="T152" s="265">
        <v>31</v>
      </c>
      <c r="U152" s="265">
        <v>34</v>
      </c>
      <c r="V152" s="265">
        <v>25</v>
      </c>
      <c r="W152" s="265">
        <v>25</v>
      </c>
      <c r="X152" s="265">
        <v>0</v>
      </c>
      <c r="Y152" s="265">
        <v>0</v>
      </c>
      <c r="Z152" s="265">
        <v>40</v>
      </c>
    </row>
    <row r="153" spans="1:26" x14ac:dyDescent="0.35">
      <c r="A153" s="267">
        <v>45630.493391805554</v>
      </c>
      <c r="B153" s="265" t="s">
        <v>168</v>
      </c>
      <c r="C153" s="265" t="s">
        <v>267</v>
      </c>
      <c r="D153" s="265" t="s">
        <v>49</v>
      </c>
      <c r="E153" s="265" t="s">
        <v>50</v>
      </c>
      <c r="F153" s="265">
        <v>0</v>
      </c>
      <c r="G153" s="265">
        <v>0</v>
      </c>
      <c r="H153" s="265">
        <v>0</v>
      </c>
      <c r="I153" s="265">
        <v>0</v>
      </c>
      <c r="J153" s="265">
        <v>0</v>
      </c>
      <c r="K153" s="265">
        <v>0</v>
      </c>
      <c r="L153" s="265">
        <v>2</v>
      </c>
      <c r="M153" s="265">
        <v>0</v>
      </c>
      <c r="N153" s="265">
        <v>1</v>
      </c>
      <c r="O153" s="265">
        <v>2</v>
      </c>
      <c r="P153" s="265">
        <v>2</v>
      </c>
      <c r="Q153" s="265">
        <v>2</v>
      </c>
      <c r="R153" s="265">
        <v>326</v>
      </c>
      <c r="S153" s="265">
        <v>322</v>
      </c>
      <c r="T153" s="265">
        <v>185</v>
      </c>
      <c r="U153" s="265">
        <v>243</v>
      </c>
      <c r="V153" s="265">
        <v>169</v>
      </c>
      <c r="W153" s="265">
        <v>169</v>
      </c>
      <c r="X153" s="265">
        <v>0</v>
      </c>
      <c r="Y153" s="265">
        <v>2</v>
      </c>
      <c r="Z153" s="265">
        <v>327</v>
      </c>
    </row>
    <row r="154" spans="1:26" x14ac:dyDescent="0.35">
      <c r="A154" s="267">
        <v>45630.493391805554</v>
      </c>
      <c r="B154" s="265" t="s">
        <v>168</v>
      </c>
      <c r="C154" s="265" t="s">
        <v>363</v>
      </c>
      <c r="D154" s="265" t="s">
        <v>49</v>
      </c>
      <c r="E154" s="265" t="s">
        <v>50</v>
      </c>
      <c r="F154" s="265">
        <v>3</v>
      </c>
      <c r="G154" s="265">
        <v>0</v>
      </c>
      <c r="H154" s="265">
        <v>4</v>
      </c>
      <c r="I154" s="265">
        <v>4</v>
      </c>
      <c r="J154" s="265">
        <v>2</v>
      </c>
      <c r="K154" s="265">
        <v>2</v>
      </c>
      <c r="L154" s="265">
        <v>11</v>
      </c>
      <c r="M154" s="265">
        <v>0</v>
      </c>
      <c r="N154" s="265">
        <v>9</v>
      </c>
      <c r="O154" s="265">
        <v>11</v>
      </c>
      <c r="P154" s="265">
        <v>10</v>
      </c>
      <c r="Q154" s="265">
        <v>10</v>
      </c>
      <c r="R154" s="265">
        <v>1110</v>
      </c>
      <c r="S154" s="265">
        <v>1093</v>
      </c>
      <c r="T154" s="265">
        <v>748</v>
      </c>
      <c r="U154" s="265">
        <v>891</v>
      </c>
      <c r="V154" s="265">
        <v>780</v>
      </c>
      <c r="W154" s="265">
        <v>780</v>
      </c>
      <c r="X154" s="265">
        <v>4</v>
      </c>
      <c r="Y154" s="265">
        <v>12</v>
      </c>
      <c r="Z154" s="265">
        <v>1113</v>
      </c>
    </row>
    <row r="155" spans="1:26" x14ac:dyDescent="0.35">
      <c r="A155" s="267">
        <v>45630.493391805554</v>
      </c>
      <c r="B155" s="265" t="s">
        <v>168</v>
      </c>
      <c r="C155" s="265" t="s">
        <v>376</v>
      </c>
      <c r="D155" s="265" t="s">
        <v>49</v>
      </c>
      <c r="E155" s="265" t="s">
        <v>50</v>
      </c>
      <c r="F155" s="265">
        <v>4</v>
      </c>
      <c r="G155" s="265">
        <v>0</v>
      </c>
      <c r="H155" s="265">
        <v>3</v>
      </c>
      <c r="I155" s="265">
        <v>4</v>
      </c>
      <c r="J155" s="265">
        <v>4</v>
      </c>
      <c r="K155" s="265">
        <v>4</v>
      </c>
      <c r="L155" s="265">
        <v>12</v>
      </c>
      <c r="M155" s="265">
        <v>0</v>
      </c>
      <c r="N155" s="265">
        <v>7</v>
      </c>
      <c r="O155" s="265">
        <v>9</v>
      </c>
      <c r="P155" s="265">
        <v>9</v>
      </c>
      <c r="Q155" s="265">
        <v>9</v>
      </c>
      <c r="R155" s="265">
        <v>1094</v>
      </c>
      <c r="S155" s="265">
        <v>1087</v>
      </c>
      <c r="T155" s="265">
        <v>656</v>
      </c>
      <c r="U155" s="265">
        <v>877</v>
      </c>
      <c r="V155" s="265">
        <v>831</v>
      </c>
      <c r="W155" s="265">
        <v>833</v>
      </c>
      <c r="X155" s="265">
        <v>4</v>
      </c>
      <c r="Y155" s="265">
        <v>12</v>
      </c>
      <c r="Z155" s="265">
        <v>1094</v>
      </c>
    </row>
    <row r="156" spans="1:26" x14ac:dyDescent="0.35">
      <c r="A156" s="267">
        <v>45630.493391805554</v>
      </c>
      <c r="B156" s="265" t="s">
        <v>167</v>
      </c>
      <c r="C156" s="265" t="s">
        <v>393</v>
      </c>
      <c r="D156" s="265" t="s">
        <v>49</v>
      </c>
      <c r="E156" s="265" t="s">
        <v>50</v>
      </c>
      <c r="F156" s="265">
        <v>0</v>
      </c>
      <c r="G156" s="265">
        <v>0</v>
      </c>
      <c r="H156" s="265">
        <v>0</v>
      </c>
      <c r="I156" s="265">
        <v>0</v>
      </c>
      <c r="J156" s="265">
        <v>0</v>
      </c>
      <c r="K156" s="265">
        <v>0</v>
      </c>
      <c r="L156" s="265">
        <v>0</v>
      </c>
      <c r="M156" s="265">
        <v>0</v>
      </c>
      <c r="N156" s="265">
        <v>0</v>
      </c>
      <c r="O156" s="265">
        <v>0</v>
      </c>
      <c r="P156" s="265">
        <v>0</v>
      </c>
      <c r="Q156" s="265">
        <v>0</v>
      </c>
      <c r="R156" s="265">
        <v>270</v>
      </c>
      <c r="S156" s="265">
        <v>266</v>
      </c>
      <c r="T156" s="265">
        <v>138</v>
      </c>
      <c r="U156" s="265">
        <v>179</v>
      </c>
      <c r="V156" s="265">
        <v>242</v>
      </c>
      <c r="W156" s="265">
        <v>242</v>
      </c>
      <c r="X156" s="265">
        <v>0</v>
      </c>
      <c r="Y156" s="265">
        <v>0</v>
      </c>
      <c r="Z156" s="265">
        <v>269</v>
      </c>
    </row>
    <row r="157" spans="1:26" x14ac:dyDescent="0.35">
      <c r="A157" s="267">
        <v>45630.493391805554</v>
      </c>
      <c r="B157" s="265" t="s">
        <v>168</v>
      </c>
      <c r="C157" s="265" t="s">
        <v>342</v>
      </c>
      <c r="D157" s="265" t="s">
        <v>49</v>
      </c>
      <c r="E157" s="265" t="s">
        <v>50</v>
      </c>
      <c r="F157" s="265">
        <v>4</v>
      </c>
      <c r="G157" s="265">
        <v>0</v>
      </c>
      <c r="H157" s="265">
        <v>3</v>
      </c>
      <c r="I157" s="265">
        <v>4</v>
      </c>
      <c r="J157" s="265">
        <v>4</v>
      </c>
      <c r="K157" s="265">
        <v>4</v>
      </c>
      <c r="L157" s="265">
        <v>13</v>
      </c>
      <c r="M157" s="265">
        <v>0</v>
      </c>
      <c r="N157" s="265">
        <v>8</v>
      </c>
      <c r="O157" s="265">
        <v>12</v>
      </c>
      <c r="P157" s="265">
        <v>11</v>
      </c>
      <c r="Q157" s="265">
        <v>11</v>
      </c>
      <c r="R157" s="265">
        <v>1138</v>
      </c>
      <c r="S157" s="265">
        <v>1110</v>
      </c>
      <c r="T157" s="265">
        <v>809</v>
      </c>
      <c r="U157" s="265">
        <v>943</v>
      </c>
      <c r="V157" s="265">
        <v>915</v>
      </c>
      <c r="W157" s="265">
        <v>915</v>
      </c>
      <c r="X157" s="265">
        <v>4</v>
      </c>
      <c r="Y157" s="265">
        <v>14</v>
      </c>
      <c r="Z157" s="265">
        <v>1138</v>
      </c>
    </row>
    <row r="158" spans="1:26" x14ac:dyDescent="0.35">
      <c r="A158" s="267">
        <v>45630.493391805554</v>
      </c>
      <c r="B158" s="265" t="s">
        <v>167</v>
      </c>
      <c r="C158" s="265" t="s">
        <v>502</v>
      </c>
      <c r="D158" s="265" t="s">
        <v>49</v>
      </c>
      <c r="E158" s="265" t="s">
        <v>50</v>
      </c>
      <c r="F158" s="265">
        <v>0</v>
      </c>
      <c r="G158" s="265">
        <v>0</v>
      </c>
      <c r="H158" s="265">
        <v>0</v>
      </c>
      <c r="I158" s="265">
        <v>0</v>
      </c>
      <c r="J158" s="265">
        <v>0</v>
      </c>
      <c r="K158" s="265">
        <v>0</v>
      </c>
      <c r="L158" s="265">
        <v>2</v>
      </c>
      <c r="M158" s="265">
        <v>0</v>
      </c>
      <c r="N158" s="265">
        <v>0</v>
      </c>
      <c r="O158" s="265">
        <v>1</v>
      </c>
      <c r="P158" s="265">
        <v>1</v>
      </c>
      <c r="Q158" s="265">
        <v>1</v>
      </c>
      <c r="R158" s="265">
        <v>635</v>
      </c>
      <c r="S158" s="265">
        <v>623</v>
      </c>
      <c r="T158" s="265">
        <v>389</v>
      </c>
      <c r="U158" s="265">
        <v>487</v>
      </c>
      <c r="V158" s="265">
        <v>504</v>
      </c>
      <c r="W158" s="265">
        <v>504</v>
      </c>
      <c r="X158" s="265">
        <v>0</v>
      </c>
      <c r="Y158" s="265">
        <v>2</v>
      </c>
      <c r="Z158" s="265">
        <v>635</v>
      </c>
    </row>
    <row r="159" spans="1:26" x14ac:dyDescent="0.35">
      <c r="A159" s="267">
        <v>45630.493391805554</v>
      </c>
      <c r="B159" s="265" t="s">
        <v>168</v>
      </c>
      <c r="C159" s="265" t="s">
        <v>414</v>
      </c>
      <c r="D159" s="265" t="s">
        <v>49</v>
      </c>
      <c r="E159" s="265" t="s">
        <v>50</v>
      </c>
      <c r="F159" s="265">
        <v>2</v>
      </c>
      <c r="G159" s="265">
        <v>0</v>
      </c>
      <c r="H159" s="265">
        <v>2</v>
      </c>
      <c r="I159" s="265">
        <v>2</v>
      </c>
      <c r="J159" s="265">
        <v>2</v>
      </c>
      <c r="K159" s="265">
        <v>2</v>
      </c>
      <c r="L159" s="265">
        <v>6</v>
      </c>
      <c r="M159" s="265">
        <v>0</v>
      </c>
      <c r="N159" s="265">
        <v>5</v>
      </c>
      <c r="O159" s="265">
        <v>5</v>
      </c>
      <c r="P159" s="265">
        <v>5</v>
      </c>
      <c r="Q159" s="265">
        <v>5</v>
      </c>
      <c r="R159" s="265">
        <v>567</v>
      </c>
      <c r="S159" s="265">
        <v>560</v>
      </c>
      <c r="T159" s="265">
        <v>399</v>
      </c>
      <c r="U159" s="265">
        <v>469</v>
      </c>
      <c r="V159" s="265">
        <v>458</v>
      </c>
      <c r="W159" s="265">
        <v>458</v>
      </c>
      <c r="X159" s="265">
        <v>2</v>
      </c>
      <c r="Y159" s="265">
        <v>6</v>
      </c>
      <c r="Z159" s="265">
        <v>567</v>
      </c>
    </row>
    <row r="160" spans="1:26" x14ac:dyDescent="0.35">
      <c r="A160" s="267">
        <v>45630.493391805554</v>
      </c>
      <c r="B160" s="265" t="s">
        <v>168</v>
      </c>
      <c r="C160" s="265" t="s">
        <v>319</v>
      </c>
      <c r="D160" s="265" t="s">
        <v>49</v>
      </c>
      <c r="E160" s="265" t="s">
        <v>50</v>
      </c>
      <c r="F160" s="265">
        <v>1</v>
      </c>
      <c r="G160" s="265">
        <v>0</v>
      </c>
      <c r="H160" s="265">
        <v>0</v>
      </c>
      <c r="I160" s="265">
        <v>0</v>
      </c>
      <c r="J160" s="265">
        <v>0</v>
      </c>
      <c r="K160" s="265">
        <v>0</v>
      </c>
      <c r="L160" s="265">
        <v>5</v>
      </c>
      <c r="M160" s="265">
        <v>0</v>
      </c>
      <c r="N160" s="265">
        <v>2</v>
      </c>
      <c r="O160" s="265">
        <v>3</v>
      </c>
      <c r="P160" s="265">
        <v>3</v>
      </c>
      <c r="Q160" s="265">
        <v>3</v>
      </c>
      <c r="R160" s="265">
        <v>579</v>
      </c>
      <c r="S160" s="265">
        <v>561</v>
      </c>
      <c r="T160" s="265">
        <v>343</v>
      </c>
      <c r="U160" s="265">
        <v>431</v>
      </c>
      <c r="V160" s="265">
        <v>441</v>
      </c>
      <c r="W160" s="265">
        <v>441</v>
      </c>
      <c r="X160" s="265">
        <v>1</v>
      </c>
      <c r="Y160" s="265">
        <v>5</v>
      </c>
      <c r="Z160" s="265">
        <v>579</v>
      </c>
    </row>
    <row r="161" spans="1:26" x14ac:dyDescent="0.35">
      <c r="A161" s="267">
        <v>45630.493391805554</v>
      </c>
      <c r="B161" s="265" t="s">
        <v>168</v>
      </c>
      <c r="C161" s="265" t="s">
        <v>280</v>
      </c>
      <c r="D161" s="265" t="s">
        <v>49</v>
      </c>
      <c r="E161" s="265" t="s">
        <v>50</v>
      </c>
      <c r="F161" s="265">
        <v>11</v>
      </c>
      <c r="G161" s="265">
        <v>0</v>
      </c>
      <c r="H161" s="265">
        <v>10</v>
      </c>
      <c r="I161" s="265">
        <v>10</v>
      </c>
      <c r="J161" s="265">
        <v>8</v>
      </c>
      <c r="K161" s="265">
        <v>8</v>
      </c>
      <c r="L161" s="265">
        <v>34</v>
      </c>
      <c r="M161" s="265">
        <v>0</v>
      </c>
      <c r="N161" s="265">
        <v>26</v>
      </c>
      <c r="O161" s="265">
        <v>27</v>
      </c>
      <c r="P161" s="265">
        <v>22</v>
      </c>
      <c r="Q161" s="265">
        <v>22</v>
      </c>
      <c r="R161" s="265">
        <v>3510</v>
      </c>
      <c r="S161" s="265">
        <v>3458</v>
      </c>
      <c r="T161" s="265">
        <v>2485</v>
      </c>
      <c r="U161" s="265">
        <v>2863</v>
      </c>
      <c r="V161" s="265">
        <v>2788</v>
      </c>
      <c r="W161" s="265">
        <v>2788</v>
      </c>
      <c r="X161" s="265">
        <v>12</v>
      </c>
      <c r="Y161" s="265">
        <v>35</v>
      </c>
      <c r="Z161" s="265">
        <v>3512</v>
      </c>
    </row>
    <row r="162" spans="1:26" x14ac:dyDescent="0.35">
      <c r="A162" s="267">
        <v>45630.493391805554</v>
      </c>
      <c r="B162" s="265" t="s">
        <v>168</v>
      </c>
      <c r="C162" s="265" t="s">
        <v>351</v>
      </c>
      <c r="D162" s="265" t="s">
        <v>49</v>
      </c>
      <c r="E162" s="265" t="s">
        <v>50</v>
      </c>
      <c r="F162" s="265">
        <v>2</v>
      </c>
      <c r="G162" s="265">
        <v>0</v>
      </c>
      <c r="H162" s="265">
        <v>1</v>
      </c>
      <c r="I162" s="265">
        <v>1</v>
      </c>
      <c r="J162" s="265">
        <v>2</v>
      </c>
      <c r="K162" s="265">
        <v>2</v>
      </c>
      <c r="L162" s="265">
        <v>8</v>
      </c>
      <c r="M162" s="265">
        <v>0</v>
      </c>
      <c r="N162" s="265">
        <v>1</v>
      </c>
      <c r="O162" s="265">
        <v>4</v>
      </c>
      <c r="P162" s="265">
        <v>6</v>
      </c>
      <c r="Q162" s="265">
        <v>6</v>
      </c>
      <c r="R162" s="265">
        <v>790</v>
      </c>
      <c r="S162" s="265">
        <v>777</v>
      </c>
      <c r="T162" s="265">
        <v>409</v>
      </c>
      <c r="U162" s="265">
        <v>546</v>
      </c>
      <c r="V162" s="265">
        <v>518</v>
      </c>
      <c r="W162" s="265">
        <v>518</v>
      </c>
      <c r="X162" s="265">
        <v>2</v>
      </c>
      <c r="Y162" s="265">
        <v>8</v>
      </c>
      <c r="Z162" s="265">
        <v>790</v>
      </c>
    </row>
    <row r="163" spans="1:26" x14ac:dyDescent="0.35">
      <c r="A163" s="267">
        <v>45630.493391805554</v>
      </c>
      <c r="B163" s="265" t="s">
        <v>167</v>
      </c>
      <c r="C163" s="265" t="s">
        <v>510</v>
      </c>
      <c r="D163" s="265" t="s">
        <v>49</v>
      </c>
      <c r="E163" s="265" t="s">
        <v>50</v>
      </c>
      <c r="F163" s="265">
        <v>1</v>
      </c>
      <c r="G163" s="265">
        <v>0</v>
      </c>
      <c r="H163" s="265">
        <v>1</v>
      </c>
      <c r="I163" s="265">
        <v>1</v>
      </c>
      <c r="J163" s="265">
        <v>1</v>
      </c>
      <c r="K163" s="265">
        <v>1</v>
      </c>
      <c r="L163" s="265">
        <v>3</v>
      </c>
      <c r="M163" s="265">
        <v>0</v>
      </c>
      <c r="N163" s="265">
        <v>2</v>
      </c>
      <c r="O163" s="265">
        <v>2</v>
      </c>
      <c r="P163" s="265">
        <v>2</v>
      </c>
      <c r="Q163" s="265">
        <v>2</v>
      </c>
      <c r="R163" s="265">
        <v>358</v>
      </c>
      <c r="S163" s="265">
        <v>341</v>
      </c>
      <c r="T163" s="265">
        <v>238</v>
      </c>
      <c r="U163" s="265">
        <v>270</v>
      </c>
      <c r="V163" s="265">
        <v>263</v>
      </c>
      <c r="W163" s="265">
        <v>263</v>
      </c>
      <c r="X163" s="265">
        <v>1</v>
      </c>
      <c r="Y163" s="265">
        <v>3</v>
      </c>
      <c r="Z163" s="265">
        <v>358</v>
      </c>
    </row>
    <row r="164" spans="1:26" x14ac:dyDescent="0.35">
      <c r="A164" s="267">
        <v>45630.493391805554</v>
      </c>
      <c r="B164" s="265" t="s">
        <v>168</v>
      </c>
      <c r="C164" s="265" t="s">
        <v>425</v>
      </c>
      <c r="D164" s="265" t="s">
        <v>49</v>
      </c>
      <c r="E164" s="265" t="s">
        <v>50</v>
      </c>
      <c r="F164" s="265">
        <v>4</v>
      </c>
      <c r="G164" s="265">
        <v>0</v>
      </c>
      <c r="H164" s="265">
        <v>3</v>
      </c>
      <c r="I164" s="265">
        <v>3</v>
      </c>
      <c r="J164" s="265">
        <v>3</v>
      </c>
      <c r="K164" s="265">
        <v>3</v>
      </c>
      <c r="L164" s="265">
        <v>11</v>
      </c>
      <c r="M164" s="265">
        <v>0</v>
      </c>
      <c r="N164" s="265">
        <v>7</v>
      </c>
      <c r="O164" s="265">
        <v>8</v>
      </c>
      <c r="P164" s="265">
        <v>6</v>
      </c>
      <c r="Q164" s="265">
        <v>6</v>
      </c>
      <c r="R164" s="265">
        <v>1199</v>
      </c>
      <c r="S164" s="265">
        <v>1179</v>
      </c>
      <c r="T164" s="265">
        <v>783</v>
      </c>
      <c r="U164" s="265">
        <v>959</v>
      </c>
      <c r="V164" s="265">
        <v>935</v>
      </c>
      <c r="W164" s="265">
        <v>935</v>
      </c>
      <c r="X164" s="265">
        <v>4</v>
      </c>
      <c r="Y164" s="265">
        <v>12</v>
      </c>
      <c r="Z164" s="265">
        <v>1199</v>
      </c>
    </row>
    <row r="165" spans="1:26" x14ac:dyDescent="0.35">
      <c r="A165" s="267">
        <v>45630.493391805554</v>
      </c>
      <c r="B165" s="265" t="s">
        <v>168</v>
      </c>
      <c r="C165" s="265" t="s">
        <v>365</v>
      </c>
      <c r="D165" s="265" t="s">
        <v>49</v>
      </c>
      <c r="E165" s="265" t="s">
        <v>50</v>
      </c>
      <c r="F165" s="265">
        <v>6</v>
      </c>
      <c r="G165" s="265">
        <v>0</v>
      </c>
      <c r="H165" s="265">
        <v>3</v>
      </c>
      <c r="I165" s="265">
        <v>4</v>
      </c>
      <c r="J165" s="265">
        <v>5</v>
      </c>
      <c r="K165" s="265">
        <v>5</v>
      </c>
      <c r="L165" s="265">
        <v>19</v>
      </c>
      <c r="M165" s="265">
        <v>0</v>
      </c>
      <c r="N165" s="265">
        <v>15</v>
      </c>
      <c r="O165" s="265">
        <v>17</v>
      </c>
      <c r="P165" s="265">
        <v>17</v>
      </c>
      <c r="Q165" s="265">
        <v>17</v>
      </c>
      <c r="R165" s="265">
        <v>1735</v>
      </c>
      <c r="S165" s="265">
        <v>1684</v>
      </c>
      <c r="T165" s="265">
        <v>1127</v>
      </c>
      <c r="U165" s="265">
        <v>1317</v>
      </c>
      <c r="V165" s="265">
        <v>1356</v>
      </c>
      <c r="W165" s="265">
        <v>1356</v>
      </c>
      <c r="X165" s="265">
        <v>6</v>
      </c>
      <c r="Y165" s="265">
        <v>19</v>
      </c>
      <c r="Z165" s="265">
        <v>1737</v>
      </c>
    </row>
    <row r="166" spans="1:26" x14ac:dyDescent="0.35">
      <c r="A166" s="267">
        <v>45630.493391805554</v>
      </c>
      <c r="B166" s="265" t="s">
        <v>168</v>
      </c>
      <c r="C166" s="265" t="s">
        <v>418</v>
      </c>
      <c r="D166" s="265" t="s">
        <v>49</v>
      </c>
      <c r="E166" s="265" t="s">
        <v>50</v>
      </c>
      <c r="F166" s="265">
        <v>11</v>
      </c>
      <c r="G166" s="265">
        <v>0</v>
      </c>
      <c r="H166" s="265">
        <v>7</v>
      </c>
      <c r="I166" s="265">
        <v>9</v>
      </c>
      <c r="J166" s="265">
        <v>8</v>
      </c>
      <c r="K166" s="265">
        <v>8</v>
      </c>
      <c r="L166" s="265">
        <v>37</v>
      </c>
      <c r="M166" s="265">
        <v>0</v>
      </c>
      <c r="N166" s="265">
        <v>22</v>
      </c>
      <c r="O166" s="265">
        <v>27</v>
      </c>
      <c r="P166" s="265">
        <v>28</v>
      </c>
      <c r="Q166" s="265">
        <v>28</v>
      </c>
      <c r="R166" s="265">
        <v>4495</v>
      </c>
      <c r="S166" s="265">
        <v>4409</v>
      </c>
      <c r="T166" s="265">
        <v>3300</v>
      </c>
      <c r="U166" s="265">
        <v>3771</v>
      </c>
      <c r="V166" s="265">
        <v>3762</v>
      </c>
      <c r="W166" s="265">
        <v>3762</v>
      </c>
      <c r="X166" s="265">
        <v>12</v>
      </c>
      <c r="Y166" s="265">
        <v>37</v>
      </c>
      <c r="Z166" s="265">
        <v>4497</v>
      </c>
    </row>
    <row r="167" spans="1:26" x14ac:dyDescent="0.35">
      <c r="A167" s="267">
        <v>45630.493391805554</v>
      </c>
      <c r="B167" s="265" t="s">
        <v>168</v>
      </c>
      <c r="C167" s="265" t="s">
        <v>327</v>
      </c>
      <c r="D167" s="265" t="s">
        <v>49</v>
      </c>
      <c r="E167" s="265" t="s">
        <v>50</v>
      </c>
      <c r="F167" s="265">
        <v>4</v>
      </c>
      <c r="G167" s="265">
        <v>0</v>
      </c>
      <c r="H167" s="265">
        <v>3</v>
      </c>
      <c r="I167" s="265">
        <v>4</v>
      </c>
      <c r="J167" s="265">
        <v>4</v>
      </c>
      <c r="K167" s="265">
        <v>4</v>
      </c>
      <c r="L167" s="265">
        <v>12</v>
      </c>
      <c r="M167" s="265">
        <v>0</v>
      </c>
      <c r="N167" s="265">
        <v>11</v>
      </c>
      <c r="O167" s="265">
        <v>12</v>
      </c>
      <c r="P167" s="265">
        <v>11</v>
      </c>
      <c r="Q167" s="265">
        <v>11</v>
      </c>
      <c r="R167" s="265">
        <v>1117</v>
      </c>
      <c r="S167" s="265">
        <v>1113</v>
      </c>
      <c r="T167" s="265">
        <v>752</v>
      </c>
      <c r="U167" s="265">
        <v>939</v>
      </c>
      <c r="V167" s="265">
        <v>916</v>
      </c>
      <c r="W167" s="265">
        <v>916</v>
      </c>
      <c r="X167" s="265">
        <v>4</v>
      </c>
      <c r="Y167" s="265">
        <v>12</v>
      </c>
      <c r="Z167" s="265">
        <v>1117</v>
      </c>
    </row>
    <row r="168" spans="1:26" x14ac:dyDescent="0.35">
      <c r="A168" s="267">
        <v>45630.493391805554</v>
      </c>
      <c r="B168" s="265" t="s">
        <v>168</v>
      </c>
      <c r="C168" s="265" t="s">
        <v>514</v>
      </c>
      <c r="D168" s="265" t="s">
        <v>49</v>
      </c>
      <c r="E168" s="265" t="s">
        <v>50</v>
      </c>
      <c r="F168" s="265">
        <v>0</v>
      </c>
      <c r="G168" s="265">
        <v>0</v>
      </c>
      <c r="H168" s="265">
        <v>0</v>
      </c>
      <c r="I168" s="265">
        <v>0</v>
      </c>
      <c r="J168" s="265">
        <v>0</v>
      </c>
      <c r="K168" s="265">
        <v>0</v>
      </c>
      <c r="L168" s="265">
        <v>0</v>
      </c>
      <c r="M168" s="265">
        <v>0</v>
      </c>
      <c r="N168" s="265">
        <v>0</v>
      </c>
      <c r="O168" s="265">
        <v>0</v>
      </c>
      <c r="P168" s="265">
        <v>0</v>
      </c>
      <c r="Q168" s="265">
        <v>0</v>
      </c>
      <c r="R168" s="265">
        <v>36</v>
      </c>
      <c r="S168" s="265">
        <v>36</v>
      </c>
      <c r="T168" s="265">
        <v>30</v>
      </c>
      <c r="U168" s="265">
        <v>32</v>
      </c>
      <c r="V168" s="265">
        <v>28</v>
      </c>
      <c r="W168" s="265">
        <v>28</v>
      </c>
      <c r="X168" s="265">
        <v>0</v>
      </c>
      <c r="Y168" s="265">
        <v>0</v>
      </c>
      <c r="Z168" s="265">
        <v>36</v>
      </c>
    </row>
    <row r="169" spans="1:26" x14ac:dyDescent="0.35">
      <c r="A169" s="267">
        <v>45630.493391805554</v>
      </c>
      <c r="B169" s="265" t="s">
        <v>168</v>
      </c>
      <c r="C169" s="265" t="s">
        <v>504</v>
      </c>
      <c r="D169" s="265" t="s">
        <v>49</v>
      </c>
      <c r="E169" s="265" t="s">
        <v>50</v>
      </c>
      <c r="F169" s="265">
        <v>0</v>
      </c>
      <c r="G169" s="265">
        <v>0</v>
      </c>
      <c r="H169" s="265">
        <v>0</v>
      </c>
      <c r="I169" s="265">
        <v>0</v>
      </c>
      <c r="J169" s="265">
        <v>0</v>
      </c>
      <c r="K169" s="265">
        <v>0</v>
      </c>
      <c r="L169" s="265">
        <v>0</v>
      </c>
      <c r="M169" s="265">
        <v>0</v>
      </c>
      <c r="N169" s="265">
        <v>0</v>
      </c>
      <c r="O169" s="265">
        <v>0</v>
      </c>
      <c r="P169" s="265">
        <v>0</v>
      </c>
      <c r="Q169" s="265">
        <v>0</v>
      </c>
      <c r="R169" s="265">
        <v>43</v>
      </c>
      <c r="S169" s="265">
        <v>43</v>
      </c>
      <c r="T169" s="265">
        <v>34</v>
      </c>
      <c r="U169" s="265">
        <v>39</v>
      </c>
      <c r="V169" s="265">
        <v>36</v>
      </c>
      <c r="W169" s="265">
        <v>36</v>
      </c>
      <c r="X169" s="265">
        <v>0</v>
      </c>
      <c r="Y169" s="265">
        <v>0</v>
      </c>
      <c r="Z169" s="265">
        <v>43</v>
      </c>
    </row>
    <row r="170" spans="1:26" x14ac:dyDescent="0.35">
      <c r="A170" s="267">
        <v>45630.493391805554</v>
      </c>
      <c r="B170" s="265" t="s">
        <v>168</v>
      </c>
      <c r="C170" s="265" t="s">
        <v>254</v>
      </c>
      <c r="D170" s="265" t="s">
        <v>49</v>
      </c>
      <c r="E170" s="265" t="s">
        <v>50</v>
      </c>
      <c r="F170" s="265">
        <v>2</v>
      </c>
      <c r="G170" s="265">
        <v>0</v>
      </c>
      <c r="H170" s="265">
        <v>1</v>
      </c>
      <c r="I170" s="265">
        <v>2</v>
      </c>
      <c r="J170" s="265">
        <v>1</v>
      </c>
      <c r="K170" s="265">
        <v>1</v>
      </c>
      <c r="L170" s="265">
        <v>9</v>
      </c>
      <c r="M170" s="265">
        <v>0</v>
      </c>
      <c r="N170" s="265">
        <v>3</v>
      </c>
      <c r="O170" s="265">
        <v>6</v>
      </c>
      <c r="P170" s="265">
        <v>4</v>
      </c>
      <c r="Q170" s="265">
        <v>4</v>
      </c>
      <c r="R170" s="265">
        <v>920</v>
      </c>
      <c r="S170" s="265">
        <v>901</v>
      </c>
      <c r="T170" s="265">
        <v>598</v>
      </c>
      <c r="U170" s="265">
        <v>734</v>
      </c>
      <c r="V170" s="265">
        <v>632</v>
      </c>
      <c r="W170" s="265">
        <v>632</v>
      </c>
      <c r="X170" s="265">
        <v>2</v>
      </c>
      <c r="Y170" s="265">
        <v>9</v>
      </c>
      <c r="Z170" s="265">
        <v>920</v>
      </c>
    </row>
    <row r="171" spans="1:26" x14ac:dyDescent="0.35">
      <c r="A171" s="267">
        <v>45630.493391805554</v>
      </c>
      <c r="B171" s="265" t="s">
        <v>168</v>
      </c>
      <c r="C171" s="265" t="s">
        <v>285</v>
      </c>
      <c r="D171" s="265" t="s">
        <v>49</v>
      </c>
      <c r="E171" s="265" t="s">
        <v>50</v>
      </c>
      <c r="F171" s="265">
        <v>4</v>
      </c>
      <c r="G171" s="265">
        <v>0</v>
      </c>
      <c r="H171" s="265">
        <v>4</v>
      </c>
      <c r="I171" s="265">
        <v>4</v>
      </c>
      <c r="J171" s="265">
        <v>3</v>
      </c>
      <c r="K171" s="265">
        <v>3</v>
      </c>
      <c r="L171" s="265">
        <v>13</v>
      </c>
      <c r="M171" s="265">
        <v>0</v>
      </c>
      <c r="N171" s="265">
        <v>7</v>
      </c>
      <c r="O171" s="265">
        <v>9</v>
      </c>
      <c r="P171" s="265">
        <v>9</v>
      </c>
      <c r="Q171" s="265">
        <v>9</v>
      </c>
      <c r="R171" s="265">
        <v>1154</v>
      </c>
      <c r="S171" s="265">
        <v>1137</v>
      </c>
      <c r="T171" s="265">
        <v>742</v>
      </c>
      <c r="U171" s="265">
        <v>904</v>
      </c>
      <c r="V171" s="265">
        <v>813</v>
      </c>
      <c r="W171" s="265">
        <v>813</v>
      </c>
      <c r="X171" s="265">
        <v>4</v>
      </c>
      <c r="Y171" s="265">
        <v>13</v>
      </c>
      <c r="Z171" s="265">
        <v>1155</v>
      </c>
    </row>
    <row r="172" spans="1:26" x14ac:dyDescent="0.35">
      <c r="A172" s="267">
        <v>45630.493391805554</v>
      </c>
      <c r="B172" s="265" t="s">
        <v>168</v>
      </c>
      <c r="C172" s="265" t="s">
        <v>323</v>
      </c>
      <c r="D172" s="265" t="s">
        <v>49</v>
      </c>
      <c r="E172" s="265" t="s">
        <v>50</v>
      </c>
      <c r="F172" s="265">
        <v>4</v>
      </c>
      <c r="G172" s="265">
        <v>0</v>
      </c>
      <c r="H172" s="265">
        <v>2</v>
      </c>
      <c r="I172" s="265">
        <v>3</v>
      </c>
      <c r="J172" s="265">
        <v>4</v>
      </c>
      <c r="K172" s="265">
        <v>4</v>
      </c>
      <c r="L172" s="265">
        <v>11</v>
      </c>
      <c r="M172" s="265">
        <v>0</v>
      </c>
      <c r="N172" s="265">
        <v>6</v>
      </c>
      <c r="O172" s="265">
        <v>8</v>
      </c>
      <c r="P172" s="265">
        <v>10</v>
      </c>
      <c r="Q172" s="265">
        <v>10</v>
      </c>
      <c r="R172" s="265">
        <v>1424</v>
      </c>
      <c r="S172" s="265">
        <v>1397</v>
      </c>
      <c r="T172" s="265">
        <v>968</v>
      </c>
      <c r="U172" s="265">
        <v>1189</v>
      </c>
      <c r="V172" s="265">
        <v>1119</v>
      </c>
      <c r="W172" s="265">
        <v>1119</v>
      </c>
      <c r="X172" s="265">
        <v>3</v>
      </c>
      <c r="Y172" s="265">
        <v>10</v>
      </c>
      <c r="Z172" s="265">
        <v>1422</v>
      </c>
    </row>
    <row r="173" spans="1:26" x14ac:dyDescent="0.35">
      <c r="A173" s="267">
        <v>45630.493391805554</v>
      </c>
      <c r="B173" s="265" t="s">
        <v>168</v>
      </c>
      <c r="C173" s="265" t="s">
        <v>310</v>
      </c>
      <c r="D173" s="265" t="s">
        <v>49</v>
      </c>
      <c r="E173" s="265" t="s">
        <v>50</v>
      </c>
      <c r="F173" s="265">
        <v>4</v>
      </c>
      <c r="G173" s="265">
        <v>0</v>
      </c>
      <c r="H173" s="265">
        <v>3</v>
      </c>
      <c r="I173" s="265">
        <v>4</v>
      </c>
      <c r="J173" s="265">
        <v>4</v>
      </c>
      <c r="K173" s="265">
        <v>4</v>
      </c>
      <c r="L173" s="265">
        <v>12</v>
      </c>
      <c r="M173" s="265">
        <v>0</v>
      </c>
      <c r="N173" s="265">
        <v>8</v>
      </c>
      <c r="O173" s="265">
        <v>11</v>
      </c>
      <c r="P173" s="265">
        <v>11</v>
      </c>
      <c r="Q173" s="265">
        <v>11</v>
      </c>
      <c r="R173" s="265">
        <v>911</v>
      </c>
      <c r="S173" s="265">
        <v>906</v>
      </c>
      <c r="T173" s="265">
        <v>609</v>
      </c>
      <c r="U173" s="265">
        <v>765</v>
      </c>
      <c r="V173" s="265">
        <v>731</v>
      </c>
      <c r="W173" s="265">
        <v>731</v>
      </c>
      <c r="X173" s="265">
        <v>4</v>
      </c>
      <c r="Y173" s="265">
        <v>12</v>
      </c>
      <c r="Z173" s="265">
        <v>912</v>
      </c>
    </row>
    <row r="174" spans="1:26" x14ac:dyDescent="0.35">
      <c r="A174" s="267">
        <v>45630.493391805554</v>
      </c>
      <c r="B174" s="265" t="s">
        <v>168</v>
      </c>
      <c r="C174" s="265" t="s">
        <v>275</v>
      </c>
      <c r="D174" s="265" t="s">
        <v>49</v>
      </c>
      <c r="E174" s="265" t="s">
        <v>50</v>
      </c>
      <c r="F174" s="265">
        <v>5</v>
      </c>
      <c r="G174" s="265">
        <v>0</v>
      </c>
      <c r="H174" s="265">
        <v>4</v>
      </c>
      <c r="I174" s="265">
        <v>4</v>
      </c>
      <c r="J174" s="265">
        <v>4</v>
      </c>
      <c r="K174" s="265">
        <v>4</v>
      </c>
      <c r="L174" s="265">
        <v>17</v>
      </c>
      <c r="M174" s="265">
        <v>0</v>
      </c>
      <c r="N174" s="265">
        <v>12</v>
      </c>
      <c r="O174" s="265">
        <v>13</v>
      </c>
      <c r="P174" s="265">
        <v>13</v>
      </c>
      <c r="Q174" s="265">
        <v>13</v>
      </c>
      <c r="R174" s="265">
        <v>1774</v>
      </c>
      <c r="S174" s="265">
        <v>1746</v>
      </c>
      <c r="T174" s="265">
        <v>1305</v>
      </c>
      <c r="U174" s="265">
        <v>1501</v>
      </c>
      <c r="V174" s="265">
        <v>1418</v>
      </c>
      <c r="W174" s="265">
        <v>1418</v>
      </c>
      <c r="X174" s="265">
        <v>4</v>
      </c>
      <c r="Y174" s="265">
        <v>17</v>
      </c>
      <c r="Z174" s="265">
        <v>1774</v>
      </c>
    </row>
    <row r="175" spans="1:26" x14ac:dyDescent="0.35">
      <c r="A175" s="267">
        <v>45630.493391805554</v>
      </c>
      <c r="B175" s="265" t="s">
        <v>168</v>
      </c>
      <c r="C175" s="265" t="s">
        <v>384</v>
      </c>
      <c r="D175" s="265" t="s">
        <v>49</v>
      </c>
      <c r="E175" s="265" t="s">
        <v>50</v>
      </c>
      <c r="F175" s="265">
        <v>3</v>
      </c>
      <c r="G175" s="265">
        <v>0</v>
      </c>
      <c r="H175" s="265">
        <v>3</v>
      </c>
      <c r="I175" s="265">
        <v>3</v>
      </c>
      <c r="J175" s="265">
        <v>2</v>
      </c>
      <c r="K175" s="265">
        <v>2</v>
      </c>
      <c r="L175" s="265">
        <v>10</v>
      </c>
      <c r="M175" s="265">
        <v>0</v>
      </c>
      <c r="N175" s="265">
        <v>8</v>
      </c>
      <c r="O175" s="265">
        <v>9</v>
      </c>
      <c r="P175" s="265">
        <v>7</v>
      </c>
      <c r="Q175" s="265">
        <v>7</v>
      </c>
      <c r="R175" s="265">
        <v>813</v>
      </c>
      <c r="S175" s="265">
        <v>792</v>
      </c>
      <c r="T175" s="265">
        <v>486</v>
      </c>
      <c r="U175" s="265">
        <v>637</v>
      </c>
      <c r="V175" s="265">
        <v>575</v>
      </c>
      <c r="W175" s="265">
        <v>575</v>
      </c>
      <c r="X175" s="265">
        <v>3</v>
      </c>
      <c r="Y175" s="265">
        <v>10</v>
      </c>
      <c r="Z175" s="265">
        <v>814</v>
      </c>
    </row>
    <row r="176" spans="1:26" x14ac:dyDescent="0.35">
      <c r="A176" s="267">
        <v>45630.493391805554</v>
      </c>
      <c r="B176" s="265" t="s">
        <v>168</v>
      </c>
      <c r="C176" s="265" t="s">
        <v>401</v>
      </c>
      <c r="D176" s="265" t="s">
        <v>49</v>
      </c>
      <c r="E176" s="265" t="s">
        <v>50</v>
      </c>
      <c r="F176" s="265">
        <v>8</v>
      </c>
      <c r="G176" s="265">
        <v>0</v>
      </c>
      <c r="H176" s="265">
        <v>5</v>
      </c>
      <c r="I176" s="265">
        <v>7</v>
      </c>
      <c r="J176" s="265">
        <v>6</v>
      </c>
      <c r="K176" s="265">
        <v>6</v>
      </c>
      <c r="L176" s="265">
        <v>29</v>
      </c>
      <c r="M176" s="265">
        <v>0</v>
      </c>
      <c r="N176" s="265">
        <v>20</v>
      </c>
      <c r="O176" s="265">
        <v>25</v>
      </c>
      <c r="P176" s="265">
        <v>22</v>
      </c>
      <c r="Q176" s="265">
        <v>22</v>
      </c>
      <c r="R176" s="265">
        <v>2412</v>
      </c>
      <c r="S176" s="265">
        <v>2363</v>
      </c>
      <c r="T176" s="265">
        <v>1699</v>
      </c>
      <c r="U176" s="265">
        <v>1998</v>
      </c>
      <c r="V176" s="265">
        <v>1959</v>
      </c>
      <c r="W176" s="265">
        <v>1959</v>
      </c>
      <c r="X176" s="265">
        <v>8</v>
      </c>
      <c r="Y176" s="265">
        <v>30</v>
      </c>
      <c r="Z176" s="265">
        <v>2412</v>
      </c>
    </row>
    <row r="177" spans="1:26" x14ac:dyDescent="0.35">
      <c r="A177" s="267">
        <v>45630.493391805554</v>
      </c>
      <c r="B177" s="265" t="s">
        <v>168</v>
      </c>
      <c r="C177" s="265" t="s">
        <v>382</v>
      </c>
      <c r="D177" s="265" t="s">
        <v>49</v>
      </c>
      <c r="E177" s="265" t="s">
        <v>50</v>
      </c>
      <c r="F177" s="265">
        <v>2</v>
      </c>
      <c r="G177" s="265">
        <v>0</v>
      </c>
      <c r="H177" s="265">
        <v>1</v>
      </c>
      <c r="I177" s="265">
        <v>1</v>
      </c>
      <c r="J177" s="265">
        <v>2</v>
      </c>
      <c r="K177" s="265">
        <v>2</v>
      </c>
      <c r="L177" s="265">
        <v>7</v>
      </c>
      <c r="M177" s="265">
        <v>0</v>
      </c>
      <c r="N177" s="265">
        <v>5</v>
      </c>
      <c r="O177" s="265">
        <v>5</v>
      </c>
      <c r="P177" s="265">
        <v>6</v>
      </c>
      <c r="Q177" s="265">
        <v>6</v>
      </c>
      <c r="R177" s="265">
        <v>668</v>
      </c>
      <c r="S177" s="265">
        <v>645</v>
      </c>
      <c r="T177" s="265">
        <v>427</v>
      </c>
      <c r="U177" s="265">
        <v>492</v>
      </c>
      <c r="V177" s="265">
        <v>519</v>
      </c>
      <c r="W177" s="265">
        <v>519</v>
      </c>
      <c r="X177" s="265">
        <v>2</v>
      </c>
      <c r="Y177" s="265">
        <v>7</v>
      </c>
      <c r="Z177" s="265">
        <v>668</v>
      </c>
    </row>
    <row r="178" spans="1:26" x14ac:dyDescent="0.35">
      <c r="A178" s="267">
        <v>45630.493391805554</v>
      </c>
      <c r="B178" s="265" t="s">
        <v>168</v>
      </c>
      <c r="C178" s="265" t="s">
        <v>516</v>
      </c>
      <c r="D178" s="265" t="s">
        <v>49</v>
      </c>
      <c r="E178" s="265" t="s">
        <v>50</v>
      </c>
      <c r="F178" s="265">
        <v>1</v>
      </c>
      <c r="G178" s="265">
        <v>0</v>
      </c>
      <c r="H178" s="265">
        <v>1</v>
      </c>
      <c r="I178" s="265">
        <v>1</v>
      </c>
      <c r="J178" s="265">
        <v>1</v>
      </c>
      <c r="K178" s="265">
        <v>1</v>
      </c>
      <c r="L178" s="265">
        <v>5</v>
      </c>
      <c r="M178" s="265">
        <v>0</v>
      </c>
      <c r="N178" s="265">
        <v>3</v>
      </c>
      <c r="O178" s="265">
        <v>3</v>
      </c>
      <c r="P178" s="265">
        <v>4</v>
      </c>
      <c r="Q178" s="265">
        <v>4</v>
      </c>
      <c r="R178" s="265">
        <v>57</v>
      </c>
      <c r="S178" s="265">
        <v>55</v>
      </c>
      <c r="T178" s="265">
        <v>45</v>
      </c>
      <c r="U178" s="265">
        <v>52</v>
      </c>
      <c r="V178" s="265">
        <v>45</v>
      </c>
      <c r="W178" s="265">
        <v>45</v>
      </c>
      <c r="X178" s="265">
        <v>1</v>
      </c>
      <c r="Y178" s="265">
        <v>5</v>
      </c>
      <c r="Z178" s="265">
        <v>58</v>
      </c>
    </row>
    <row r="179" spans="1:26" x14ac:dyDescent="0.35">
      <c r="A179" s="267">
        <v>45630.493391805554</v>
      </c>
      <c r="B179" s="265" t="s">
        <v>168</v>
      </c>
      <c r="C179" s="265" t="s">
        <v>340</v>
      </c>
      <c r="D179" s="265" t="s">
        <v>49</v>
      </c>
      <c r="E179" s="265" t="s">
        <v>50</v>
      </c>
      <c r="F179" s="265">
        <v>6</v>
      </c>
      <c r="G179" s="265">
        <v>1</v>
      </c>
      <c r="H179" s="265">
        <v>2</v>
      </c>
      <c r="I179" s="265">
        <v>3</v>
      </c>
      <c r="J179" s="265">
        <v>4</v>
      </c>
      <c r="K179" s="265">
        <v>4</v>
      </c>
      <c r="L179" s="265">
        <v>20</v>
      </c>
      <c r="M179" s="265">
        <v>2</v>
      </c>
      <c r="N179" s="265">
        <v>8</v>
      </c>
      <c r="O179" s="265">
        <v>10</v>
      </c>
      <c r="P179" s="265">
        <v>11</v>
      </c>
      <c r="Q179" s="265">
        <v>11</v>
      </c>
      <c r="R179" s="265">
        <v>1802</v>
      </c>
      <c r="S179" s="265">
        <v>1782</v>
      </c>
      <c r="T179" s="265">
        <v>1215</v>
      </c>
      <c r="U179" s="265">
        <v>1482</v>
      </c>
      <c r="V179" s="265">
        <v>1378</v>
      </c>
      <c r="W179" s="265">
        <v>1381</v>
      </c>
      <c r="X179" s="265">
        <v>7</v>
      </c>
      <c r="Y179" s="265">
        <v>20</v>
      </c>
      <c r="Z179" s="265">
        <v>1803</v>
      </c>
    </row>
    <row r="180" spans="1:26" x14ac:dyDescent="0.35">
      <c r="A180" s="267">
        <v>45630.493391805554</v>
      </c>
      <c r="B180" s="265" t="s">
        <v>168</v>
      </c>
      <c r="C180" s="265" t="s">
        <v>389</v>
      </c>
      <c r="D180" s="265" t="s">
        <v>49</v>
      </c>
      <c r="E180" s="265" t="s">
        <v>50</v>
      </c>
      <c r="F180" s="265">
        <v>11</v>
      </c>
      <c r="G180" s="265">
        <v>0</v>
      </c>
      <c r="H180" s="265">
        <v>10</v>
      </c>
      <c r="I180" s="265">
        <v>10</v>
      </c>
      <c r="J180" s="265">
        <v>9</v>
      </c>
      <c r="K180" s="265">
        <v>9</v>
      </c>
      <c r="L180" s="265">
        <v>31</v>
      </c>
      <c r="M180" s="265">
        <v>0</v>
      </c>
      <c r="N180" s="265">
        <v>26</v>
      </c>
      <c r="O180" s="265">
        <v>28</v>
      </c>
      <c r="P180" s="265">
        <v>25</v>
      </c>
      <c r="Q180" s="265">
        <v>25</v>
      </c>
      <c r="R180" s="265">
        <v>4699</v>
      </c>
      <c r="S180" s="265">
        <v>4397</v>
      </c>
      <c r="T180" s="265">
        <v>2599</v>
      </c>
      <c r="U180" s="265">
        <v>3126</v>
      </c>
      <c r="V180" s="265">
        <v>2719</v>
      </c>
      <c r="W180" s="265">
        <v>2719</v>
      </c>
      <c r="X180" s="265">
        <v>12</v>
      </c>
      <c r="Y180" s="265">
        <v>32</v>
      </c>
      <c r="Z180" s="265">
        <v>4696</v>
      </c>
    </row>
    <row r="181" spans="1:26" x14ac:dyDescent="0.35">
      <c r="A181" s="267">
        <v>45630.493391805554</v>
      </c>
      <c r="B181" s="265" t="s">
        <v>168</v>
      </c>
      <c r="C181" s="265" t="s">
        <v>297</v>
      </c>
      <c r="D181" s="265" t="s">
        <v>49</v>
      </c>
      <c r="E181" s="265" t="s">
        <v>50</v>
      </c>
      <c r="F181" s="265">
        <v>4</v>
      </c>
      <c r="G181" s="265">
        <v>0</v>
      </c>
      <c r="H181" s="265">
        <v>3</v>
      </c>
      <c r="I181" s="265">
        <v>3</v>
      </c>
      <c r="J181" s="265">
        <v>3</v>
      </c>
      <c r="K181" s="265">
        <v>3</v>
      </c>
      <c r="L181" s="265">
        <v>12</v>
      </c>
      <c r="M181" s="265">
        <v>0</v>
      </c>
      <c r="N181" s="265">
        <v>5</v>
      </c>
      <c r="O181" s="265">
        <v>6</v>
      </c>
      <c r="P181" s="265">
        <v>6</v>
      </c>
      <c r="Q181" s="265">
        <v>6</v>
      </c>
      <c r="R181" s="265">
        <v>1075</v>
      </c>
      <c r="S181" s="265">
        <v>1050</v>
      </c>
      <c r="T181" s="265">
        <v>570</v>
      </c>
      <c r="U181" s="265">
        <v>774</v>
      </c>
      <c r="V181" s="265">
        <v>695</v>
      </c>
      <c r="W181" s="265">
        <v>695</v>
      </c>
      <c r="X181" s="265">
        <v>4</v>
      </c>
      <c r="Y181" s="265">
        <v>12</v>
      </c>
      <c r="Z181" s="265">
        <v>1075</v>
      </c>
    </row>
    <row r="182" spans="1:26" x14ac:dyDescent="0.35">
      <c r="A182" s="267">
        <v>45630.493391805554</v>
      </c>
      <c r="B182" s="265" t="s">
        <v>168</v>
      </c>
      <c r="C182" s="265" t="s">
        <v>283</v>
      </c>
      <c r="D182" s="265" t="s">
        <v>49</v>
      </c>
      <c r="E182" s="265" t="s">
        <v>50</v>
      </c>
      <c r="F182" s="265">
        <v>2</v>
      </c>
      <c r="G182" s="265">
        <v>0</v>
      </c>
      <c r="H182" s="265">
        <v>3</v>
      </c>
      <c r="I182" s="265">
        <v>3</v>
      </c>
      <c r="J182" s="265">
        <v>2</v>
      </c>
      <c r="K182" s="265">
        <v>2</v>
      </c>
      <c r="L182" s="265">
        <v>7</v>
      </c>
      <c r="M182" s="265">
        <v>0</v>
      </c>
      <c r="N182" s="265">
        <v>7</v>
      </c>
      <c r="O182" s="265">
        <v>7</v>
      </c>
      <c r="P182" s="265">
        <v>5</v>
      </c>
      <c r="Q182" s="265">
        <v>5</v>
      </c>
      <c r="R182" s="265">
        <v>933</v>
      </c>
      <c r="S182" s="265">
        <v>915</v>
      </c>
      <c r="T182" s="265">
        <v>630</v>
      </c>
      <c r="U182" s="265">
        <v>731</v>
      </c>
      <c r="V182" s="265">
        <v>656</v>
      </c>
      <c r="W182" s="265">
        <v>658</v>
      </c>
      <c r="X182" s="265">
        <v>3</v>
      </c>
      <c r="Y182" s="265">
        <v>7</v>
      </c>
      <c r="Z182" s="265">
        <v>932</v>
      </c>
    </row>
    <row r="183" spans="1:26" x14ac:dyDescent="0.35">
      <c r="A183" s="267">
        <v>45630.493391805554</v>
      </c>
      <c r="B183" s="265" t="s">
        <v>168</v>
      </c>
      <c r="C183" s="265" t="s">
        <v>294</v>
      </c>
      <c r="D183" s="265" t="s">
        <v>49</v>
      </c>
      <c r="E183" s="265" t="s">
        <v>50</v>
      </c>
      <c r="F183" s="265">
        <v>5</v>
      </c>
      <c r="G183" s="265">
        <v>0</v>
      </c>
      <c r="H183" s="265">
        <v>4</v>
      </c>
      <c r="I183" s="265">
        <v>5</v>
      </c>
      <c r="J183" s="265">
        <v>5</v>
      </c>
      <c r="K183" s="265">
        <v>5</v>
      </c>
      <c r="L183" s="265">
        <v>17</v>
      </c>
      <c r="M183" s="265">
        <v>0</v>
      </c>
      <c r="N183" s="265">
        <v>14</v>
      </c>
      <c r="O183" s="265">
        <v>16</v>
      </c>
      <c r="P183" s="265">
        <v>15</v>
      </c>
      <c r="Q183" s="265">
        <v>15</v>
      </c>
      <c r="R183" s="265">
        <v>1634</v>
      </c>
      <c r="S183" s="265">
        <v>1590</v>
      </c>
      <c r="T183" s="265">
        <v>1122</v>
      </c>
      <c r="U183" s="265">
        <v>1317</v>
      </c>
      <c r="V183" s="265">
        <v>1281</v>
      </c>
      <c r="W183" s="265">
        <v>1281</v>
      </c>
      <c r="X183" s="265">
        <v>5</v>
      </c>
      <c r="Y183" s="265">
        <v>17</v>
      </c>
      <c r="Z183" s="265">
        <v>1635</v>
      </c>
    </row>
    <row r="184" spans="1:26" x14ac:dyDescent="0.35">
      <c r="A184" s="267">
        <v>45630.493391805554</v>
      </c>
      <c r="B184" s="265" t="s">
        <v>168</v>
      </c>
      <c r="C184" s="265" t="s">
        <v>312</v>
      </c>
      <c r="D184" s="265" t="s">
        <v>49</v>
      </c>
      <c r="E184" s="265" t="s">
        <v>50</v>
      </c>
      <c r="F184" s="265">
        <v>8</v>
      </c>
      <c r="G184" s="265">
        <v>0</v>
      </c>
      <c r="H184" s="265">
        <v>4</v>
      </c>
      <c r="I184" s="265">
        <v>6</v>
      </c>
      <c r="J184" s="265">
        <v>3</v>
      </c>
      <c r="K184" s="265">
        <v>3</v>
      </c>
      <c r="L184" s="265">
        <v>29</v>
      </c>
      <c r="M184" s="265">
        <v>0</v>
      </c>
      <c r="N184" s="265">
        <v>13</v>
      </c>
      <c r="O184" s="265">
        <v>17</v>
      </c>
      <c r="P184" s="265">
        <v>14</v>
      </c>
      <c r="Q184" s="265">
        <v>14</v>
      </c>
      <c r="R184" s="265">
        <v>3028</v>
      </c>
      <c r="S184" s="265">
        <v>2963</v>
      </c>
      <c r="T184" s="265">
        <v>1753</v>
      </c>
      <c r="U184" s="265">
        <v>2244</v>
      </c>
      <c r="V184" s="265">
        <v>1999</v>
      </c>
      <c r="W184" s="265">
        <v>2001</v>
      </c>
      <c r="X184" s="265">
        <v>8</v>
      </c>
      <c r="Y184" s="265">
        <v>28</v>
      </c>
      <c r="Z184" s="265">
        <v>3029</v>
      </c>
    </row>
    <row r="185" spans="1:26" x14ac:dyDescent="0.35">
      <c r="A185" s="267">
        <v>45630.493391805554</v>
      </c>
      <c r="B185" s="265" t="s">
        <v>168</v>
      </c>
      <c r="C185" s="265" t="s">
        <v>375</v>
      </c>
      <c r="D185" s="265" t="s">
        <v>49</v>
      </c>
      <c r="E185" s="265" t="s">
        <v>50</v>
      </c>
      <c r="F185" s="265">
        <v>10</v>
      </c>
      <c r="G185" s="265">
        <v>0</v>
      </c>
      <c r="H185" s="265">
        <v>8</v>
      </c>
      <c r="I185" s="265">
        <v>8</v>
      </c>
      <c r="J185" s="265">
        <v>8</v>
      </c>
      <c r="K185" s="265">
        <v>8</v>
      </c>
      <c r="L185" s="265">
        <v>33</v>
      </c>
      <c r="M185" s="265">
        <v>0</v>
      </c>
      <c r="N185" s="265">
        <v>28</v>
      </c>
      <c r="O185" s="265">
        <v>30</v>
      </c>
      <c r="P185" s="265">
        <v>27</v>
      </c>
      <c r="Q185" s="265">
        <v>27</v>
      </c>
      <c r="R185" s="265">
        <v>3874</v>
      </c>
      <c r="S185" s="265">
        <v>3825</v>
      </c>
      <c r="T185" s="265">
        <v>2612</v>
      </c>
      <c r="U185" s="265">
        <v>3143</v>
      </c>
      <c r="V185" s="265">
        <v>3222</v>
      </c>
      <c r="W185" s="265">
        <v>3222</v>
      </c>
      <c r="X185" s="265">
        <v>10</v>
      </c>
      <c r="Y185" s="265">
        <v>33</v>
      </c>
      <c r="Z185" s="265">
        <v>3874</v>
      </c>
    </row>
    <row r="186" spans="1:26" x14ac:dyDescent="0.35">
      <c r="A186" s="267">
        <v>45630.493391805554</v>
      </c>
      <c r="B186" s="265" t="s">
        <v>168</v>
      </c>
      <c r="C186" s="265" t="s">
        <v>379</v>
      </c>
      <c r="D186" s="265" t="s">
        <v>49</v>
      </c>
      <c r="E186" s="265" t="s">
        <v>50</v>
      </c>
      <c r="F186" s="265">
        <v>7</v>
      </c>
      <c r="G186" s="265">
        <v>0</v>
      </c>
      <c r="H186" s="265">
        <v>5</v>
      </c>
      <c r="I186" s="265">
        <v>5</v>
      </c>
      <c r="J186" s="265">
        <v>6</v>
      </c>
      <c r="K186" s="265">
        <v>6</v>
      </c>
      <c r="L186" s="265">
        <v>21</v>
      </c>
      <c r="M186" s="265">
        <v>0</v>
      </c>
      <c r="N186" s="265">
        <v>14</v>
      </c>
      <c r="O186" s="265">
        <v>16</v>
      </c>
      <c r="P186" s="265">
        <v>18</v>
      </c>
      <c r="Q186" s="265">
        <v>18</v>
      </c>
      <c r="R186" s="265">
        <v>2240</v>
      </c>
      <c r="S186" s="265">
        <v>2181</v>
      </c>
      <c r="T186" s="265">
        <v>1703</v>
      </c>
      <c r="U186" s="265">
        <v>1922</v>
      </c>
      <c r="V186" s="265">
        <v>1852</v>
      </c>
      <c r="W186" s="265">
        <v>1852</v>
      </c>
      <c r="X186" s="265">
        <v>6</v>
      </c>
      <c r="Y186" s="265">
        <v>20</v>
      </c>
      <c r="Z186" s="265">
        <v>2240</v>
      </c>
    </row>
    <row r="187" spans="1:26" x14ac:dyDescent="0.35">
      <c r="A187" s="267">
        <v>45630.493391805554</v>
      </c>
      <c r="B187" s="265" t="s">
        <v>168</v>
      </c>
      <c r="C187" s="265" t="s">
        <v>241</v>
      </c>
      <c r="D187" s="265" t="s">
        <v>49</v>
      </c>
      <c r="E187" s="265" t="s">
        <v>50</v>
      </c>
      <c r="F187" s="265">
        <v>4</v>
      </c>
      <c r="G187" s="265">
        <v>0</v>
      </c>
      <c r="H187" s="265">
        <v>1</v>
      </c>
      <c r="I187" s="265">
        <v>1</v>
      </c>
      <c r="J187" s="265">
        <v>1</v>
      </c>
      <c r="K187" s="265">
        <v>1</v>
      </c>
      <c r="L187" s="265">
        <v>17</v>
      </c>
      <c r="M187" s="265">
        <v>0</v>
      </c>
      <c r="N187" s="265">
        <v>6</v>
      </c>
      <c r="O187" s="265">
        <v>6</v>
      </c>
      <c r="P187" s="265">
        <v>9</v>
      </c>
      <c r="Q187" s="265">
        <v>9</v>
      </c>
      <c r="R187" s="265">
        <v>1948</v>
      </c>
      <c r="S187" s="265">
        <v>1920</v>
      </c>
      <c r="T187" s="265">
        <v>1166</v>
      </c>
      <c r="U187" s="265">
        <v>1472</v>
      </c>
      <c r="V187" s="265">
        <v>1377</v>
      </c>
      <c r="W187" s="265">
        <v>1377</v>
      </c>
      <c r="X187" s="265">
        <v>4</v>
      </c>
      <c r="Y187" s="265">
        <v>17</v>
      </c>
      <c r="Z187" s="265">
        <v>1948</v>
      </c>
    </row>
    <row r="188" spans="1:26" x14ac:dyDescent="0.35">
      <c r="A188" s="267">
        <v>45630.493391805554</v>
      </c>
      <c r="B188" s="265" t="s">
        <v>168</v>
      </c>
      <c r="C188" s="265" t="s">
        <v>348</v>
      </c>
      <c r="D188" s="265" t="s">
        <v>49</v>
      </c>
      <c r="E188" s="265" t="s">
        <v>50</v>
      </c>
      <c r="F188" s="265">
        <v>1</v>
      </c>
      <c r="G188" s="265">
        <v>0</v>
      </c>
      <c r="H188" s="265">
        <v>1</v>
      </c>
      <c r="I188" s="265">
        <v>1</v>
      </c>
      <c r="J188" s="265">
        <v>1</v>
      </c>
      <c r="K188" s="265">
        <v>1</v>
      </c>
      <c r="L188" s="265">
        <v>5</v>
      </c>
      <c r="M188" s="265">
        <v>0</v>
      </c>
      <c r="N188" s="265">
        <v>3</v>
      </c>
      <c r="O188" s="265">
        <v>3</v>
      </c>
      <c r="P188" s="265">
        <v>2</v>
      </c>
      <c r="Q188" s="265">
        <v>2</v>
      </c>
      <c r="R188" s="265">
        <v>518</v>
      </c>
      <c r="S188" s="265">
        <v>498</v>
      </c>
      <c r="T188" s="265">
        <v>345</v>
      </c>
      <c r="U188" s="265">
        <v>398</v>
      </c>
      <c r="V188" s="265">
        <v>369</v>
      </c>
      <c r="W188" s="265">
        <v>374</v>
      </c>
      <c r="X188" s="265">
        <v>1</v>
      </c>
      <c r="Y188" s="265">
        <v>5</v>
      </c>
      <c r="Z188" s="265">
        <v>518</v>
      </c>
    </row>
    <row r="189" spans="1:26" x14ac:dyDescent="0.35">
      <c r="A189" s="267">
        <v>45630.493391805554</v>
      </c>
      <c r="B189" s="265" t="s">
        <v>168</v>
      </c>
      <c r="C189" s="265" t="s">
        <v>419</v>
      </c>
      <c r="D189" s="265" t="s">
        <v>49</v>
      </c>
      <c r="E189" s="265" t="s">
        <v>50</v>
      </c>
      <c r="F189" s="265">
        <v>2</v>
      </c>
      <c r="G189" s="265">
        <v>0</v>
      </c>
      <c r="H189" s="265">
        <v>2</v>
      </c>
      <c r="I189" s="265">
        <v>2</v>
      </c>
      <c r="J189" s="265">
        <v>2</v>
      </c>
      <c r="K189" s="265">
        <v>2</v>
      </c>
      <c r="L189" s="265">
        <v>6</v>
      </c>
      <c r="M189" s="265">
        <v>0</v>
      </c>
      <c r="N189" s="265">
        <v>2</v>
      </c>
      <c r="O189" s="265">
        <v>3</v>
      </c>
      <c r="P189" s="265">
        <v>5</v>
      </c>
      <c r="Q189" s="265">
        <v>5</v>
      </c>
      <c r="R189" s="265">
        <v>675</v>
      </c>
      <c r="S189" s="265">
        <v>658</v>
      </c>
      <c r="T189" s="265">
        <v>411</v>
      </c>
      <c r="U189" s="265">
        <v>490</v>
      </c>
      <c r="V189" s="265">
        <v>505</v>
      </c>
      <c r="W189" s="265">
        <v>505</v>
      </c>
      <c r="X189" s="265">
        <v>2</v>
      </c>
      <c r="Y189" s="265">
        <v>6</v>
      </c>
      <c r="Z189" s="265">
        <v>675</v>
      </c>
    </row>
    <row r="190" spans="1:26" x14ac:dyDescent="0.35">
      <c r="A190" s="267">
        <v>45630.493391805554</v>
      </c>
      <c r="B190" s="265" t="s">
        <v>168</v>
      </c>
      <c r="C190" s="265" t="s">
        <v>349</v>
      </c>
      <c r="D190" s="265" t="s">
        <v>49</v>
      </c>
      <c r="E190" s="265" t="s">
        <v>50</v>
      </c>
      <c r="F190" s="265">
        <v>2</v>
      </c>
      <c r="G190" s="265">
        <v>0</v>
      </c>
      <c r="H190" s="265">
        <v>2</v>
      </c>
      <c r="I190" s="265">
        <v>2</v>
      </c>
      <c r="J190" s="265">
        <v>2</v>
      </c>
      <c r="K190" s="265">
        <v>2</v>
      </c>
      <c r="L190" s="265">
        <v>6</v>
      </c>
      <c r="M190" s="265">
        <v>0</v>
      </c>
      <c r="N190" s="265">
        <v>5</v>
      </c>
      <c r="O190" s="265">
        <v>5</v>
      </c>
      <c r="P190" s="265">
        <v>5</v>
      </c>
      <c r="Q190" s="265">
        <v>5</v>
      </c>
      <c r="R190" s="265">
        <v>861</v>
      </c>
      <c r="S190" s="265">
        <v>840</v>
      </c>
      <c r="T190" s="265">
        <v>566</v>
      </c>
      <c r="U190" s="265">
        <v>660</v>
      </c>
      <c r="V190" s="265">
        <v>565</v>
      </c>
      <c r="W190" s="265">
        <v>565</v>
      </c>
      <c r="X190" s="265">
        <v>2</v>
      </c>
      <c r="Y190" s="265">
        <v>6</v>
      </c>
      <c r="Z190" s="265">
        <v>861</v>
      </c>
    </row>
    <row r="191" spans="1:26" x14ac:dyDescent="0.35">
      <c r="A191" s="267">
        <v>45630.493391805554</v>
      </c>
      <c r="B191" s="265" t="s">
        <v>168</v>
      </c>
      <c r="C191" s="265" t="s">
        <v>311</v>
      </c>
      <c r="D191" s="265" t="s">
        <v>49</v>
      </c>
      <c r="E191" s="265" t="s">
        <v>50</v>
      </c>
      <c r="F191" s="265">
        <v>5</v>
      </c>
      <c r="G191" s="265">
        <v>0</v>
      </c>
      <c r="H191" s="265">
        <v>1</v>
      </c>
      <c r="I191" s="265">
        <v>1</v>
      </c>
      <c r="J191" s="265">
        <v>2</v>
      </c>
      <c r="K191" s="265">
        <v>2</v>
      </c>
      <c r="L191" s="265">
        <v>18</v>
      </c>
      <c r="M191" s="265">
        <v>0</v>
      </c>
      <c r="N191" s="265">
        <v>12</v>
      </c>
      <c r="O191" s="265">
        <v>12</v>
      </c>
      <c r="P191" s="265">
        <v>10</v>
      </c>
      <c r="Q191" s="265">
        <v>10</v>
      </c>
      <c r="R191" s="265">
        <v>1504</v>
      </c>
      <c r="S191" s="265">
        <v>1488</v>
      </c>
      <c r="T191" s="265">
        <v>915</v>
      </c>
      <c r="U191" s="265">
        <v>1180</v>
      </c>
      <c r="V191" s="265">
        <v>1186</v>
      </c>
      <c r="W191" s="265">
        <v>1186</v>
      </c>
      <c r="X191" s="265">
        <v>5</v>
      </c>
      <c r="Y191" s="265">
        <v>19</v>
      </c>
      <c r="Z191" s="265">
        <v>1505</v>
      </c>
    </row>
    <row r="192" spans="1:26" x14ac:dyDescent="0.35">
      <c r="A192" s="267">
        <v>45630.493391805554</v>
      </c>
      <c r="B192" s="265" t="s">
        <v>168</v>
      </c>
      <c r="C192" s="265" t="s">
        <v>296</v>
      </c>
      <c r="D192" s="265" t="s">
        <v>49</v>
      </c>
      <c r="E192" s="265" t="s">
        <v>50</v>
      </c>
      <c r="F192" s="265">
        <v>4</v>
      </c>
      <c r="G192" s="265">
        <v>0</v>
      </c>
      <c r="H192" s="265">
        <v>3</v>
      </c>
      <c r="I192" s="265">
        <v>4</v>
      </c>
      <c r="J192" s="265">
        <v>4</v>
      </c>
      <c r="K192" s="265">
        <v>4</v>
      </c>
      <c r="L192" s="265">
        <v>11</v>
      </c>
      <c r="M192" s="265">
        <v>0</v>
      </c>
      <c r="N192" s="265">
        <v>10</v>
      </c>
      <c r="O192" s="265">
        <v>11</v>
      </c>
      <c r="P192" s="265">
        <v>11</v>
      </c>
      <c r="Q192" s="265">
        <v>11</v>
      </c>
      <c r="R192" s="265">
        <v>1396</v>
      </c>
      <c r="S192" s="265">
        <v>1380</v>
      </c>
      <c r="T192" s="265">
        <v>1031</v>
      </c>
      <c r="U192" s="265">
        <v>1178</v>
      </c>
      <c r="V192" s="265">
        <v>1071</v>
      </c>
      <c r="W192" s="265">
        <v>1071</v>
      </c>
      <c r="X192" s="265">
        <v>4</v>
      </c>
      <c r="Y192" s="265">
        <v>11</v>
      </c>
      <c r="Z192" s="265">
        <v>1396</v>
      </c>
    </row>
    <row r="193" spans="1:26" x14ac:dyDescent="0.35">
      <c r="A193" s="267">
        <v>45630.493391805554</v>
      </c>
      <c r="B193" s="265" t="s">
        <v>168</v>
      </c>
      <c r="C193" s="265" t="s">
        <v>247</v>
      </c>
      <c r="D193" s="265" t="s">
        <v>49</v>
      </c>
      <c r="E193" s="265" t="s">
        <v>50</v>
      </c>
      <c r="F193" s="265">
        <v>4</v>
      </c>
      <c r="G193" s="265">
        <v>0</v>
      </c>
      <c r="H193" s="265">
        <v>4</v>
      </c>
      <c r="I193" s="265">
        <v>4</v>
      </c>
      <c r="J193" s="265">
        <v>4</v>
      </c>
      <c r="K193" s="265">
        <v>4</v>
      </c>
      <c r="L193" s="265">
        <v>13</v>
      </c>
      <c r="M193" s="265">
        <v>0</v>
      </c>
      <c r="N193" s="265">
        <v>13</v>
      </c>
      <c r="O193" s="265">
        <v>13</v>
      </c>
      <c r="P193" s="265">
        <v>12</v>
      </c>
      <c r="Q193" s="265">
        <v>12</v>
      </c>
      <c r="R193" s="265">
        <v>1461</v>
      </c>
      <c r="S193" s="265">
        <v>1426</v>
      </c>
      <c r="T193" s="265">
        <v>938</v>
      </c>
      <c r="U193" s="265">
        <v>1135</v>
      </c>
      <c r="V193" s="265">
        <v>1115</v>
      </c>
      <c r="W193" s="265">
        <v>1116</v>
      </c>
      <c r="X193" s="265">
        <v>4</v>
      </c>
      <c r="Y193" s="265">
        <v>13</v>
      </c>
      <c r="Z193" s="265">
        <v>1462</v>
      </c>
    </row>
    <row r="194" spans="1:26" x14ac:dyDescent="0.35">
      <c r="A194" s="267">
        <v>45630.493391805554</v>
      </c>
      <c r="B194" s="265" t="s">
        <v>168</v>
      </c>
      <c r="C194" s="265" t="s">
        <v>370</v>
      </c>
      <c r="D194" s="265" t="s">
        <v>49</v>
      </c>
      <c r="E194" s="265" t="s">
        <v>50</v>
      </c>
      <c r="F194" s="265">
        <v>9</v>
      </c>
      <c r="G194" s="265">
        <v>0</v>
      </c>
      <c r="H194" s="265">
        <v>5</v>
      </c>
      <c r="I194" s="265">
        <v>6</v>
      </c>
      <c r="J194" s="265">
        <v>6</v>
      </c>
      <c r="K194" s="265">
        <v>6</v>
      </c>
      <c r="L194" s="265">
        <v>31</v>
      </c>
      <c r="M194" s="265">
        <v>0</v>
      </c>
      <c r="N194" s="265">
        <v>19</v>
      </c>
      <c r="O194" s="265">
        <v>24</v>
      </c>
      <c r="P194" s="265">
        <v>20</v>
      </c>
      <c r="Q194" s="265">
        <v>20</v>
      </c>
      <c r="R194" s="265">
        <v>3451</v>
      </c>
      <c r="S194" s="265">
        <v>3388</v>
      </c>
      <c r="T194" s="265">
        <v>2223</v>
      </c>
      <c r="U194" s="265">
        <v>2664</v>
      </c>
      <c r="V194" s="265">
        <v>2692</v>
      </c>
      <c r="W194" s="265">
        <v>2692</v>
      </c>
      <c r="X194" s="265">
        <v>9</v>
      </c>
      <c r="Y194" s="265">
        <v>29</v>
      </c>
      <c r="Z194" s="265">
        <v>3450</v>
      </c>
    </row>
    <row r="195" spans="1:26" x14ac:dyDescent="0.35">
      <c r="A195" s="267">
        <v>45630.493391805554</v>
      </c>
      <c r="B195" s="265" t="s">
        <v>168</v>
      </c>
      <c r="C195" s="265" t="s">
        <v>369</v>
      </c>
      <c r="D195" s="265" t="s">
        <v>49</v>
      </c>
      <c r="E195" s="265" t="s">
        <v>50</v>
      </c>
      <c r="F195" s="265">
        <v>3</v>
      </c>
      <c r="G195" s="265">
        <v>0</v>
      </c>
      <c r="H195" s="265">
        <v>3</v>
      </c>
      <c r="I195" s="265">
        <v>3</v>
      </c>
      <c r="J195" s="265">
        <v>3</v>
      </c>
      <c r="K195" s="265">
        <v>3</v>
      </c>
      <c r="L195" s="265">
        <v>9</v>
      </c>
      <c r="M195" s="265">
        <v>0</v>
      </c>
      <c r="N195" s="265">
        <v>8</v>
      </c>
      <c r="O195" s="265">
        <v>9</v>
      </c>
      <c r="P195" s="265">
        <v>9</v>
      </c>
      <c r="Q195" s="265">
        <v>9</v>
      </c>
      <c r="R195" s="265">
        <v>1015</v>
      </c>
      <c r="S195" s="265">
        <v>1012</v>
      </c>
      <c r="T195" s="265">
        <v>719</v>
      </c>
      <c r="U195" s="265">
        <v>861</v>
      </c>
      <c r="V195" s="265">
        <v>853</v>
      </c>
      <c r="W195" s="265">
        <v>855</v>
      </c>
      <c r="X195" s="265">
        <v>3</v>
      </c>
      <c r="Y195" s="265">
        <v>9</v>
      </c>
      <c r="Z195" s="265">
        <v>1015</v>
      </c>
    </row>
    <row r="196" spans="1:26" x14ac:dyDescent="0.35">
      <c r="A196" s="267">
        <v>45630.493391805554</v>
      </c>
      <c r="B196" s="265" t="s">
        <v>168</v>
      </c>
      <c r="C196" s="265" t="s">
        <v>229</v>
      </c>
      <c r="D196" s="265" t="s">
        <v>49</v>
      </c>
      <c r="E196" s="265" t="s">
        <v>50</v>
      </c>
      <c r="F196" s="265">
        <v>7</v>
      </c>
      <c r="G196" s="265">
        <v>0</v>
      </c>
      <c r="H196" s="265">
        <v>5</v>
      </c>
      <c r="I196" s="265">
        <v>6</v>
      </c>
      <c r="J196" s="265">
        <v>7</v>
      </c>
      <c r="K196" s="265">
        <v>7</v>
      </c>
      <c r="L196" s="265">
        <v>23</v>
      </c>
      <c r="M196" s="265">
        <v>0</v>
      </c>
      <c r="N196" s="265">
        <v>16</v>
      </c>
      <c r="O196" s="265">
        <v>18</v>
      </c>
      <c r="P196" s="265">
        <v>18</v>
      </c>
      <c r="Q196" s="265">
        <v>18</v>
      </c>
      <c r="R196" s="265">
        <v>2612</v>
      </c>
      <c r="S196" s="265">
        <v>2538</v>
      </c>
      <c r="T196" s="265">
        <v>1669</v>
      </c>
      <c r="U196" s="265">
        <v>2019</v>
      </c>
      <c r="V196" s="265">
        <v>1833</v>
      </c>
      <c r="W196" s="265">
        <v>1838</v>
      </c>
      <c r="X196" s="265">
        <v>7</v>
      </c>
      <c r="Y196" s="265">
        <v>23</v>
      </c>
      <c r="Z196" s="265">
        <v>2611</v>
      </c>
    </row>
    <row r="197" spans="1:26" x14ac:dyDescent="0.35">
      <c r="A197" s="267">
        <v>45630.493391805554</v>
      </c>
      <c r="B197" s="265" t="s">
        <v>168</v>
      </c>
      <c r="C197" s="265" t="s">
        <v>377</v>
      </c>
      <c r="D197" s="265" t="s">
        <v>49</v>
      </c>
      <c r="E197" s="265" t="s">
        <v>50</v>
      </c>
      <c r="F197" s="265">
        <v>2</v>
      </c>
      <c r="G197" s="265">
        <v>0</v>
      </c>
      <c r="H197" s="265">
        <v>1</v>
      </c>
      <c r="I197" s="265">
        <v>1</v>
      </c>
      <c r="J197" s="265">
        <v>1</v>
      </c>
      <c r="K197" s="265">
        <v>1</v>
      </c>
      <c r="L197" s="265">
        <v>6</v>
      </c>
      <c r="M197" s="265">
        <v>0</v>
      </c>
      <c r="N197" s="265">
        <v>4</v>
      </c>
      <c r="O197" s="265">
        <v>5</v>
      </c>
      <c r="P197" s="265">
        <v>5</v>
      </c>
      <c r="Q197" s="265">
        <v>5</v>
      </c>
      <c r="R197" s="265">
        <v>656</v>
      </c>
      <c r="S197" s="265">
        <v>629</v>
      </c>
      <c r="T197" s="265">
        <v>456</v>
      </c>
      <c r="U197" s="265">
        <v>534</v>
      </c>
      <c r="V197" s="265">
        <v>482</v>
      </c>
      <c r="W197" s="265">
        <v>482</v>
      </c>
      <c r="X197" s="265">
        <v>2</v>
      </c>
      <c r="Y197" s="265">
        <v>6</v>
      </c>
      <c r="Z197" s="265">
        <v>655</v>
      </c>
    </row>
    <row r="198" spans="1:26" x14ac:dyDescent="0.35">
      <c r="A198" s="267">
        <v>45630.493391805554</v>
      </c>
      <c r="B198" s="265" t="s">
        <v>168</v>
      </c>
      <c r="C198" s="265" t="s">
        <v>346</v>
      </c>
      <c r="D198" s="265" t="s">
        <v>49</v>
      </c>
      <c r="E198" s="265" t="s">
        <v>50</v>
      </c>
      <c r="F198" s="265">
        <v>2</v>
      </c>
      <c r="G198" s="265">
        <v>0</v>
      </c>
      <c r="H198" s="265">
        <v>1</v>
      </c>
      <c r="I198" s="265">
        <v>1</v>
      </c>
      <c r="J198" s="265">
        <v>1</v>
      </c>
      <c r="K198" s="265">
        <v>1</v>
      </c>
      <c r="L198" s="265">
        <v>7</v>
      </c>
      <c r="M198" s="265">
        <v>0</v>
      </c>
      <c r="N198" s="265">
        <v>5</v>
      </c>
      <c r="O198" s="265">
        <v>6</v>
      </c>
      <c r="P198" s="265">
        <v>6</v>
      </c>
      <c r="Q198" s="265">
        <v>6</v>
      </c>
      <c r="R198" s="265">
        <v>1061</v>
      </c>
      <c r="S198" s="265">
        <v>1045</v>
      </c>
      <c r="T198" s="265">
        <v>731</v>
      </c>
      <c r="U198" s="265">
        <v>880</v>
      </c>
      <c r="V198" s="265">
        <v>867</v>
      </c>
      <c r="W198" s="265">
        <v>867</v>
      </c>
      <c r="X198" s="265">
        <v>2</v>
      </c>
      <c r="Y198" s="265">
        <v>7</v>
      </c>
      <c r="Z198" s="265">
        <v>1060</v>
      </c>
    </row>
    <row r="199" spans="1:26" x14ac:dyDescent="0.35">
      <c r="A199" s="267">
        <v>45630.493391805554</v>
      </c>
      <c r="B199" s="265" t="s">
        <v>168</v>
      </c>
      <c r="C199" s="265" t="s">
        <v>251</v>
      </c>
      <c r="D199" s="265" t="s">
        <v>49</v>
      </c>
      <c r="E199" s="265" t="s">
        <v>50</v>
      </c>
      <c r="F199" s="265">
        <v>0</v>
      </c>
      <c r="G199" s="265">
        <v>0</v>
      </c>
      <c r="H199" s="265">
        <v>0</v>
      </c>
      <c r="I199" s="265">
        <v>0</v>
      </c>
      <c r="J199" s="265">
        <v>0</v>
      </c>
      <c r="K199" s="265">
        <v>0</v>
      </c>
      <c r="L199" s="265">
        <v>1</v>
      </c>
      <c r="M199" s="265">
        <v>0</v>
      </c>
      <c r="N199" s="265">
        <v>0</v>
      </c>
      <c r="O199" s="265">
        <v>0</v>
      </c>
      <c r="P199" s="265">
        <v>0</v>
      </c>
      <c r="Q199" s="265">
        <v>0</v>
      </c>
      <c r="R199" s="265">
        <v>246</v>
      </c>
      <c r="S199" s="265">
        <v>240</v>
      </c>
      <c r="T199" s="265">
        <v>196</v>
      </c>
      <c r="U199" s="265">
        <v>213</v>
      </c>
      <c r="V199" s="265">
        <v>192</v>
      </c>
      <c r="W199" s="265">
        <v>192</v>
      </c>
      <c r="X199" s="265">
        <v>0</v>
      </c>
      <c r="Y199" s="265">
        <v>1</v>
      </c>
      <c r="Z199" s="265">
        <v>246</v>
      </c>
    </row>
    <row r="200" spans="1:26" x14ac:dyDescent="0.35">
      <c r="A200" s="267">
        <v>45630.493391805554</v>
      </c>
      <c r="B200" s="265" t="s">
        <v>168</v>
      </c>
      <c r="C200" s="265" t="s">
        <v>415</v>
      </c>
      <c r="D200" s="265" t="s">
        <v>49</v>
      </c>
      <c r="E200" s="265" t="s">
        <v>50</v>
      </c>
      <c r="F200" s="265">
        <v>4</v>
      </c>
      <c r="G200" s="265">
        <v>0</v>
      </c>
      <c r="H200" s="265">
        <v>2</v>
      </c>
      <c r="I200" s="265">
        <v>3</v>
      </c>
      <c r="J200" s="265">
        <v>3</v>
      </c>
      <c r="K200" s="265">
        <v>3</v>
      </c>
      <c r="L200" s="265">
        <v>15</v>
      </c>
      <c r="M200" s="265">
        <v>0</v>
      </c>
      <c r="N200" s="265">
        <v>6</v>
      </c>
      <c r="O200" s="265">
        <v>9</v>
      </c>
      <c r="P200" s="265">
        <v>8</v>
      </c>
      <c r="Q200" s="265">
        <v>8</v>
      </c>
      <c r="R200" s="265">
        <v>1605</v>
      </c>
      <c r="S200" s="265">
        <v>1573</v>
      </c>
      <c r="T200" s="265">
        <v>1044</v>
      </c>
      <c r="U200" s="265">
        <v>1248</v>
      </c>
      <c r="V200" s="265">
        <v>1232</v>
      </c>
      <c r="W200" s="265">
        <v>1232</v>
      </c>
      <c r="X200" s="265">
        <v>4</v>
      </c>
      <c r="Y200" s="265">
        <v>15</v>
      </c>
      <c r="Z200" s="265">
        <v>1606</v>
      </c>
    </row>
    <row r="201" spans="1:26" x14ac:dyDescent="0.35">
      <c r="A201" s="267">
        <v>45630.493391805554</v>
      </c>
      <c r="B201" s="265" t="s">
        <v>168</v>
      </c>
      <c r="C201" s="265" t="s">
        <v>301</v>
      </c>
      <c r="D201" s="265" t="s">
        <v>49</v>
      </c>
      <c r="E201" s="265" t="s">
        <v>50</v>
      </c>
      <c r="F201" s="265">
        <v>2</v>
      </c>
      <c r="G201" s="265">
        <v>0</v>
      </c>
      <c r="H201" s="265">
        <v>2</v>
      </c>
      <c r="I201" s="265">
        <v>2</v>
      </c>
      <c r="J201" s="265">
        <v>2</v>
      </c>
      <c r="K201" s="265">
        <v>2</v>
      </c>
      <c r="L201" s="265">
        <v>8</v>
      </c>
      <c r="M201" s="265">
        <v>0</v>
      </c>
      <c r="N201" s="265">
        <v>5</v>
      </c>
      <c r="O201" s="265">
        <v>5</v>
      </c>
      <c r="P201" s="265">
        <v>6</v>
      </c>
      <c r="Q201" s="265">
        <v>6</v>
      </c>
      <c r="R201" s="265">
        <v>885</v>
      </c>
      <c r="S201" s="265">
        <v>866</v>
      </c>
      <c r="T201" s="265">
        <v>590</v>
      </c>
      <c r="U201" s="265">
        <v>720</v>
      </c>
      <c r="V201" s="265">
        <v>676</v>
      </c>
      <c r="W201" s="265">
        <v>676</v>
      </c>
      <c r="X201" s="265">
        <v>2</v>
      </c>
      <c r="Y201" s="265">
        <v>8</v>
      </c>
      <c r="Z201" s="265">
        <v>885</v>
      </c>
    </row>
    <row r="202" spans="1:26" x14ac:dyDescent="0.35">
      <c r="A202" s="267">
        <v>45630.493391805554</v>
      </c>
      <c r="B202" s="265" t="s">
        <v>168</v>
      </c>
      <c r="C202" s="265" t="s">
        <v>368</v>
      </c>
      <c r="D202" s="265" t="s">
        <v>49</v>
      </c>
      <c r="E202" s="265" t="s">
        <v>50</v>
      </c>
      <c r="F202" s="265">
        <v>4</v>
      </c>
      <c r="G202" s="265">
        <v>0</v>
      </c>
      <c r="H202" s="265">
        <v>4</v>
      </c>
      <c r="I202" s="265">
        <v>4</v>
      </c>
      <c r="J202" s="265">
        <v>4</v>
      </c>
      <c r="K202" s="265">
        <v>4</v>
      </c>
      <c r="L202" s="265">
        <v>12</v>
      </c>
      <c r="M202" s="265">
        <v>0</v>
      </c>
      <c r="N202" s="265">
        <v>7</v>
      </c>
      <c r="O202" s="265">
        <v>9</v>
      </c>
      <c r="P202" s="265">
        <v>6</v>
      </c>
      <c r="Q202" s="265">
        <v>6</v>
      </c>
      <c r="R202" s="265">
        <v>1135</v>
      </c>
      <c r="S202" s="265">
        <v>1111</v>
      </c>
      <c r="T202" s="265">
        <v>747</v>
      </c>
      <c r="U202" s="265">
        <v>904</v>
      </c>
      <c r="V202" s="265">
        <v>839</v>
      </c>
      <c r="W202" s="265">
        <v>839</v>
      </c>
      <c r="X202" s="265">
        <v>4</v>
      </c>
      <c r="Y202" s="265">
        <v>12</v>
      </c>
      <c r="Z202" s="265">
        <v>1135</v>
      </c>
    </row>
    <row r="203" spans="1:26" x14ac:dyDescent="0.35">
      <c r="A203" s="267">
        <v>45630.493391805554</v>
      </c>
      <c r="B203" s="265" t="s">
        <v>167</v>
      </c>
      <c r="C203" s="265" t="s">
        <v>472</v>
      </c>
      <c r="D203" s="265" t="s">
        <v>49</v>
      </c>
      <c r="E203" s="265" t="s">
        <v>50</v>
      </c>
      <c r="F203" s="265">
        <v>0</v>
      </c>
      <c r="G203" s="265">
        <v>0</v>
      </c>
      <c r="H203" s="265">
        <v>0</v>
      </c>
      <c r="I203" s="265">
        <v>0</v>
      </c>
      <c r="J203" s="265">
        <v>0</v>
      </c>
      <c r="K203" s="265">
        <v>0</v>
      </c>
      <c r="L203" s="265">
        <v>0</v>
      </c>
      <c r="M203" s="265">
        <v>0</v>
      </c>
      <c r="N203" s="265">
        <v>0</v>
      </c>
      <c r="O203" s="265">
        <v>0</v>
      </c>
      <c r="P203" s="265">
        <v>0</v>
      </c>
      <c r="Q203" s="265">
        <v>0</v>
      </c>
      <c r="R203" s="265">
        <v>17</v>
      </c>
      <c r="S203" s="265">
        <v>16</v>
      </c>
      <c r="T203" s="265">
        <v>9</v>
      </c>
      <c r="U203" s="265">
        <v>12</v>
      </c>
      <c r="V203" s="265">
        <v>13</v>
      </c>
      <c r="W203" s="265">
        <v>13</v>
      </c>
      <c r="X203" s="265">
        <v>0</v>
      </c>
      <c r="Y203" s="265">
        <v>0</v>
      </c>
      <c r="Z203" s="265">
        <v>16</v>
      </c>
    </row>
    <row r="204" spans="1:26" x14ac:dyDescent="0.35">
      <c r="A204" s="267">
        <v>45630.493391805554</v>
      </c>
      <c r="B204" s="265" t="s">
        <v>167</v>
      </c>
      <c r="C204" s="265" t="s">
        <v>334</v>
      </c>
      <c r="D204" s="265" t="s">
        <v>49</v>
      </c>
      <c r="E204" s="265" t="s">
        <v>50</v>
      </c>
      <c r="F204" s="265">
        <v>0</v>
      </c>
      <c r="G204" s="265">
        <v>0</v>
      </c>
      <c r="H204" s="265">
        <v>0</v>
      </c>
      <c r="I204" s="265">
        <v>0</v>
      </c>
      <c r="J204" s="265">
        <v>0</v>
      </c>
      <c r="K204" s="265">
        <v>0</v>
      </c>
      <c r="L204" s="265">
        <v>0</v>
      </c>
      <c r="M204" s="265">
        <v>0</v>
      </c>
      <c r="N204" s="265">
        <v>0</v>
      </c>
      <c r="O204" s="265">
        <v>0</v>
      </c>
      <c r="P204" s="265">
        <v>0</v>
      </c>
      <c r="Q204" s="265">
        <v>0</v>
      </c>
      <c r="R204" s="265">
        <v>181</v>
      </c>
      <c r="S204" s="265">
        <v>175</v>
      </c>
      <c r="T204" s="265">
        <v>106</v>
      </c>
      <c r="U204" s="265">
        <v>129</v>
      </c>
      <c r="V204" s="265">
        <v>125</v>
      </c>
      <c r="W204" s="265">
        <v>125</v>
      </c>
      <c r="X204" s="265">
        <v>0</v>
      </c>
      <c r="Y204" s="265">
        <v>0</v>
      </c>
      <c r="Z204" s="265">
        <v>180</v>
      </c>
    </row>
    <row r="205" spans="1:26" x14ac:dyDescent="0.35">
      <c r="A205" s="267">
        <v>45630.493391805554</v>
      </c>
      <c r="B205" s="265" t="s">
        <v>168</v>
      </c>
      <c r="C205" s="265" t="s">
        <v>417</v>
      </c>
      <c r="D205" s="265" t="s">
        <v>49</v>
      </c>
      <c r="E205" s="265" t="s">
        <v>50</v>
      </c>
      <c r="F205" s="265">
        <v>3</v>
      </c>
      <c r="G205" s="265">
        <v>0</v>
      </c>
      <c r="H205" s="265">
        <v>2</v>
      </c>
      <c r="I205" s="265">
        <v>3</v>
      </c>
      <c r="J205" s="265">
        <v>3</v>
      </c>
      <c r="K205" s="265">
        <v>3</v>
      </c>
      <c r="L205" s="265">
        <v>10</v>
      </c>
      <c r="M205" s="265">
        <v>0</v>
      </c>
      <c r="N205" s="265">
        <v>5</v>
      </c>
      <c r="O205" s="265">
        <v>7</v>
      </c>
      <c r="P205" s="265">
        <v>6</v>
      </c>
      <c r="Q205" s="265">
        <v>6</v>
      </c>
      <c r="R205" s="265">
        <v>980</v>
      </c>
      <c r="S205" s="265">
        <v>964</v>
      </c>
      <c r="T205" s="265">
        <v>561</v>
      </c>
      <c r="U205" s="265">
        <v>750</v>
      </c>
      <c r="V205" s="265">
        <v>698</v>
      </c>
      <c r="W205" s="265">
        <v>698</v>
      </c>
      <c r="X205" s="265">
        <v>3</v>
      </c>
      <c r="Y205" s="265">
        <v>10</v>
      </c>
      <c r="Z205" s="265">
        <v>980</v>
      </c>
    </row>
    <row r="206" spans="1:26" x14ac:dyDescent="0.35">
      <c r="A206" s="267">
        <v>45630.493391805554</v>
      </c>
      <c r="B206" s="265" t="s">
        <v>168</v>
      </c>
      <c r="C206" s="265" t="s">
        <v>274</v>
      </c>
      <c r="D206" s="265" t="s">
        <v>49</v>
      </c>
      <c r="E206" s="265" t="s">
        <v>50</v>
      </c>
      <c r="F206" s="265">
        <v>2</v>
      </c>
      <c r="G206" s="265">
        <v>0</v>
      </c>
      <c r="H206" s="265">
        <v>2</v>
      </c>
      <c r="I206" s="265">
        <v>2</v>
      </c>
      <c r="J206" s="265">
        <v>1</v>
      </c>
      <c r="K206" s="265">
        <v>1</v>
      </c>
      <c r="L206" s="265">
        <v>6</v>
      </c>
      <c r="M206" s="265">
        <v>0</v>
      </c>
      <c r="N206" s="265">
        <v>4</v>
      </c>
      <c r="O206" s="265">
        <v>5</v>
      </c>
      <c r="P206" s="265">
        <v>1</v>
      </c>
      <c r="Q206" s="265">
        <v>1</v>
      </c>
      <c r="R206" s="265">
        <v>676</v>
      </c>
      <c r="S206" s="265">
        <v>662</v>
      </c>
      <c r="T206" s="265">
        <v>397</v>
      </c>
      <c r="U206" s="265">
        <v>480</v>
      </c>
      <c r="V206" s="265">
        <v>485</v>
      </c>
      <c r="W206" s="265">
        <v>485</v>
      </c>
      <c r="X206" s="265">
        <v>2</v>
      </c>
      <c r="Y206" s="265">
        <v>6</v>
      </c>
      <c r="Z206" s="265">
        <v>677</v>
      </c>
    </row>
    <row r="207" spans="1:26" x14ac:dyDescent="0.35">
      <c r="A207" s="267">
        <v>45630.493391805554</v>
      </c>
      <c r="B207" s="265" t="s">
        <v>168</v>
      </c>
      <c r="C207" s="265" t="s">
        <v>290</v>
      </c>
      <c r="D207" s="265" t="s">
        <v>49</v>
      </c>
      <c r="E207" s="265" t="s">
        <v>50</v>
      </c>
      <c r="F207" s="265">
        <v>2</v>
      </c>
      <c r="G207" s="265">
        <v>0</v>
      </c>
      <c r="H207" s="265">
        <v>2</v>
      </c>
      <c r="I207" s="265">
        <v>2</v>
      </c>
      <c r="J207" s="265">
        <v>2</v>
      </c>
      <c r="K207" s="265">
        <v>2</v>
      </c>
      <c r="L207" s="265">
        <v>7</v>
      </c>
      <c r="M207" s="265">
        <v>0</v>
      </c>
      <c r="N207" s="265">
        <v>5</v>
      </c>
      <c r="O207" s="265">
        <v>7</v>
      </c>
      <c r="P207" s="265">
        <v>7</v>
      </c>
      <c r="Q207" s="265">
        <v>7</v>
      </c>
      <c r="R207" s="265">
        <v>797</v>
      </c>
      <c r="S207" s="265">
        <v>773</v>
      </c>
      <c r="T207" s="265">
        <v>534</v>
      </c>
      <c r="U207" s="265">
        <v>628</v>
      </c>
      <c r="V207" s="265">
        <v>656</v>
      </c>
      <c r="W207" s="265">
        <v>656</v>
      </c>
      <c r="X207" s="265">
        <v>2</v>
      </c>
      <c r="Y207" s="265">
        <v>7</v>
      </c>
      <c r="Z207" s="265">
        <v>797</v>
      </c>
    </row>
    <row r="208" spans="1:26" x14ac:dyDescent="0.35">
      <c r="A208" s="267">
        <v>45630.493391805554</v>
      </c>
      <c r="B208" s="265" t="s">
        <v>168</v>
      </c>
      <c r="C208" s="265" t="s">
        <v>396</v>
      </c>
      <c r="D208" s="265" t="s">
        <v>49</v>
      </c>
      <c r="E208" s="265" t="s">
        <v>50</v>
      </c>
      <c r="F208" s="265">
        <v>4</v>
      </c>
      <c r="G208" s="265">
        <v>0</v>
      </c>
      <c r="H208" s="265">
        <v>5</v>
      </c>
      <c r="I208" s="265">
        <v>5</v>
      </c>
      <c r="J208" s="265">
        <v>3</v>
      </c>
      <c r="K208" s="265">
        <v>3</v>
      </c>
      <c r="L208" s="265">
        <v>19</v>
      </c>
      <c r="M208" s="265">
        <v>0</v>
      </c>
      <c r="N208" s="265">
        <v>11</v>
      </c>
      <c r="O208" s="265">
        <v>16</v>
      </c>
      <c r="P208" s="265">
        <v>13</v>
      </c>
      <c r="Q208" s="265">
        <v>13</v>
      </c>
      <c r="R208" s="265">
        <v>1293</v>
      </c>
      <c r="S208" s="265">
        <v>1273</v>
      </c>
      <c r="T208" s="265">
        <v>799</v>
      </c>
      <c r="U208" s="265">
        <v>992</v>
      </c>
      <c r="V208" s="265">
        <v>928</v>
      </c>
      <c r="W208" s="265">
        <v>928</v>
      </c>
      <c r="X208" s="265">
        <v>6</v>
      </c>
      <c r="Y208" s="265">
        <v>20</v>
      </c>
      <c r="Z208" s="265">
        <v>1295</v>
      </c>
    </row>
    <row r="209" spans="1:26" x14ac:dyDescent="0.35">
      <c r="A209" s="267">
        <v>45630.493391805554</v>
      </c>
      <c r="B209" s="265" t="s">
        <v>168</v>
      </c>
      <c r="C209" s="265" t="s">
        <v>314</v>
      </c>
      <c r="D209" s="265" t="s">
        <v>49</v>
      </c>
      <c r="E209" s="265" t="s">
        <v>50</v>
      </c>
      <c r="F209" s="265">
        <v>6</v>
      </c>
      <c r="G209" s="265">
        <v>0</v>
      </c>
      <c r="H209" s="265">
        <v>4</v>
      </c>
      <c r="I209" s="265">
        <v>5</v>
      </c>
      <c r="J209" s="265">
        <v>6</v>
      </c>
      <c r="K209" s="265">
        <v>6</v>
      </c>
      <c r="L209" s="265">
        <v>19</v>
      </c>
      <c r="M209" s="265">
        <v>0</v>
      </c>
      <c r="N209" s="265">
        <v>10</v>
      </c>
      <c r="O209" s="265">
        <v>14</v>
      </c>
      <c r="P209" s="265">
        <v>16</v>
      </c>
      <c r="Q209" s="265">
        <v>16</v>
      </c>
      <c r="R209" s="265">
        <v>1556</v>
      </c>
      <c r="S209" s="265">
        <v>1519</v>
      </c>
      <c r="T209" s="265">
        <v>991</v>
      </c>
      <c r="U209" s="265">
        <v>1198</v>
      </c>
      <c r="V209" s="265">
        <v>1220</v>
      </c>
      <c r="W209" s="265">
        <v>1220</v>
      </c>
      <c r="X209" s="265">
        <v>6</v>
      </c>
      <c r="Y209" s="265">
        <v>19</v>
      </c>
      <c r="Z209" s="265">
        <v>1558</v>
      </c>
    </row>
    <row r="210" spans="1:26" x14ac:dyDescent="0.35">
      <c r="A210" s="267">
        <v>45630.493391805554</v>
      </c>
      <c r="B210" s="265" t="s">
        <v>167</v>
      </c>
      <c r="C210" s="265" t="s">
        <v>500</v>
      </c>
      <c r="D210" s="265" t="s">
        <v>49</v>
      </c>
      <c r="E210" s="265" t="s">
        <v>50</v>
      </c>
      <c r="F210" s="265">
        <v>0</v>
      </c>
      <c r="G210" s="265">
        <v>0</v>
      </c>
      <c r="H210" s="265">
        <v>0</v>
      </c>
      <c r="I210" s="265">
        <v>0</v>
      </c>
      <c r="J210" s="265">
        <v>0</v>
      </c>
      <c r="K210" s="265">
        <v>0</v>
      </c>
      <c r="L210" s="265">
        <v>0</v>
      </c>
      <c r="M210" s="265">
        <v>0</v>
      </c>
      <c r="N210" s="265">
        <v>0</v>
      </c>
      <c r="O210" s="265">
        <v>0</v>
      </c>
      <c r="P210" s="265">
        <v>0</v>
      </c>
      <c r="Q210" s="265">
        <v>0</v>
      </c>
      <c r="R210" s="265">
        <v>45</v>
      </c>
      <c r="S210" s="265">
        <v>45</v>
      </c>
      <c r="T210" s="265">
        <v>22</v>
      </c>
      <c r="U210" s="265">
        <v>37</v>
      </c>
      <c r="V210" s="265">
        <v>39</v>
      </c>
      <c r="W210" s="265">
        <v>39</v>
      </c>
      <c r="X210" s="265">
        <v>0</v>
      </c>
      <c r="Y210" s="265">
        <v>0</v>
      </c>
      <c r="Z210" s="265">
        <v>45</v>
      </c>
    </row>
    <row r="211" spans="1:26" x14ac:dyDescent="0.35">
      <c r="A211" s="267">
        <v>45630.493391805554</v>
      </c>
      <c r="B211" s="265" t="s">
        <v>168</v>
      </c>
      <c r="C211" s="265" t="s">
        <v>433</v>
      </c>
      <c r="D211" s="265" t="s">
        <v>49</v>
      </c>
      <c r="E211" s="265" t="s">
        <v>50</v>
      </c>
      <c r="F211" s="265">
        <v>1</v>
      </c>
      <c r="G211" s="265">
        <v>0</v>
      </c>
      <c r="H211" s="265">
        <v>2</v>
      </c>
      <c r="I211" s="265">
        <v>2</v>
      </c>
      <c r="J211" s="265">
        <v>1</v>
      </c>
      <c r="K211" s="265">
        <v>1</v>
      </c>
      <c r="L211" s="265">
        <v>5</v>
      </c>
      <c r="M211" s="265">
        <v>0</v>
      </c>
      <c r="N211" s="265">
        <v>4</v>
      </c>
      <c r="O211" s="265">
        <v>5</v>
      </c>
      <c r="P211" s="265">
        <v>4</v>
      </c>
      <c r="Q211" s="265">
        <v>4</v>
      </c>
      <c r="R211" s="265">
        <v>698</v>
      </c>
      <c r="S211" s="265">
        <v>687</v>
      </c>
      <c r="T211" s="265">
        <v>463</v>
      </c>
      <c r="U211" s="265">
        <v>562</v>
      </c>
      <c r="V211" s="265">
        <v>536</v>
      </c>
      <c r="W211" s="265">
        <v>536</v>
      </c>
      <c r="X211" s="265">
        <v>2</v>
      </c>
      <c r="Y211" s="265">
        <v>6</v>
      </c>
      <c r="Z211" s="265">
        <v>699</v>
      </c>
    </row>
    <row r="212" spans="1:26" x14ac:dyDescent="0.35">
      <c r="A212" s="267">
        <v>45630.493391805554</v>
      </c>
      <c r="B212" s="265" t="s">
        <v>168</v>
      </c>
      <c r="C212" s="265" t="s">
        <v>293</v>
      </c>
      <c r="D212" s="265" t="s">
        <v>49</v>
      </c>
      <c r="E212" s="265" t="s">
        <v>50</v>
      </c>
      <c r="F212" s="265">
        <v>1</v>
      </c>
      <c r="G212" s="265">
        <v>0</v>
      </c>
      <c r="H212" s="265">
        <v>1</v>
      </c>
      <c r="I212" s="265">
        <v>1</v>
      </c>
      <c r="J212" s="265">
        <v>1</v>
      </c>
      <c r="K212" s="265">
        <v>1</v>
      </c>
      <c r="L212" s="265">
        <v>5</v>
      </c>
      <c r="M212" s="265">
        <v>0</v>
      </c>
      <c r="N212" s="265">
        <v>3</v>
      </c>
      <c r="O212" s="265">
        <v>3</v>
      </c>
      <c r="P212" s="265">
        <v>3</v>
      </c>
      <c r="Q212" s="265">
        <v>3</v>
      </c>
      <c r="R212" s="265">
        <v>825</v>
      </c>
      <c r="S212" s="265">
        <v>787</v>
      </c>
      <c r="T212" s="265">
        <v>470</v>
      </c>
      <c r="U212" s="265">
        <v>617</v>
      </c>
      <c r="V212" s="265">
        <v>601</v>
      </c>
      <c r="W212" s="265">
        <v>601</v>
      </c>
      <c r="X212" s="265">
        <v>1</v>
      </c>
      <c r="Y212" s="265">
        <v>5</v>
      </c>
      <c r="Z212" s="265">
        <v>825</v>
      </c>
    </row>
    <row r="213" spans="1:26" x14ac:dyDescent="0.35">
      <c r="A213" s="267">
        <v>45630.493391805554</v>
      </c>
      <c r="B213" s="265" t="s">
        <v>168</v>
      </c>
      <c r="C213" s="265" t="s">
        <v>248</v>
      </c>
      <c r="D213" s="265" t="s">
        <v>49</v>
      </c>
      <c r="E213" s="265" t="s">
        <v>50</v>
      </c>
      <c r="F213" s="265">
        <v>10</v>
      </c>
      <c r="G213" s="265">
        <v>0</v>
      </c>
      <c r="H213" s="265">
        <v>7</v>
      </c>
      <c r="I213" s="265">
        <v>7</v>
      </c>
      <c r="J213" s="265">
        <v>7</v>
      </c>
      <c r="K213" s="265">
        <v>7</v>
      </c>
      <c r="L213" s="265">
        <v>31</v>
      </c>
      <c r="M213" s="265">
        <v>0</v>
      </c>
      <c r="N213" s="265">
        <v>22</v>
      </c>
      <c r="O213" s="265">
        <v>24</v>
      </c>
      <c r="P213" s="265">
        <v>17</v>
      </c>
      <c r="Q213" s="265">
        <v>17</v>
      </c>
      <c r="R213" s="265">
        <v>2823</v>
      </c>
      <c r="S213" s="265">
        <v>2775</v>
      </c>
      <c r="T213" s="265">
        <v>1795</v>
      </c>
      <c r="U213" s="265">
        <v>2151</v>
      </c>
      <c r="V213" s="265">
        <v>1998</v>
      </c>
      <c r="W213" s="265">
        <v>1998</v>
      </c>
      <c r="X213" s="265">
        <v>9</v>
      </c>
      <c r="Y213" s="265">
        <v>31</v>
      </c>
      <c r="Z213" s="265">
        <v>2825</v>
      </c>
    </row>
    <row r="214" spans="1:26" x14ac:dyDescent="0.35">
      <c r="A214" s="267">
        <v>45630.493391805554</v>
      </c>
      <c r="B214" s="265" t="s">
        <v>168</v>
      </c>
      <c r="C214" s="265" t="s">
        <v>260</v>
      </c>
      <c r="D214" s="265" t="s">
        <v>49</v>
      </c>
      <c r="E214" s="265" t="s">
        <v>50</v>
      </c>
      <c r="F214" s="265">
        <v>3</v>
      </c>
      <c r="G214" s="265">
        <v>0</v>
      </c>
      <c r="H214" s="265">
        <v>2</v>
      </c>
      <c r="I214" s="265">
        <v>3</v>
      </c>
      <c r="J214" s="265">
        <v>3</v>
      </c>
      <c r="K214" s="265">
        <v>3</v>
      </c>
      <c r="L214" s="265">
        <v>9</v>
      </c>
      <c r="M214" s="265">
        <v>0</v>
      </c>
      <c r="N214" s="265">
        <v>6</v>
      </c>
      <c r="O214" s="265">
        <v>7</v>
      </c>
      <c r="P214" s="265">
        <v>8</v>
      </c>
      <c r="Q214" s="265">
        <v>8</v>
      </c>
      <c r="R214" s="265">
        <v>709</v>
      </c>
      <c r="S214" s="265">
        <v>702</v>
      </c>
      <c r="T214" s="265">
        <v>446</v>
      </c>
      <c r="U214" s="265">
        <v>567</v>
      </c>
      <c r="V214" s="265">
        <v>605</v>
      </c>
      <c r="W214" s="265">
        <v>605</v>
      </c>
      <c r="X214" s="265">
        <v>3</v>
      </c>
      <c r="Y214" s="265">
        <v>9</v>
      </c>
      <c r="Z214" s="265">
        <v>709</v>
      </c>
    </row>
    <row r="215" spans="1:26" x14ac:dyDescent="0.35">
      <c r="A215" s="267">
        <v>45630.493391805554</v>
      </c>
      <c r="B215" s="265" t="s">
        <v>168</v>
      </c>
      <c r="C215" s="265" t="s">
        <v>315</v>
      </c>
      <c r="D215" s="265" t="s">
        <v>49</v>
      </c>
      <c r="E215" s="265" t="s">
        <v>50</v>
      </c>
      <c r="F215" s="265">
        <v>2</v>
      </c>
      <c r="G215" s="265">
        <v>0</v>
      </c>
      <c r="H215" s="265">
        <v>2</v>
      </c>
      <c r="I215" s="265">
        <v>2</v>
      </c>
      <c r="J215" s="265">
        <v>2</v>
      </c>
      <c r="K215" s="265">
        <v>2</v>
      </c>
      <c r="L215" s="265">
        <v>6</v>
      </c>
      <c r="M215" s="265">
        <v>0</v>
      </c>
      <c r="N215" s="265">
        <v>2</v>
      </c>
      <c r="O215" s="265">
        <v>4</v>
      </c>
      <c r="P215" s="265">
        <v>3</v>
      </c>
      <c r="Q215" s="265">
        <v>3</v>
      </c>
      <c r="R215" s="265">
        <v>619</v>
      </c>
      <c r="S215" s="265">
        <v>603</v>
      </c>
      <c r="T215" s="265">
        <v>439</v>
      </c>
      <c r="U215" s="265">
        <v>511</v>
      </c>
      <c r="V215" s="265">
        <v>529</v>
      </c>
      <c r="W215" s="265">
        <v>529</v>
      </c>
      <c r="X215" s="265">
        <v>2</v>
      </c>
      <c r="Y215" s="265">
        <v>6</v>
      </c>
      <c r="Z215" s="265">
        <v>619</v>
      </c>
    </row>
    <row r="216" spans="1:26" x14ac:dyDescent="0.35">
      <c r="A216" s="107">
        <v>45630.493391805554</v>
      </c>
      <c r="B216" t="s">
        <v>168</v>
      </c>
      <c r="C216" t="s">
        <v>413</v>
      </c>
      <c r="D216" t="s">
        <v>49</v>
      </c>
      <c r="E216" t="s">
        <v>50</v>
      </c>
      <c r="F216">
        <v>7</v>
      </c>
      <c r="G216">
        <v>0</v>
      </c>
      <c r="H216">
        <v>4</v>
      </c>
      <c r="I216">
        <v>6</v>
      </c>
      <c r="J216">
        <v>5</v>
      </c>
      <c r="K216">
        <v>5</v>
      </c>
      <c r="L216">
        <v>20</v>
      </c>
      <c r="M216">
        <v>0</v>
      </c>
      <c r="N216">
        <v>11</v>
      </c>
      <c r="O216">
        <v>15</v>
      </c>
      <c r="P216">
        <v>12</v>
      </c>
      <c r="Q216">
        <v>12</v>
      </c>
      <c r="R216" s="3">
        <v>1584</v>
      </c>
      <c r="S216" s="3">
        <v>1548</v>
      </c>
      <c r="T216">
        <v>1097</v>
      </c>
      <c r="U216" s="3">
        <v>1305</v>
      </c>
      <c r="V216">
        <v>1198</v>
      </c>
      <c r="W216">
        <v>1198</v>
      </c>
      <c r="X216">
        <v>7</v>
      </c>
      <c r="Y216">
        <v>21</v>
      </c>
      <c r="Z216" s="3">
        <v>1585</v>
      </c>
    </row>
    <row r="217" spans="1:26" x14ac:dyDescent="0.35">
      <c r="A217" s="107">
        <v>45630.493391805554</v>
      </c>
      <c r="B217" t="s">
        <v>168</v>
      </c>
      <c r="C217" t="s">
        <v>343</v>
      </c>
      <c r="D217" t="s">
        <v>49</v>
      </c>
      <c r="E217" t="s">
        <v>50</v>
      </c>
      <c r="F217">
        <v>3</v>
      </c>
      <c r="G217">
        <v>0</v>
      </c>
      <c r="H217">
        <v>2</v>
      </c>
      <c r="I217">
        <v>2</v>
      </c>
      <c r="J217">
        <v>2</v>
      </c>
      <c r="K217">
        <v>2</v>
      </c>
      <c r="L217">
        <v>10</v>
      </c>
      <c r="M217">
        <v>0</v>
      </c>
      <c r="N217">
        <v>8</v>
      </c>
      <c r="O217">
        <v>8</v>
      </c>
      <c r="P217">
        <v>9</v>
      </c>
      <c r="Q217">
        <v>9</v>
      </c>
      <c r="R217">
        <v>792</v>
      </c>
      <c r="S217">
        <v>763</v>
      </c>
      <c r="T217">
        <v>533</v>
      </c>
      <c r="U217">
        <v>628</v>
      </c>
      <c r="V217">
        <v>608</v>
      </c>
      <c r="W217">
        <v>608</v>
      </c>
      <c r="X217">
        <v>3</v>
      </c>
      <c r="Y217">
        <v>10</v>
      </c>
      <c r="Z217">
        <v>792</v>
      </c>
    </row>
    <row r="218" spans="1:26" x14ac:dyDescent="0.35">
      <c r="A218" s="107">
        <v>45630.493391805554</v>
      </c>
      <c r="B218" t="s">
        <v>168</v>
      </c>
      <c r="C218" t="s">
        <v>366</v>
      </c>
      <c r="D218" t="s">
        <v>49</v>
      </c>
      <c r="E218" t="s">
        <v>50</v>
      </c>
      <c r="F218">
        <v>3</v>
      </c>
      <c r="G218">
        <v>0</v>
      </c>
      <c r="H218">
        <v>2</v>
      </c>
      <c r="I218">
        <v>2</v>
      </c>
      <c r="J218">
        <v>3</v>
      </c>
      <c r="K218">
        <v>3</v>
      </c>
      <c r="L218">
        <v>10</v>
      </c>
      <c r="M218">
        <v>0</v>
      </c>
      <c r="N218">
        <v>7</v>
      </c>
      <c r="O218">
        <v>9</v>
      </c>
      <c r="P218">
        <v>9</v>
      </c>
      <c r="Q218">
        <v>9</v>
      </c>
      <c r="R218">
        <v>1392</v>
      </c>
      <c r="S218">
        <v>1328</v>
      </c>
      <c r="T218">
        <v>875</v>
      </c>
      <c r="U218">
        <v>1074</v>
      </c>
      <c r="V218">
        <v>960</v>
      </c>
      <c r="W218">
        <v>960</v>
      </c>
      <c r="X218">
        <v>3</v>
      </c>
      <c r="Y218">
        <v>10</v>
      </c>
      <c r="Z218">
        <v>1394</v>
      </c>
    </row>
    <row r="219" spans="1:26" x14ac:dyDescent="0.35">
      <c r="A219" s="107">
        <v>45630.493391805554</v>
      </c>
      <c r="B219" t="s">
        <v>168</v>
      </c>
      <c r="C219" t="s">
        <v>404</v>
      </c>
      <c r="D219" t="s">
        <v>49</v>
      </c>
      <c r="E219" t="s">
        <v>50</v>
      </c>
      <c r="F219">
        <v>1</v>
      </c>
      <c r="G219">
        <v>0</v>
      </c>
      <c r="H219">
        <v>1</v>
      </c>
      <c r="I219">
        <v>1</v>
      </c>
      <c r="J219">
        <v>1</v>
      </c>
      <c r="K219">
        <v>1</v>
      </c>
      <c r="L219">
        <v>5</v>
      </c>
      <c r="M219">
        <v>0</v>
      </c>
      <c r="N219">
        <v>3</v>
      </c>
      <c r="O219">
        <v>3</v>
      </c>
      <c r="P219">
        <v>2</v>
      </c>
      <c r="Q219">
        <v>2</v>
      </c>
      <c r="R219" s="3">
        <v>732</v>
      </c>
      <c r="S219" s="3">
        <v>714</v>
      </c>
      <c r="T219">
        <v>450</v>
      </c>
      <c r="U219">
        <v>539</v>
      </c>
      <c r="V219">
        <v>543</v>
      </c>
      <c r="W219">
        <v>543</v>
      </c>
      <c r="X219">
        <v>1</v>
      </c>
      <c r="Y219">
        <v>5</v>
      </c>
      <c r="Z219" s="3">
        <v>732</v>
      </c>
    </row>
    <row r="220" spans="1:26" x14ac:dyDescent="0.35">
      <c r="A220" s="107"/>
    </row>
    <row r="221" spans="1:26" x14ac:dyDescent="0.35">
      <c r="A221" s="107"/>
    </row>
    <row r="222" spans="1:26" x14ac:dyDescent="0.35">
      <c r="A222" s="107"/>
    </row>
    <row r="223" spans="1:26" x14ac:dyDescent="0.35">
      <c r="A223" s="107"/>
    </row>
    <row r="224" spans="1:26" x14ac:dyDescent="0.35">
      <c r="A224" s="107"/>
      <c r="R224" s="3"/>
      <c r="S224" s="3"/>
      <c r="T224" s="3"/>
      <c r="U224" s="3"/>
      <c r="V224" s="3"/>
      <c r="W224" s="3"/>
      <c r="Z224" s="3"/>
    </row>
    <row r="225" spans="1:26" x14ac:dyDescent="0.35">
      <c r="A225" s="107"/>
    </row>
    <row r="226" spans="1:26" x14ac:dyDescent="0.35">
      <c r="A226" s="107"/>
      <c r="R226" s="3"/>
      <c r="S226" s="3"/>
      <c r="T226" s="3"/>
      <c r="U226" s="3"/>
      <c r="V226" s="3"/>
      <c r="W226" s="3"/>
      <c r="Z226" s="3"/>
    </row>
    <row r="227" spans="1:26" x14ac:dyDescent="0.35">
      <c r="A227" s="107"/>
    </row>
    <row r="228" spans="1:26" x14ac:dyDescent="0.35">
      <c r="A228" s="107"/>
    </row>
    <row r="229" spans="1:26" x14ac:dyDescent="0.35">
      <c r="A229" s="107"/>
    </row>
    <row r="230" spans="1:26" x14ac:dyDescent="0.35">
      <c r="A230" s="107"/>
      <c r="R230" s="3"/>
      <c r="S230" s="3"/>
      <c r="T230" s="3"/>
      <c r="U230" s="3"/>
      <c r="V230" s="3"/>
      <c r="W230" s="3"/>
      <c r="Z230" s="3"/>
    </row>
    <row r="231" spans="1:26" x14ac:dyDescent="0.35">
      <c r="A231" s="107"/>
    </row>
    <row r="232" spans="1:26" x14ac:dyDescent="0.35">
      <c r="A232" s="107"/>
      <c r="R232" s="3"/>
      <c r="S232" s="3"/>
      <c r="Z232" s="3"/>
    </row>
    <row r="233" spans="1:26" x14ac:dyDescent="0.35">
      <c r="A233" s="107"/>
      <c r="R233" s="3"/>
      <c r="S233" s="3"/>
      <c r="T233" s="3"/>
      <c r="U233" s="3"/>
      <c r="V233" s="3"/>
      <c r="W233" s="3"/>
      <c r="Z233" s="3"/>
    </row>
    <row r="234" spans="1:26" x14ac:dyDescent="0.35">
      <c r="A234" s="107"/>
    </row>
    <row r="235" spans="1:26" x14ac:dyDescent="0.35">
      <c r="A235" s="107"/>
      <c r="R235" s="3"/>
      <c r="S235" s="3"/>
      <c r="Z235" s="3"/>
    </row>
    <row r="236" spans="1:26" x14ac:dyDescent="0.35">
      <c r="A236" s="107"/>
      <c r="R236" s="3"/>
      <c r="S236" s="3"/>
      <c r="U236" s="3"/>
      <c r="Z236" s="3"/>
    </row>
    <row r="237" spans="1:26" x14ac:dyDescent="0.35">
      <c r="A237" s="107"/>
    </row>
    <row r="238" spans="1:26" x14ac:dyDescent="0.35">
      <c r="A238" s="107"/>
    </row>
    <row r="239" spans="1:26" x14ac:dyDescent="0.35">
      <c r="A239" s="107"/>
    </row>
    <row r="240" spans="1:26" x14ac:dyDescent="0.35">
      <c r="A240" s="107"/>
      <c r="R240" s="3"/>
      <c r="S240" s="3"/>
      <c r="Z240" s="3"/>
    </row>
    <row r="241" spans="1:26" x14ac:dyDescent="0.35">
      <c r="A241" s="107"/>
    </row>
    <row r="242" spans="1:26" x14ac:dyDescent="0.35">
      <c r="A242" s="107"/>
    </row>
    <row r="243" spans="1:26" x14ac:dyDescent="0.35">
      <c r="A243" s="107"/>
    </row>
    <row r="244" spans="1:26" x14ac:dyDescent="0.35">
      <c r="A244" s="107"/>
      <c r="R244" s="3"/>
      <c r="S244" s="3"/>
      <c r="T244" s="3"/>
      <c r="U244" s="3"/>
      <c r="V244" s="3"/>
      <c r="W244" s="3"/>
      <c r="Z244" s="3"/>
    </row>
    <row r="245" spans="1:26" x14ac:dyDescent="0.35">
      <c r="A245" s="107"/>
    </row>
    <row r="246" spans="1:26" x14ac:dyDescent="0.35">
      <c r="A246" s="107"/>
    </row>
    <row r="247" spans="1:26" x14ac:dyDescent="0.35">
      <c r="A247" s="107"/>
    </row>
    <row r="248" spans="1:26" x14ac:dyDescent="0.35">
      <c r="A248" s="107"/>
      <c r="R248" s="3"/>
      <c r="S248" s="3"/>
      <c r="U248" s="3"/>
      <c r="V248" s="3"/>
      <c r="W248" s="3"/>
      <c r="Z248" s="3"/>
    </row>
    <row r="249" spans="1:26" x14ac:dyDescent="0.35">
      <c r="A249" s="107"/>
      <c r="R249" s="3"/>
      <c r="S249" s="3"/>
      <c r="T249" s="3"/>
      <c r="U249" s="3"/>
      <c r="V249" s="3"/>
      <c r="W249" s="3"/>
      <c r="Z249" s="3"/>
    </row>
    <row r="250" spans="1:26" x14ac:dyDescent="0.35">
      <c r="A250" s="107"/>
    </row>
    <row r="251" spans="1:26" x14ac:dyDescent="0.35">
      <c r="A251" s="107"/>
    </row>
    <row r="252" spans="1:26" x14ac:dyDescent="0.35">
      <c r="A252" s="107"/>
    </row>
    <row r="253" spans="1:26" x14ac:dyDescent="0.35">
      <c r="A253" s="107"/>
      <c r="R253" s="3"/>
      <c r="S253" s="3"/>
      <c r="T253" s="3"/>
      <c r="U253" s="3"/>
      <c r="V253" s="3"/>
      <c r="W253" s="3"/>
      <c r="Z253" s="3"/>
    </row>
    <row r="254" spans="1:26" x14ac:dyDescent="0.35">
      <c r="A254" s="107"/>
    </row>
    <row r="255" spans="1:26" x14ac:dyDescent="0.35">
      <c r="A255" s="107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9"/>
  <dimension ref="A1:R5"/>
  <sheetViews>
    <sheetView workbookViewId="0">
      <selection activeCell="A2" sqref="A2:R5"/>
    </sheetView>
  </sheetViews>
  <sheetFormatPr defaultRowHeight="14.5" x14ac:dyDescent="0.35"/>
  <sheetData>
    <row r="1" spans="1:18" x14ac:dyDescent="0.35">
      <c r="A1" t="s">
        <v>473</v>
      </c>
      <c r="B1" t="s">
        <v>474</v>
      </c>
      <c r="C1" t="s">
        <v>475</v>
      </c>
      <c r="D1" t="s">
        <v>476</v>
      </c>
      <c r="E1" t="s">
        <v>477</v>
      </c>
      <c r="F1" t="s">
        <v>478</v>
      </c>
      <c r="G1" t="s">
        <v>479</v>
      </c>
      <c r="H1" t="s">
        <v>480</v>
      </c>
      <c r="I1" t="s">
        <v>481</v>
      </c>
      <c r="J1" t="s">
        <v>482</v>
      </c>
      <c r="K1" t="s">
        <v>483</v>
      </c>
      <c r="L1" t="s">
        <v>484</v>
      </c>
      <c r="M1" t="s">
        <v>177</v>
      </c>
      <c r="N1" t="s">
        <v>485</v>
      </c>
      <c r="O1" t="s">
        <v>486</v>
      </c>
      <c r="P1" t="s">
        <v>487</v>
      </c>
      <c r="Q1" t="s">
        <v>488</v>
      </c>
      <c r="R1" t="s">
        <v>489</v>
      </c>
    </row>
    <row r="2" spans="1:18" x14ac:dyDescent="0.35">
      <c r="A2" t="s">
        <v>446</v>
      </c>
      <c r="B2">
        <v>170</v>
      </c>
      <c r="C2">
        <v>227</v>
      </c>
      <c r="D2">
        <v>397</v>
      </c>
      <c r="E2">
        <v>36</v>
      </c>
      <c r="F2">
        <v>27</v>
      </c>
      <c r="G2">
        <v>14</v>
      </c>
      <c r="H2">
        <v>11</v>
      </c>
      <c r="I2">
        <v>7</v>
      </c>
      <c r="J2">
        <v>8</v>
      </c>
      <c r="K2">
        <v>6</v>
      </c>
      <c r="L2">
        <v>13</v>
      </c>
      <c r="M2" s="3">
        <v>1705</v>
      </c>
      <c r="N2">
        <v>9.9706744868035102</v>
      </c>
      <c r="O2">
        <v>13.3137829912023</v>
      </c>
      <c r="P2">
        <v>23.284457478005798</v>
      </c>
      <c r="Q2">
        <v>2.1114369501466199</v>
      </c>
      <c r="R2">
        <v>1.5835777126099699</v>
      </c>
    </row>
    <row r="3" spans="1:18" x14ac:dyDescent="0.35">
      <c r="A3" t="s">
        <v>37</v>
      </c>
      <c r="B3" s="3">
        <v>719</v>
      </c>
      <c r="C3" s="3">
        <v>994</v>
      </c>
      <c r="D3" s="3">
        <v>1713</v>
      </c>
      <c r="E3">
        <v>182</v>
      </c>
      <c r="F3">
        <v>89</v>
      </c>
      <c r="G3">
        <v>59</v>
      </c>
      <c r="H3">
        <v>35</v>
      </c>
      <c r="I3">
        <v>63</v>
      </c>
      <c r="J3">
        <v>32</v>
      </c>
      <c r="K3">
        <v>26</v>
      </c>
      <c r="L3">
        <v>31</v>
      </c>
      <c r="M3" s="3">
        <v>5680</v>
      </c>
      <c r="N3">
        <v>12.6584507042253</v>
      </c>
      <c r="O3">
        <v>17.5</v>
      </c>
      <c r="P3">
        <v>30.158450704225299</v>
      </c>
      <c r="Q3">
        <v>3.2042253521126698</v>
      </c>
      <c r="R3">
        <v>1.5669014084507</v>
      </c>
    </row>
    <row r="4" spans="1:18" x14ac:dyDescent="0.35">
      <c r="A4" t="s">
        <v>178</v>
      </c>
      <c r="B4" s="3">
        <v>1513</v>
      </c>
      <c r="C4" s="3">
        <v>2109</v>
      </c>
      <c r="D4" s="3">
        <v>3622</v>
      </c>
      <c r="E4">
        <v>345</v>
      </c>
      <c r="F4">
        <v>180</v>
      </c>
      <c r="G4">
        <v>110</v>
      </c>
      <c r="H4">
        <v>53</v>
      </c>
      <c r="I4">
        <v>133</v>
      </c>
      <c r="J4">
        <v>71</v>
      </c>
      <c r="K4">
        <v>45</v>
      </c>
      <c r="L4">
        <v>64</v>
      </c>
      <c r="M4" s="3">
        <v>12584</v>
      </c>
      <c r="N4">
        <v>12.0232040686586</v>
      </c>
      <c r="O4">
        <v>16.759376986649698</v>
      </c>
      <c r="P4">
        <v>28.782581055308299</v>
      </c>
      <c r="Q4">
        <v>2.74157660521296</v>
      </c>
      <c r="R4">
        <v>1.4303877940241501</v>
      </c>
    </row>
    <row r="5" spans="1:18" x14ac:dyDescent="0.35">
      <c r="A5">
        <v>2019</v>
      </c>
      <c r="B5" s="3">
        <v>962</v>
      </c>
      <c r="C5" s="3">
        <v>2503</v>
      </c>
      <c r="D5" s="3">
        <v>3465</v>
      </c>
      <c r="E5" s="3">
        <v>637</v>
      </c>
      <c r="F5">
        <v>233</v>
      </c>
      <c r="G5">
        <v>204</v>
      </c>
      <c r="H5">
        <v>129</v>
      </c>
      <c r="I5">
        <v>128</v>
      </c>
      <c r="J5">
        <v>94</v>
      </c>
      <c r="K5">
        <v>14</v>
      </c>
      <c r="L5">
        <v>125</v>
      </c>
      <c r="M5" s="3">
        <v>8855</v>
      </c>
      <c r="N5">
        <v>10.863918690005599</v>
      </c>
      <c r="O5">
        <v>28.266516092602998</v>
      </c>
      <c r="P5">
        <v>39.130434782608603</v>
      </c>
      <c r="Q5">
        <v>7.1936758893280599</v>
      </c>
      <c r="R5">
        <v>2.63128176171654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0"/>
  <dimension ref="A1:G9"/>
  <sheetViews>
    <sheetView workbookViewId="0">
      <selection activeCell="E12" sqref="E12"/>
    </sheetView>
  </sheetViews>
  <sheetFormatPr defaultRowHeight="14.5" x14ac:dyDescent="0.35"/>
  <sheetData>
    <row r="1" spans="1:7" ht="15" thickBot="1" x14ac:dyDescent="0.4">
      <c r="A1" s="178" t="s">
        <v>102</v>
      </c>
      <c r="B1" s="178" t="s">
        <v>111</v>
      </c>
      <c r="C1" s="178" t="s">
        <v>112</v>
      </c>
      <c r="D1" s="178" t="s">
        <v>118</v>
      </c>
      <c r="E1" s="178" t="s">
        <v>119</v>
      </c>
      <c r="F1" s="178" t="s">
        <v>120</v>
      </c>
    </row>
    <row r="2" spans="1:7" ht="15" thickBot="1" x14ac:dyDescent="0.4">
      <c r="A2" s="190" t="s">
        <v>167</v>
      </c>
      <c r="B2" s="190" t="s">
        <v>51</v>
      </c>
      <c r="C2" s="190" t="s">
        <v>495</v>
      </c>
      <c r="D2" s="190">
        <v>63</v>
      </c>
      <c r="E2" s="190">
        <v>46</v>
      </c>
      <c r="F2" s="190">
        <v>63</v>
      </c>
      <c r="G2" s="190"/>
    </row>
    <row r="3" spans="1:7" ht="15" thickBot="1" x14ac:dyDescent="0.4">
      <c r="A3" s="191" t="s">
        <v>168</v>
      </c>
      <c r="B3" s="191" t="s">
        <v>52</v>
      </c>
      <c r="C3" s="191" t="s">
        <v>495</v>
      </c>
      <c r="D3" s="191">
        <v>837</v>
      </c>
      <c r="E3" s="191">
        <v>559</v>
      </c>
      <c r="F3" s="191">
        <v>831</v>
      </c>
      <c r="G3" s="191"/>
    </row>
    <row r="4" spans="1:7" ht="15" thickBot="1" x14ac:dyDescent="0.4">
      <c r="A4" s="192" t="s">
        <v>167</v>
      </c>
      <c r="B4" s="192" t="s">
        <v>52</v>
      </c>
      <c r="C4" s="192" t="s">
        <v>495</v>
      </c>
      <c r="D4" s="192">
        <v>34</v>
      </c>
      <c r="E4" s="192">
        <v>30</v>
      </c>
      <c r="F4" s="192">
        <v>34</v>
      </c>
      <c r="G4" s="192"/>
    </row>
    <row r="5" spans="1:7" ht="15" thickBot="1" x14ac:dyDescent="0.4">
      <c r="A5" s="191" t="s">
        <v>71</v>
      </c>
      <c r="B5" s="191" t="s">
        <v>52</v>
      </c>
      <c r="C5" s="191" t="s">
        <v>495</v>
      </c>
      <c r="D5" s="191">
        <v>842</v>
      </c>
      <c r="E5" s="191">
        <v>584</v>
      </c>
      <c r="F5" s="191">
        <v>833</v>
      </c>
      <c r="G5" s="191"/>
    </row>
    <row r="6" spans="1:7" ht="15" thickBot="1" x14ac:dyDescent="0.4">
      <c r="A6" s="192" t="s">
        <v>168</v>
      </c>
      <c r="B6" s="192" t="s">
        <v>51</v>
      </c>
      <c r="C6" s="192" t="s">
        <v>495</v>
      </c>
      <c r="D6" s="192">
        <v>1270</v>
      </c>
      <c r="E6" s="192">
        <v>934</v>
      </c>
      <c r="F6" s="192">
        <v>1269</v>
      </c>
      <c r="G6" s="192"/>
    </row>
    <row r="7" spans="1:7" ht="15" thickBot="1" x14ac:dyDescent="0.4">
      <c r="A7" s="191" t="s">
        <v>71</v>
      </c>
      <c r="B7" s="191" t="s">
        <v>51</v>
      </c>
      <c r="C7" s="191" t="s">
        <v>495</v>
      </c>
      <c r="D7" s="191">
        <v>1322</v>
      </c>
      <c r="E7" s="191">
        <v>963</v>
      </c>
      <c r="F7" s="191">
        <v>1322</v>
      </c>
      <c r="G7" s="191"/>
    </row>
    <row r="8" spans="1:7" ht="15" thickBot="1" x14ac:dyDescent="0.4">
      <c r="A8" s="192" t="s">
        <v>71</v>
      </c>
      <c r="B8" s="192" t="s">
        <v>117</v>
      </c>
      <c r="C8" s="192" t="s">
        <v>495</v>
      </c>
      <c r="D8" s="192">
        <v>393</v>
      </c>
      <c r="E8" s="192">
        <v>220</v>
      </c>
      <c r="F8" s="192">
        <v>367</v>
      </c>
      <c r="G8" s="192"/>
    </row>
    <row r="9" spans="1:7" ht="15" thickBot="1" x14ac:dyDescent="0.4">
      <c r="A9" s="193"/>
      <c r="B9" s="17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5</vt:i4>
      </vt:variant>
    </vt:vector>
  </HeadingPairs>
  <TitlesOfParts>
    <vt:vector size="38" baseType="lpstr">
      <vt:lpstr>PDF_page</vt:lpstr>
      <vt:lpstr>HTML_NAME</vt:lpstr>
      <vt:lpstr>PAGE_1 (2)</vt:lpstr>
      <vt:lpstr>PAGE_1 (4)</vt:lpstr>
      <vt:lpstr>PAGE_1_old</vt:lpstr>
      <vt:lpstr>Pg1</vt:lpstr>
      <vt:lpstr>Pg2</vt:lpstr>
      <vt:lpstr>RANK</vt:lpstr>
      <vt:lpstr>ES_MATRIX</vt:lpstr>
      <vt:lpstr>EX_Goals</vt:lpstr>
      <vt:lpstr>UA_SQL_1</vt:lpstr>
      <vt:lpstr>UA_L7D</vt:lpstr>
      <vt:lpstr>UA_SQL_1_2019</vt:lpstr>
      <vt:lpstr>OA_SQL_1</vt:lpstr>
      <vt:lpstr>CNXL_SQL_2</vt:lpstr>
      <vt:lpstr>RES_CNXL_SQL_3</vt:lpstr>
      <vt:lpstr>SCH_DEP_SQL_4</vt:lpstr>
      <vt:lpstr>DIVERTS_SQL_5_2019</vt:lpstr>
      <vt:lpstr>TOTAL_DIVERTS_SQL_5</vt:lpstr>
      <vt:lpstr>UA_HUB_SQL_7</vt:lpstr>
      <vt:lpstr>UA_SeatCnxl_2019</vt:lpstr>
      <vt:lpstr>UA_Seat_cancels</vt:lpstr>
      <vt:lpstr>RECOVERED_DIVERTS_2019</vt:lpstr>
      <vt:lpstr>OA_SQL_2</vt:lpstr>
      <vt:lpstr>OA_SeatCnxl</vt:lpstr>
      <vt:lpstr>DIVERTS_RECOVERED_SQL_6</vt:lpstr>
      <vt:lpstr>FLIGHTS_NOT_DEPARTED_SQL_8</vt:lpstr>
      <vt:lpstr>REPOSITIONED_FLIGHTS_SQL_13</vt:lpstr>
      <vt:lpstr>Sheet3</vt:lpstr>
      <vt:lpstr>UA_Line</vt:lpstr>
      <vt:lpstr>Delays_Info</vt:lpstr>
      <vt:lpstr>Sheet2</vt:lpstr>
      <vt:lpstr>OA_Line</vt:lpstr>
      <vt:lpstr>'PAGE_1 (2)'!Print_Area</vt:lpstr>
      <vt:lpstr>'PAGE_1 (4)'!Print_Area</vt:lpstr>
      <vt:lpstr>PAGE_1_old!Print_Area</vt:lpstr>
      <vt:lpstr>'Pg1'!Print_Area</vt:lpstr>
      <vt:lpstr>'Pg2'!Print_Area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Hulen, Matt</dc:creator>
  <cp:lastModifiedBy>Bansal, Spriha</cp:lastModifiedBy>
  <cp:lastPrinted>2022-09-26T05:14:08Z</cp:lastPrinted>
  <dcterms:created xsi:type="dcterms:W3CDTF">2019-08-12T13:11:40Z</dcterms:created>
  <dcterms:modified xsi:type="dcterms:W3CDTF">2024-12-19T08:30:28Z</dcterms:modified>
</cp:coreProperties>
</file>